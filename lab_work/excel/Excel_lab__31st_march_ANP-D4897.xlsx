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udent_Data" sheetId="1" r:id="rId5"/>
    <sheet state="visible" name="Questions Answers" sheetId="2" r:id="rId6"/>
    <sheet state="visible" name="Q1" sheetId="3" r:id="rId7"/>
    <sheet state="visible" name="Q2" sheetId="4" r:id="rId8"/>
    <sheet state="visible" name="Q3" sheetId="5" r:id="rId9"/>
    <sheet state="visible" name="Q4" sheetId="6" r:id="rId10"/>
    <sheet state="visible" name="Q5" sheetId="7" r:id="rId11"/>
    <sheet state="visible" name="Q6" sheetId="8" r:id="rId12"/>
    <sheet state="visible" name="Q7" sheetId="9" r:id="rId13"/>
    <sheet state="visible" name="Q8" sheetId="10" r:id="rId14"/>
    <sheet state="visible" name="Q9" sheetId="11" r:id="rId15"/>
    <sheet state="visible" name="Q10" sheetId="12" r:id="rId16"/>
    <sheet state="visible" name="Q11" sheetId="13" r:id="rId17"/>
    <sheet state="visible" name="Q12" sheetId="14" r:id="rId18"/>
    <sheet state="visible" name="Q13" sheetId="15" r:id="rId19"/>
    <sheet state="visible" name="Q14" sheetId="16" r:id="rId20"/>
    <sheet state="visible" name="Q15" sheetId="17" r:id="rId21"/>
    <sheet state="visible" name="Q16" sheetId="18" r:id="rId22"/>
    <sheet state="visible" name="Q17" sheetId="19" r:id="rId23"/>
    <sheet state="visible" name="Q18" sheetId="20" r:id="rId24"/>
    <sheet state="visible" name="Q19" sheetId="21" r:id="rId25"/>
    <sheet state="visible" name="Q20" sheetId="22" r:id="rId26"/>
    <sheet state="visible" name="Q21" sheetId="23" r:id="rId27"/>
    <sheet state="visible" name="Q22" sheetId="24" r:id="rId28"/>
    <sheet state="visible" name="Q23" sheetId="25" r:id="rId29"/>
    <sheet state="visible" name="Q24" sheetId="26" r:id="rId30"/>
    <sheet state="visible" name="Q25" sheetId="27" r:id="rId31"/>
    <sheet state="visible" name="Q26" sheetId="28" r:id="rId32"/>
    <sheet state="visible" name="Q27" sheetId="29" r:id="rId33"/>
    <sheet state="visible" name="Q28" sheetId="30" r:id="rId34"/>
    <sheet state="visible" name="Q29" sheetId="31" r:id="rId35"/>
    <sheet state="visible" name="Q30" sheetId="32" r:id="rId36"/>
  </sheets>
  <definedNames/>
  <calcPr/>
</workbook>
</file>

<file path=xl/sharedStrings.xml><?xml version="1.0" encoding="utf-8"?>
<sst xmlns="http://schemas.openxmlformats.org/spreadsheetml/2006/main" count="7169" uniqueCount="817">
  <si>
    <t>Student_ID</t>
  </si>
  <si>
    <t>Full_Name</t>
  </si>
  <si>
    <t>Gender</t>
  </si>
  <si>
    <t>Class</t>
  </si>
  <si>
    <t>Section</t>
  </si>
  <si>
    <t>City</t>
  </si>
  <si>
    <t>Maths</t>
  </si>
  <si>
    <t>Science</t>
  </si>
  <si>
    <t>English</t>
  </si>
  <si>
    <t>Hindi</t>
  </si>
  <si>
    <t>Social_Studies</t>
  </si>
  <si>
    <t>Total</t>
  </si>
  <si>
    <t>Percentage</t>
  </si>
  <si>
    <t>Attendance</t>
  </si>
  <si>
    <t>Status</t>
  </si>
  <si>
    <t>STD-1001</t>
  </si>
  <si>
    <t>Priya Choudhary</t>
  </si>
  <si>
    <t>Male</t>
  </si>
  <si>
    <t>10</t>
  </si>
  <si>
    <t>A</t>
  </si>
  <si>
    <t>Chandigarh</t>
  </si>
  <si>
    <t>Pass</t>
  </si>
  <si>
    <t>STD-1002</t>
  </si>
  <si>
    <t>Aarav Verma</t>
  </si>
  <si>
    <t>7</t>
  </si>
  <si>
    <t>C</t>
  </si>
  <si>
    <t>Kolkata</t>
  </si>
  <si>
    <t>STD-1003</t>
  </si>
  <si>
    <t>Sai Iyer</t>
  </si>
  <si>
    <t>8</t>
  </si>
  <si>
    <t>STD-1004</t>
  </si>
  <si>
    <t>Ananya Singh</t>
  </si>
  <si>
    <t>Female</t>
  </si>
  <si>
    <t>STD-1005</t>
  </si>
  <si>
    <t>Shreya Kulkarni</t>
  </si>
  <si>
    <t>STD-1006</t>
  </si>
  <si>
    <t>Aarav Kulkarni</t>
  </si>
  <si>
    <t>Delhi</t>
  </si>
  <si>
    <t>STD-1007</t>
  </si>
  <si>
    <t>Meera Gupta</t>
  </si>
  <si>
    <t>9</t>
  </si>
  <si>
    <t>Lucknow</t>
  </si>
  <si>
    <t>STD-1008</t>
  </si>
  <si>
    <t>Kavya Gupta</t>
  </si>
  <si>
    <t>Bhopal</t>
  </si>
  <si>
    <t>STD-1009</t>
  </si>
  <si>
    <t>Vivaan Verma</t>
  </si>
  <si>
    <t>B</t>
  </si>
  <si>
    <t>STD-1010</t>
  </si>
  <si>
    <t>Ananya Banerjee</t>
  </si>
  <si>
    <t>STD-1011</t>
  </si>
  <si>
    <t>Aditya Choudhary</t>
  </si>
  <si>
    <t>STD-1012</t>
  </si>
  <si>
    <t>Priya Patel</t>
  </si>
  <si>
    <t>6</t>
  </si>
  <si>
    <t>Jaipur</t>
  </si>
  <si>
    <t>STD-1013</t>
  </si>
  <si>
    <t>Sai Verma</t>
  </si>
  <si>
    <t>STD-1014</t>
  </si>
  <si>
    <t>Ananya Yadav</t>
  </si>
  <si>
    <t>STD-1015</t>
  </si>
  <si>
    <t>Pooja Jain</t>
  </si>
  <si>
    <t>Patna</t>
  </si>
  <si>
    <t>STD-1016</t>
  </si>
  <si>
    <t>Karan Verma</t>
  </si>
  <si>
    <t>STD-1017</t>
  </si>
  <si>
    <t>Rohan Singh</t>
  </si>
  <si>
    <t>STD-1018</t>
  </si>
  <si>
    <t>Arjun Reddy</t>
  </si>
  <si>
    <t>STD-1019</t>
  </si>
  <si>
    <t>Karan Iyer</t>
  </si>
  <si>
    <t>STD-1020</t>
  </si>
  <si>
    <t>Arjun Singh</t>
  </si>
  <si>
    <t>STD-1021</t>
  </si>
  <si>
    <t>Ishita Kulkarni</t>
  </si>
  <si>
    <t>STD-1022</t>
  </si>
  <si>
    <t>Rahul Singh</t>
  </si>
  <si>
    <t>Mumbai</t>
  </si>
  <si>
    <t>STD-1023</t>
  </si>
  <si>
    <t>Sneha Gupta</t>
  </si>
  <si>
    <t>STD-1024</t>
  </si>
  <si>
    <t>Shreya Verma</t>
  </si>
  <si>
    <t>STD-1025</t>
  </si>
  <si>
    <t>Ananya Nair</t>
  </si>
  <si>
    <t>STD-1026</t>
  </si>
  <si>
    <t>Neha Kaur</t>
  </si>
  <si>
    <t>STD-1027</t>
  </si>
  <si>
    <t>Ishita Yadav</t>
  </si>
  <si>
    <t>STD-1028</t>
  </si>
  <si>
    <t>Ritika Nair</t>
  </si>
  <si>
    <t>STD-1029</t>
  </si>
  <si>
    <t>Ananya Patel</t>
  </si>
  <si>
    <t>STD-1030</t>
  </si>
  <si>
    <t>Ananya Reddy</t>
  </si>
  <si>
    <t>STD-1031</t>
  </si>
  <si>
    <t>STD-1032</t>
  </si>
  <si>
    <t>Simran Verma</t>
  </si>
  <si>
    <t>STD-1033</t>
  </si>
  <si>
    <t>STD-1034</t>
  </si>
  <si>
    <t>Pooja Verma</t>
  </si>
  <si>
    <t>STD-1035</t>
  </si>
  <si>
    <t>Kavya Kulkarni</t>
  </si>
  <si>
    <t>STD-1036</t>
  </si>
  <si>
    <t>Aditya Reddy</t>
  </si>
  <si>
    <t>STD-1037</t>
  </si>
  <si>
    <t>Ananya Das</t>
  </si>
  <si>
    <t>STD-1038</t>
  </si>
  <si>
    <t>Ishita Nair</t>
  </si>
  <si>
    <t>STD-1039</t>
  </si>
  <si>
    <t>Meera Singh</t>
  </si>
  <si>
    <t>STD-1040</t>
  </si>
  <si>
    <t>Arjun Verma</t>
  </si>
  <si>
    <t>STD-1041</t>
  </si>
  <si>
    <t>Ananya Kulkarni</t>
  </si>
  <si>
    <t>STD-1042</t>
  </si>
  <si>
    <t>Tanvi Choudhary</t>
  </si>
  <si>
    <t>STD-1043</t>
  </si>
  <si>
    <t>Priya Jain</t>
  </si>
  <si>
    <t>STD-1044</t>
  </si>
  <si>
    <t>Meera Verma</t>
  </si>
  <si>
    <t>STD-1045</t>
  </si>
  <si>
    <t>Sneha Yadav</t>
  </si>
  <si>
    <t>STD-1046</t>
  </si>
  <si>
    <t>Ritika Yadav</t>
  </si>
  <si>
    <t>STD-1047</t>
  </si>
  <si>
    <t>Arjun Banerjee</t>
  </si>
  <si>
    <t>STD-1048</t>
  </si>
  <si>
    <t>Aditya Iyer</t>
  </si>
  <si>
    <t>STD-1049</t>
  </si>
  <si>
    <t>STD-1050</t>
  </si>
  <si>
    <t>STD-1051</t>
  </si>
  <si>
    <t>Aditya Patel</t>
  </si>
  <si>
    <t>STD-1052</t>
  </si>
  <si>
    <t>Rahul Jain</t>
  </si>
  <si>
    <t>STD-1053</t>
  </si>
  <si>
    <t>Karan Kulkarni</t>
  </si>
  <si>
    <t>STD-1054</t>
  </si>
  <si>
    <t>Kavya Verma</t>
  </si>
  <si>
    <t>STD-1055</t>
  </si>
  <si>
    <t>Shreya Singh</t>
  </si>
  <si>
    <t>STD-1056</t>
  </si>
  <si>
    <t>Ananya Verma</t>
  </si>
  <si>
    <t>STD-1057</t>
  </si>
  <si>
    <t>STD-1058</t>
  </si>
  <si>
    <t>STD-1059</t>
  </si>
  <si>
    <t>Ananya Iyer</t>
  </si>
  <si>
    <t>STD-1060</t>
  </si>
  <si>
    <t>Ishita Banerjee</t>
  </si>
  <si>
    <t>STD-1061</t>
  </si>
  <si>
    <t>Ritika Kulkarni</t>
  </si>
  <si>
    <t>STD-1062</t>
  </si>
  <si>
    <t>Karan Choudhary</t>
  </si>
  <si>
    <t>STD-1063</t>
  </si>
  <si>
    <t>Karan Sharma</t>
  </si>
  <si>
    <t>STD-1064</t>
  </si>
  <si>
    <t>STD-1065</t>
  </si>
  <si>
    <t>Karan Nair</t>
  </si>
  <si>
    <t>STD-1066</t>
  </si>
  <si>
    <t>Kavya Yadav</t>
  </si>
  <si>
    <t>STD-1067</t>
  </si>
  <si>
    <t>STD-1068</t>
  </si>
  <si>
    <t>Ritika Banerjee</t>
  </si>
  <si>
    <t>STD-1069</t>
  </si>
  <si>
    <t>Pooja Kulkarni</t>
  </si>
  <si>
    <t>STD-1070</t>
  </si>
  <si>
    <t>Tanvi Reddy</t>
  </si>
  <si>
    <t>STD-1071</t>
  </si>
  <si>
    <t>Vivaan Gupta</t>
  </si>
  <si>
    <t>STD-1072</t>
  </si>
  <si>
    <t>Arjun Iyer</t>
  </si>
  <si>
    <t>STD-1073</t>
  </si>
  <si>
    <t>Neha Patel</t>
  </si>
  <si>
    <t>STD-1074</t>
  </si>
  <si>
    <t>STD-1075</t>
  </si>
  <si>
    <t>STD-1076</t>
  </si>
  <si>
    <t>Sneha Verma</t>
  </si>
  <si>
    <t>STD-1077</t>
  </si>
  <si>
    <t>STD-1078</t>
  </si>
  <si>
    <t>Kavya Reddy</t>
  </si>
  <si>
    <t>STD-1079</t>
  </si>
  <si>
    <t>STD-1080</t>
  </si>
  <si>
    <t>Aarav Sharma</t>
  </si>
  <si>
    <t>STD-1081</t>
  </si>
  <si>
    <t>Vivaan Banerjee</t>
  </si>
  <si>
    <t>STD-1082</t>
  </si>
  <si>
    <t>Aditya Sharma</t>
  </si>
  <si>
    <t>STD-1083</t>
  </si>
  <si>
    <t>Priya Singh</t>
  </si>
  <si>
    <t>STD-1084</t>
  </si>
  <si>
    <t>Tanvi Kulkarni</t>
  </si>
  <si>
    <t>STD-1085</t>
  </si>
  <si>
    <t>Rohan Kulkarni</t>
  </si>
  <si>
    <t>STD-1086</t>
  </si>
  <si>
    <t>Sai Yadav</t>
  </si>
  <si>
    <t>STD-1087</t>
  </si>
  <si>
    <t>STD-1088</t>
  </si>
  <si>
    <t>STD-1089</t>
  </si>
  <si>
    <t>Simran Sharma</t>
  </si>
  <si>
    <t>STD-1090</t>
  </si>
  <si>
    <t>Rahul Reddy</t>
  </si>
  <si>
    <t>STD-1091</t>
  </si>
  <si>
    <t>Karan Reddy</t>
  </si>
  <si>
    <t>STD-1092</t>
  </si>
  <si>
    <t>STD-1093</t>
  </si>
  <si>
    <t>Arjun Gupta</t>
  </si>
  <si>
    <t>STD-1094</t>
  </si>
  <si>
    <t>Rohan Nair</t>
  </si>
  <si>
    <t>STD-1095</t>
  </si>
  <si>
    <t>Meera Kulkarni</t>
  </si>
  <si>
    <t>STD-1096</t>
  </si>
  <si>
    <t>STD-1097</t>
  </si>
  <si>
    <t>Priya Banerjee</t>
  </si>
  <si>
    <t>STD-1098</t>
  </si>
  <si>
    <t>STD-1099</t>
  </si>
  <si>
    <t>Sneha Iyer</t>
  </si>
  <si>
    <t>STD-1100</t>
  </si>
  <si>
    <t>STD-1101</t>
  </si>
  <si>
    <t>Meera Choudhary</t>
  </si>
  <si>
    <t>STD-1102</t>
  </si>
  <si>
    <t>Meera Kaur</t>
  </si>
  <si>
    <t>STD-1103</t>
  </si>
  <si>
    <t>Arjun Choudhary</t>
  </si>
  <si>
    <t>STD-1104</t>
  </si>
  <si>
    <t>Ananya Choudhary</t>
  </si>
  <si>
    <t>STD-1105</t>
  </si>
  <si>
    <t>Aditya Verma</t>
  </si>
  <si>
    <t>STD-1106</t>
  </si>
  <si>
    <t>Ritika Iyer</t>
  </si>
  <si>
    <t>STD-1107</t>
  </si>
  <si>
    <t>Vivaan Reddy</t>
  </si>
  <si>
    <t>STD-1108</t>
  </si>
  <si>
    <t>Pooja Nair</t>
  </si>
  <si>
    <t>STD-1109</t>
  </si>
  <si>
    <t>Rahul Kulkarni</t>
  </si>
  <si>
    <t>STD-1110</t>
  </si>
  <si>
    <t>Ishita Iyer</t>
  </si>
  <si>
    <t>STD-1111</t>
  </si>
  <si>
    <t>Neha Singh</t>
  </si>
  <si>
    <t>STD-1112</t>
  </si>
  <si>
    <t>Meera Yadav</t>
  </si>
  <si>
    <t>STD-1113</t>
  </si>
  <si>
    <t>STD-1114</t>
  </si>
  <si>
    <t>Rahul Yadav</t>
  </si>
  <si>
    <t>STD-1115</t>
  </si>
  <si>
    <t>Sai Singh</t>
  </si>
  <si>
    <t>STD-1116</t>
  </si>
  <si>
    <t>Shreya Jain</t>
  </si>
  <si>
    <t>STD-1117</t>
  </si>
  <si>
    <t>STD-1118</t>
  </si>
  <si>
    <t>STD-1119</t>
  </si>
  <si>
    <t>Rohan Gupta</t>
  </si>
  <si>
    <t>STD-1120</t>
  </si>
  <si>
    <t>Rahul Verma</t>
  </si>
  <si>
    <t>STD-1121</t>
  </si>
  <si>
    <t>STD-1122</t>
  </si>
  <si>
    <t>STD-1123</t>
  </si>
  <si>
    <t>Arjun Kaur</t>
  </si>
  <si>
    <t>STD-1124</t>
  </si>
  <si>
    <t>STD-1125</t>
  </si>
  <si>
    <t>Meera Nair</t>
  </si>
  <si>
    <t>STD-1126</t>
  </si>
  <si>
    <t>Simran Jain</t>
  </si>
  <si>
    <t>STD-1127</t>
  </si>
  <si>
    <t>Rohan Iyer</t>
  </si>
  <si>
    <t>STD-1128</t>
  </si>
  <si>
    <t>Simran Patel</t>
  </si>
  <si>
    <t>STD-1129</t>
  </si>
  <si>
    <t>STD-1130</t>
  </si>
  <si>
    <t>Rahul Choudhary</t>
  </si>
  <si>
    <t>STD-1131</t>
  </si>
  <si>
    <t>Sai Sharma</t>
  </si>
  <si>
    <t>STD-1132</t>
  </si>
  <si>
    <t>STD-1133</t>
  </si>
  <si>
    <t>STD-1134</t>
  </si>
  <si>
    <t>Aarav Gupta</t>
  </si>
  <si>
    <t>STD-1135</t>
  </si>
  <si>
    <t>STD-1136</t>
  </si>
  <si>
    <t>Ritika Verma</t>
  </si>
  <si>
    <t>STD-1137</t>
  </si>
  <si>
    <t>Neha Verma</t>
  </si>
  <si>
    <t>STD-1138</t>
  </si>
  <si>
    <t>Vivaan Iyer</t>
  </si>
  <si>
    <t>STD-1139</t>
  </si>
  <si>
    <t>Sai Jain</t>
  </si>
  <si>
    <t>STD-1140</t>
  </si>
  <si>
    <t>Neha Kulkarni</t>
  </si>
  <si>
    <t>STD-1141</t>
  </si>
  <si>
    <t>Aarav Yadav</t>
  </si>
  <si>
    <t>STD-1142</t>
  </si>
  <si>
    <t>Ishita Reddy</t>
  </si>
  <si>
    <t>STD-1143</t>
  </si>
  <si>
    <t>Arjun Patel</t>
  </si>
  <si>
    <t>STD-1144</t>
  </si>
  <si>
    <t>STD-1145</t>
  </si>
  <si>
    <t>STD-1146</t>
  </si>
  <si>
    <t>Kavya Iyer</t>
  </si>
  <si>
    <t>STD-1147</t>
  </si>
  <si>
    <t>Priya Das</t>
  </si>
  <si>
    <t>STD-1148</t>
  </si>
  <si>
    <t>Kavya Choudhary</t>
  </si>
  <si>
    <t>STD-1149</t>
  </si>
  <si>
    <t>Tanvi Banerjee</t>
  </si>
  <si>
    <t>STD-1150</t>
  </si>
  <si>
    <t>STD-1151</t>
  </si>
  <si>
    <t>Neha Banerjee</t>
  </si>
  <si>
    <t>STD-1152</t>
  </si>
  <si>
    <t>Neha Nair</t>
  </si>
  <si>
    <t>STD-1153</t>
  </si>
  <si>
    <t>STD-1154</t>
  </si>
  <si>
    <t>Ishita Choudhary</t>
  </si>
  <si>
    <t>STD-1155</t>
  </si>
  <si>
    <t>Tanvi Verma</t>
  </si>
  <si>
    <t>STD-1156</t>
  </si>
  <si>
    <t>Tanvi Yadav</t>
  </si>
  <si>
    <t>STD-1157</t>
  </si>
  <si>
    <t>Aarav Iyer</t>
  </si>
  <si>
    <t>STD-1158</t>
  </si>
  <si>
    <t>STD-1159</t>
  </si>
  <si>
    <t>Karan Kaur</t>
  </si>
  <si>
    <t>STD-1160</t>
  </si>
  <si>
    <t>Shreya Choudhary</t>
  </si>
  <si>
    <t>STD-1161</t>
  </si>
  <si>
    <t>STD-1162</t>
  </si>
  <si>
    <t>STD-1163</t>
  </si>
  <si>
    <t>Kavya Jain</t>
  </si>
  <si>
    <t>STD-1164</t>
  </si>
  <si>
    <t>Neha Choudhary</t>
  </si>
  <si>
    <t>STD-1165</t>
  </si>
  <si>
    <t>Sneha Sharma</t>
  </si>
  <si>
    <t>STD-1166</t>
  </si>
  <si>
    <t>Priya Iyer</t>
  </si>
  <si>
    <t>STD-1167</t>
  </si>
  <si>
    <t>STD-1168</t>
  </si>
  <si>
    <t>Aditya Kulkarni</t>
  </si>
  <si>
    <t>STD-1169</t>
  </si>
  <si>
    <t>Karan Banerjee</t>
  </si>
  <si>
    <t>STD-1170</t>
  </si>
  <si>
    <t>STD-1171</t>
  </si>
  <si>
    <t>Vivaan Das</t>
  </si>
  <si>
    <t>STD-1172</t>
  </si>
  <si>
    <t>Rohan Das</t>
  </si>
  <si>
    <t>STD-1173</t>
  </si>
  <si>
    <t>STD-1174</t>
  </si>
  <si>
    <t>STD-1175</t>
  </si>
  <si>
    <t>Rahul Sharma</t>
  </si>
  <si>
    <t>STD-1176</t>
  </si>
  <si>
    <t>STD-1177</t>
  </si>
  <si>
    <t>Meera Jain</t>
  </si>
  <si>
    <t>STD-1178</t>
  </si>
  <si>
    <t>Ritika Singh</t>
  </si>
  <si>
    <t>STD-1179</t>
  </si>
  <si>
    <t>Ishita Sharma</t>
  </si>
  <si>
    <t>STD-1180</t>
  </si>
  <si>
    <t>STD-1181</t>
  </si>
  <si>
    <t>STD-1182</t>
  </si>
  <si>
    <t>Vivaan Kulkarni</t>
  </si>
  <si>
    <t>STD-1183</t>
  </si>
  <si>
    <t>STD-1184</t>
  </si>
  <si>
    <t>Karan Yadav</t>
  </si>
  <si>
    <t>STD-1185</t>
  </si>
  <si>
    <t>Vivaan Kaur</t>
  </si>
  <si>
    <t>STD-1186</t>
  </si>
  <si>
    <t>Tanvi Nair</t>
  </si>
  <si>
    <t>STD-1187</t>
  </si>
  <si>
    <t>Ritika Gupta</t>
  </si>
  <si>
    <t>STD-1188</t>
  </si>
  <si>
    <t>STD-1189</t>
  </si>
  <si>
    <t>Kavya Patel</t>
  </si>
  <si>
    <t>STD-1190</t>
  </si>
  <si>
    <t>Aarav Choudhary</t>
  </si>
  <si>
    <t>STD-1191</t>
  </si>
  <si>
    <t>STD-1192</t>
  </si>
  <si>
    <t>Neha Jain</t>
  </si>
  <si>
    <t>STD-1193</t>
  </si>
  <si>
    <t>Pooja Iyer</t>
  </si>
  <si>
    <t>STD-1194</t>
  </si>
  <si>
    <t>Aarav Patel</t>
  </si>
  <si>
    <t>STD-1195</t>
  </si>
  <si>
    <t>Aditya Das</t>
  </si>
  <si>
    <t>STD-1196</t>
  </si>
  <si>
    <t>Kavya Nair</t>
  </si>
  <si>
    <t>STD-1197</t>
  </si>
  <si>
    <t>STD-1198</t>
  </si>
  <si>
    <t>Arjun Yadav</t>
  </si>
  <si>
    <t>STD-1199</t>
  </si>
  <si>
    <t>Ritika Das</t>
  </si>
  <si>
    <t>STD-1200</t>
  </si>
  <si>
    <t>STD-1201</t>
  </si>
  <si>
    <t>Tanvi Patel</t>
  </si>
  <si>
    <t>STD-1202</t>
  </si>
  <si>
    <t>Priya Nair</t>
  </si>
  <si>
    <t>STD-1203</t>
  </si>
  <si>
    <t>STD-1204</t>
  </si>
  <si>
    <t>STD-1205</t>
  </si>
  <si>
    <t>STD-1206</t>
  </si>
  <si>
    <t>STD-1207</t>
  </si>
  <si>
    <t>Shreya Gupta</t>
  </si>
  <si>
    <t>STD-1208</t>
  </si>
  <si>
    <t>STD-1209</t>
  </si>
  <si>
    <t>Sai Kaur</t>
  </si>
  <si>
    <t>STD-1210</t>
  </si>
  <si>
    <t>STD-1211</t>
  </si>
  <si>
    <t>Simran Nair</t>
  </si>
  <si>
    <t>STD-1212</t>
  </si>
  <si>
    <t>Neha Sharma</t>
  </si>
  <si>
    <t>STD-1213</t>
  </si>
  <si>
    <t>STD-1214</t>
  </si>
  <si>
    <t>STD-1215</t>
  </si>
  <si>
    <t>Priya Reddy</t>
  </si>
  <si>
    <t>STD-1216</t>
  </si>
  <si>
    <t>STD-1217</t>
  </si>
  <si>
    <t>STD-1218</t>
  </si>
  <si>
    <t>STD-1219</t>
  </si>
  <si>
    <t>STD-1220</t>
  </si>
  <si>
    <t>STD-1221</t>
  </si>
  <si>
    <t>STD-1222</t>
  </si>
  <si>
    <t>STD-1223</t>
  </si>
  <si>
    <t>Rohan Choudhary</t>
  </si>
  <si>
    <t>STD-1224</t>
  </si>
  <si>
    <t>Ananya Jain</t>
  </si>
  <si>
    <t>STD-1225</t>
  </si>
  <si>
    <t>STD-1226</t>
  </si>
  <si>
    <t>Kavya Das</t>
  </si>
  <si>
    <t>STD-1227</t>
  </si>
  <si>
    <t>Sneha Nair</t>
  </si>
  <si>
    <t>STD-1228</t>
  </si>
  <si>
    <t>STD-1229</t>
  </si>
  <si>
    <t>Simran Singh</t>
  </si>
  <si>
    <t>STD-1230</t>
  </si>
  <si>
    <t>Rahul Das</t>
  </si>
  <si>
    <t>STD-1231</t>
  </si>
  <si>
    <t>STD-1232</t>
  </si>
  <si>
    <t>STD-1233</t>
  </si>
  <si>
    <t>STD-1234</t>
  </si>
  <si>
    <t>Priya Verma</t>
  </si>
  <si>
    <t>STD-1235</t>
  </si>
  <si>
    <t>Aditya Nair</t>
  </si>
  <si>
    <t>STD-1236</t>
  </si>
  <si>
    <t>STD-1237</t>
  </si>
  <si>
    <t>STD-1238</t>
  </si>
  <si>
    <t>Pooja Yadav</t>
  </si>
  <si>
    <t>STD-1239</t>
  </si>
  <si>
    <t>Meera Reddy</t>
  </si>
  <si>
    <t>STD-1240</t>
  </si>
  <si>
    <t>STD-1241</t>
  </si>
  <si>
    <t>STD-1242</t>
  </si>
  <si>
    <t>STD-1243</t>
  </si>
  <si>
    <t>Aarav Das</t>
  </si>
  <si>
    <t>STD-1244</t>
  </si>
  <si>
    <t>STD-1245</t>
  </si>
  <si>
    <t>Rohan Verma</t>
  </si>
  <si>
    <t>STD-1246</t>
  </si>
  <si>
    <t>STD-1247</t>
  </si>
  <si>
    <t>STD-1248</t>
  </si>
  <si>
    <t>STD-1249</t>
  </si>
  <si>
    <t>Rahul Iyer</t>
  </si>
  <si>
    <t>STD-1250</t>
  </si>
  <si>
    <t>STD-1251</t>
  </si>
  <si>
    <t>STD-1252</t>
  </si>
  <si>
    <t>Simran Choudhary</t>
  </si>
  <si>
    <t>STD-1253</t>
  </si>
  <si>
    <t>Ishita Singh</t>
  </si>
  <si>
    <t>STD-1254</t>
  </si>
  <si>
    <t>Aarav Singh</t>
  </si>
  <si>
    <t>STD-1255</t>
  </si>
  <si>
    <t>STD-1256</t>
  </si>
  <si>
    <t>STD-1257</t>
  </si>
  <si>
    <t>Aarav Jain</t>
  </si>
  <si>
    <t>STD-1258</t>
  </si>
  <si>
    <t>STD-1259</t>
  </si>
  <si>
    <t>STD-1260</t>
  </si>
  <si>
    <t>Sai Das</t>
  </si>
  <si>
    <t>STD-1261</t>
  </si>
  <si>
    <t>STD-1262</t>
  </si>
  <si>
    <t>STD-1263</t>
  </si>
  <si>
    <t>Tanvi Jain</t>
  </si>
  <si>
    <t>STD-1264</t>
  </si>
  <si>
    <t>STD-1265</t>
  </si>
  <si>
    <t>STD-1266</t>
  </si>
  <si>
    <t>STD-1267</t>
  </si>
  <si>
    <t>STD-1268</t>
  </si>
  <si>
    <t>STD-1269</t>
  </si>
  <si>
    <t>STD-1270</t>
  </si>
  <si>
    <t>STD-1271</t>
  </si>
  <si>
    <t>STD-1272</t>
  </si>
  <si>
    <t>STD-1273</t>
  </si>
  <si>
    <t>STD-1274</t>
  </si>
  <si>
    <t>STD-1275</t>
  </si>
  <si>
    <t>Meera Iyer</t>
  </si>
  <si>
    <t>STD-1276</t>
  </si>
  <si>
    <t>STD-1277</t>
  </si>
  <si>
    <t>STD-1278</t>
  </si>
  <si>
    <t>STD-1279</t>
  </si>
  <si>
    <t>STD-1280</t>
  </si>
  <si>
    <t>STD-1281</t>
  </si>
  <si>
    <t>Neha Das</t>
  </si>
  <si>
    <t>STD-1282</t>
  </si>
  <si>
    <t>Arjun Jain</t>
  </si>
  <si>
    <t>STD-1283</t>
  </si>
  <si>
    <t>STD-1284</t>
  </si>
  <si>
    <t>STD-1285</t>
  </si>
  <si>
    <t>STD-1286</t>
  </si>
  <si>
    <t>Sai Patel</t>
  </si>
  <si>
    <t>STD-1287</t>
  </si>
  <si>
    <t>STD-1288</t>
  </si>
  <si>
    <t>Rohan Jain</t>
  </si>
  <si>
    <t>STD-1289</t>
  </si>
  <si>
    <t>STD-1290</t>
  </si>
  <si>
    <t>Sneha Patel</t>
  </si>
  <si>
    <t>STD-1291</t>
  </si>
  <si>
    <t>STD-1292</t>
  </si>
  <si>
    <t>STD-1293</t>
  </si>
  <si>
    <t>STD-1294</t>
  </si>
  <si>
    <t>STD-1295</t>
  </si>
  <si>
    <t>Sneha Singh</t>
  </si>
  <si>
    <t>STD-1296</t>
  </si>
  <si>
    <t>Pooja Sharma</t>
  </si>
  <si>
    <t>STD-1297</t>
  </si>
  <si>
    <t>Vivaan Choudhary</t>
  </si>
  <si>
    <t>STD-1298</t>
  </si>
  <si>
    <t>STD-1299</t>
  </si>
  <si>
    <t>Shreya Kaur</t>
  </si>
  <si>
    <t>STD-1300</t>
  </si>
  <si>
    <t>Rohan Kaur</t>
  </si>
  <si>
    <t>STD-1301</t>
  </si>
  <si>
    <t>STD-1302</t>
  </si>
  <si>
    <t>Vivaan Nair</t>
  </si>
  <si>
    <t>STD-1303</t>
  </si>
  <si>
    <t>STD-1304</t>
  </si>
  <si>
    <t>STD-1305</t>
  </si>
  <si>
    <t>Vivaan Singh</t>
  </si>
  <si>
    <t>STD-1306</t>
  </si>
  <si>
    <t>STD-1307</t>
  </si>
  <si>
    <t>STD-1308</t>
  </si>
  <si>
    <t>Pooja Das</t>
  </si>
  <si>
    <t>STD-1309</t>
  </si>
  <si>
    <t>STD-1310</t>
  </si>
  <si>
    <t>Karan Das</t>
  </si>
  <si>
    <t>STD-1311</t>
  </si>
  <si>
    <t>Meera Das</t>
  </si>
  <si>
    <t>STD-1312</t>
  </si>
  <si>
    <t>STD-1313</t>
  </si>
  <si>
    <t>STD-1314</t>
  </si>
  <si>
    <t>STD-1315</t>
  </si>
  <si>
    <t>STD-1316</t>
  </si>
  <si>
    <t>Sai Choudhary</t>
  </si>
  <si>
    <t>STD-1317</t>
  </si>
  <si>
    <t>STD-1318</t>
  </si>
  <si>
    <t>Vivaan Yadav</t>
  </si>
  <si>
    <t>STD-1319</t>
  </si>
  <si>
    <t>Ritika Choudhary</t>
  </si>
  <si>
    <t>STD-1320</t>
  </si>
  <si>
    <t>STD-1321</t>
  </si>
  <si>
    <t>STD-1322</t>
  </si>
  <si>
    <t>STD-1323</t>
  </si>
  <si>
    <t>STD-1324</t>
  </si>
  <si>
    <t>Vivaan Patel</t>
  </si>
  <si>
    <t>STD-1325</t>
  </si>
  <si>
    <t>STD-1326</t>
  </si>
  <si>
    <t>STD-1327</t>
  </si>
  <si>
    <t>STD-1328</t>
  </si>
  <si>
    <t>Tanvi Gupta</t>
  </si>
  <si>
    <t>STD-1329</t>
  </si>
  <si>
    <t>STD-1330</t>
  </si>
  <si>
    <t>Pooja Patel</t>
  </si>
  <si>
    <t>STD-1331</t>
  </si>
  <si>
    <t>STD-1332</t>
  </si>
  <si>
    <t>STD-1333</t>
  </si>
  <si>
    <t>STD-1334</t>
  </si>
  <si>
    <t>STD-1335</t>
  </si>
  <si>
    <t>Shreya Iyer</t>
  </si>
  <si>
    <t>STD-1336</t>
  </si>
  <si>
    <t>Ritika Sharma</t>
  </si>
  <si>
    <t>STD-1337</t>
  </si>
  <si>
    <t>STD-1338</t>
  </si>
  <si>
    <t>STD-1339</t>
  </si>
  <si>
    <t>Simran Das</t>
  </si>
  <si>
    <t>STD-1340</t>
  </si>
  <si>
    <t>STD-1341</t>
  </si>
  <si>
    <t>STD-1342</t>
  </si>
  <si>
    <t>Simran Banerjee</t>
  </si>
  <si>
    <t>STD-1343</t>
  </si>
  <si>
    <t>Simran Yadav</t>
  </si>
  <si>
    <t>STD-1344</t>
  </si>
  <si>
    <t>STD-1345</t>
  </si>
  <si>
    <t>STD-1346</t>
  </si>
  <si>
    <t>Sneha Kaur</t>
  </si>
  <si>
    <t>STD-1347</t>
  </si>
  <si>
    <t>Tanvi Kaur</t>
  </si>
  <si>
    <t>STD-1348</t>
  </si>
  <si>
    <t>STD-1349</t>
  </si>
  <si>
    <t>STD-1350</t>
  </si>
  <si>
    <t>STD-1351</t>
  </si>
  <si>
    <t>STD-1352</t>
  </si>
  <si>
    <t>STD-1353</t>
  </si>
  <si>
    <t>Ananya Sharma</t>
  </si>
  <si>
    <t>STD-1354</t>
  </si>
  <si>
    <t>STD-1355</t>
  </si>
  <si>
    <t>STD-1356</t>
  </si>
  <si>
    <t>STD-1357</t>
  </si>
  <si>
    <t>STD-1358</t>
  </si>
  <si>
    <t>Sneha Banerjee</t>
  </si>
  <si>
    <t>STD-1359</t>
  </si>
  <si>
    <t>STD-1360</t>
  </si>
  <si>
    <t>STD-1361</t>
  </si>
  <si>
    <t>STD-1362</t>
  </si>
  <si>
    <t>STD-1363</t>
  </si>
  <si>
    <t>STD-1364</t>
  </si>
  <si>
    <t>STD-1365</t>
  </si>
  <si>
    <t>STD-1366</t>
  </si>
  <si>
    <t>STD-1367</t>
  </si>
  <si>
    <t>Arjun Sharma</t>
  </si>
  <si>
    <t>STD-1368</t>
  </si>
  <si>
    <t>STD-1369</t>
  </si>
  <si>
    <t>Ishita Verma</t>
  </si>
  <si>
    <t>STD-1370</t>
  </si>
  <si>
    <t>STD-1371</t>
  </si>
  <si>
    <t>STD-1372</t>
  </si>
  <si>
    <t>STD-1373</t>
  </si>
  <si>
    <t>STD-1374</t>
  </si>
  <si>
    <t>STD-1375</t>
  </si>
  <si>
    <t>STD-1376</t>
  </si>
  <si>
    <t>STD-1377</t>
  </si>
  <si>
    <t>Shreya Reddy</t>
  </si>
  <si>
    <t>STD-1378</t>
  </si>
  <si>
    <t>Ritika Patel</t>
  </si>
  <si>
    <t>STD-1379</t>
  </si>
  <si>
    <t>STD-1380</t>
  </si>
  <si>
    <t>Rohan Yadav</t>
  </si>
  <si>
    <t>STD-1381</t>
  </si>
  <si>
    <t>Ritika Kaur</t>
  </si>
  <si>
    <t>STD-1382</t>
  </si>
  <si>
    <t>STD-1383</t>
  </si>
  <si>
    <t>Shreya Das</t>
  </si>
  <si>
    <t>STD-1384</t>
  </si>
  <si>
    <t>STD-1385</t>
  </si>
  <si>
    <t>STD-1386</t>
  </si>
  <si>
    <t>STD-1387</t>
  </si>
  <si>
    <t>Aditya Banerjee</t>
  </si>
  <si>
    <t>STD-1388</t>
  </si>
  <si>
    <t>Simran Reddy</t>
  </si>
  <si>
    <t>STD-1389</t>
  </si>
  <si>
    <t>STD-1390</t>
  </si>
  <si>
    <t>STD-1391</t>
  </si>
  <si>
    <t>Sneha Jain</t>
  </si>
  <si>
    <t>STD-1392</t>
  </si>
  <si>
    <t>Arjun Das</t>
  </si>
  <si>
    <t>STD-1393</t>
  </si>
  <si>
    <t>STD-1394</t>
  </si>
  <si>
    <t>STD-1395</t>
  </si>
  <si>
    <t>STD-1396</t>
  </si>
  <si>
    <t>Arjun Nair</t>
  </si>
  <si>
    <t>Fail</t>
  </si>
  <si>
    <t>STD-1397</t>
  </si>
  <si>
    <t>STD-1398</t>
  </si>
  <si>
    <t>STD-1399</t>
  </si>
  <si>
    <t>STD-1400</t>
  </si>
  <si>
    <t>STD-1401</t>
  </si>
  <si>
    <t>STD-1402</t>
  </si>
  <si>
    <t>STD-1403</t>
  </si>
  <si>
    <t>STD-1404</t>
  </si>
  <si>
    <t>STD-1405</t>
  </si>
  <si>
    <t>STD-1406</t>
  </si>
  <si>
    <t>STD-1407</t>
  </si>
  <si>
    <t>STD-1408</t>
  </si>
  <si>
    <t>STD-1409</t>
  </si>
  <si>
    <t>STD-1410</t>
  </si>
  <si>
    <t>STD-1411</t>
  </si>
  <si>
    <t>STD-1412</t>
  </si>
  <si>
    <t>STD-1413</t>
  </si>
  <si>
    <t>STD-1414</t>
  </si>
  <si>
    <t>STD-1415</t>
  </si>
  <si>
    <t>STD-1416</t>
  </si>
  <si>
    <t>STD-1417</t>
  </si>
  <si>
    <t>STD-1418</t>
  </si>
  <si>
    <t>STD-1419</t>
  </si>
  <si>
    <t>STD-1420</t>
  </si>
  <si>
    <t>STD-1421</t>
  </si>
  <si>
    <t>STD-1422</t>
  </si>
  <si>
    <t>STD-1423</t>
  </si>
  <si>
    <t>STD-1424</t>
  </si>
  <si>
    <t>STD-1425</t>
  </si>
  <si>
    <t>STD-1426</t>
  </si>
  <si>
    <t>Aarav Nair</t>
  </si>
  <si>
    <t>STD-1427</t>
  </si>
  <si>
    <t>STD-1428</t>
  </si>
  <si>
    <t>STD-1429</t>
  </si>
  <si>
    <t>STD-1430</t>
  </si>
  <si>
    <t>STD-1431</t>
  </si>
  <si>
    <t>Ananya Gupta</t>
  </si>
  <si>
    <t>STD-1432</t>
  </si>
  <si>
    <t>STD-1433</t>
  </si>
  <si>
    <t>STD-1434</t>
  </si>
  <si>
    <t>STD-1435</t>
  </si>
  <si>
    <t>STD-1436</t>
  </si>
  <si>
    <t>Sneha Reddy</t>
  </si>
  <si>
    <t>STD-1437</t>
  </si>
  <si>
    <t>Neha Gupta</t>
  </si>
  <si>
    <t>STD-1438</t>
  </si>
  <si>
    <t>STD-1439</t>
  </si>
  <si>
    <t>STD-1440</t>
  </si>
  <si>
    <t>STD-1441</t>
  </si>
  <si>
    <t>STD-1442</t>
  </si>
  <si>
    <t>Karan Jain</t>
  </si>
  <si>
    <t>STD-1443</t>
  </si>
  <si>
    <t>Sneha Kulkarni</t>
  </si>
  <si>
    <t>STD-1444</t>
  </si>
  <si>
    <t>STD-1445</t>
  </si>
  <si>
    <t>STD-1446</t>
  </si>
  <si>
    <t>Rohan Banerjee</t>
  </si>
  <si>
    <t>STD-1447</t>
  </si>
  <si>
    <t>STD-1448</t>
  </si>
  <si>
    <t>STD-1449</t>
  </si>
  <si>
    <t>STD-1450</t>
  </si>
  <si>
    <t>STD-1451</t>
  </si>
  <si>
    <t>Tanvi Das</t>
  </si>
  <si>
    <t>STD-1452</t>
  </si>
  <si>
    <t>Karan Gupta</t>
  </si>
  <si>
    <t>STD-1453</t>
  </si>
  <si>
    <t>STD-1454</t>
  </si>
  <si>
    <t>STD-1455</t>
  </si>
  <si>
    <t>STD-1456</t>
  </si>
  <si>
    <t>STD-1457</t>
  </si>
  <si>
    <t>STD-1458</t>
  </si>
  <si>
    <t>STD-1459</t>
  </si>
  <si>
    <t>STD-1460</t>
  </si>
  <si>
    <t>STD-1461</t>
  </si>
  <si>
    <t>STD-1462</t>
  </si>
  <si>
    <t>STD-1463</t>
  </si>
  <si>
    <t>STD-1464</t>
  </si>
  <si>
    <t>STD-1465</t>
  </si>
  <si>
    <t>Shreya Patel</t>
  </si>
  <si>
    <t>STD-1466</t>
  </si>
  <si>
    <t>STD-1467</t>
  </si>
  <si>
    <t>STD-1468</t>
  </si>
  <si>
    <t>STD-1469</t>
  </si>
  <si>
    <t>STD-1470</t>
  </si>
  <si>
    <t>STD-1471</t>
  </si>
  <si>
    <t>STD-1472</t>
  </si>
  <si>
    <t>STD-1473</t>
  </si>
  <si>
    <t>STD-1474</t>
  </si>
  <si>
    <t>STD-1475</t>
  </si>
  <si>
    <t>STD-1476</t>
  </si>
  <si>
    <t>Kavya Singh</t>
  </si>
  <si>
    <t>STD-1477</t>
  </si>
  <si>
    <t>STD-1478</t>
  </si>
  <si>
    <t>STD-1479</t>
  </si>
  <si>
    <t>STD-1480</t>
  </si>
  <si>
    <t>STD-1481</t>
  </si>
  <si>
    <t>Ritika Jain</t>
  </si>
  <si>
    <t>STD-1482</t>
  </si>
  <si>
    <t>STD-1483</t>
  </si>
  <si>
    <t>STD-1484</t>
  </si>
  <si>
    <t>STD-1485</t>
  </si>
  <si>
    <t>Tanvi Sharma</t>
  </si>
  <si>
    <t>STD-1486</t>
  </si>
  <si>
    <t>STD-1487</t>
  </si>
  <si>
    <t>STD-1488</t>
  </si>
  <si>
    <t>STD-1489</t>
  </si>
  <si>
    <t>STD-1490</t>
  </si>
  <si>
    <t>Pooja Reddy</t>
  </si>
  <si>
    <t>STD-1491</t>
  </si>
  <si>
    <t>STD-1492</t>
  </si>
  <si>
    <t>STD-1493</t>
  </si>
  <si>
    <t>STD-1494</t>
  </si>
  <si>
    <t>Meera Banerjee</t>
  </si>
  <si>
    <t>STD-1495</t>
  </si>
  <si>
    <t>STD-1496</t>
  </si>
  <si>
    <t>STD-1497</t>
  </si>
  <si>
    <t>STD-1498</t>
  </si>
  <si>
    <t>STD-1499</t>
  </si>
  <si>
    <t>STD-1500</t>
  </si>
  <si>
    <t>Questions</t>
  </si>
  <si>
    <t>Answers</t>
  </si>
  <si>
    <t>1. Find the total number of students in the dataset.</t>
  </si>
  <si>
    <t>2. Count how many students belong to each Class.</t>
  </si>
  <si>
    <t>Class 10: 107 | Class 6: 98 | Class 7: 107 | Class 8: 88 | Class 9: 100</t>
  </si>
  <si>
    <t>3. Identify how many students are from each City.</t>
  </si>
  <si>
    <t>Bhopal: 64 | Chandigarh: 69 | Delhi: 55 | Jaipur: 66 | Kolkata: 64 | Lucknow: 65 | Mumbai: 64 | Patna: 53</t>
  </si>
  <si>
    <t>4. Count students who scored more than 75 marks in Maths.</t>
  </si>
  <si>
    <t>5. Find how many students have Attendance greater than 90%.</t>
  </si>
  <si>
    <t>6. Count students who are Female and studying in Class 10.</t>
  </si>
  <si>
    <t>7. Find the number of students who passed but have Attendance below 75%.</t>
  </si>
  <si>
    <t>8. Count students who scored above 80 in both Maths and Science.</t>
  </si>
  <si>
    <t>9. Identify how many students belong to Section A in Class 9.</t>
  </si>
  <si>
    <t>10. Calculate the total marks obtained by students from Delhi.</t>
  </si>
  <si>
    <t>11. Find total Maths marks for students of Class 8.</t>
  </si>
  <si>
    <t>12. Calculate total marks of Female students from Mumbai.</t>
  </si>
  <si>
    <t>13. Find the total attendance of students in Section B.</t>
  </si>
  <si>
    <t>14. Calculate the average percentage of students in Class 10.</t>
  </si>
  <si>
    <t>15. Find average marks in English for Male students.</t>
  </si>
  <si>
    <t>16. Calculate average percentage of students from Jaipur.</t>
  </si>
  <si>
    <t>17. Find average attendance of students who passed.</t>
  </si>
  <si>
    <t>18. Categorize students as “Topper” if percentage is above 85, otherwise “Average”.</t>
  </si>
  <si>
    <t>19. Identify students with low attendance (below 70%).</t>
  </si>
  <si>
    <t>20. Flag students who failed in any subject (marks below 40 in any subject).</t>
  </si>
  <si>
    <t>21. Retrieve full details of a student using their Student ID.</t>
  </si>
  <si>
    <t>22. Fetch the percentage of a specific student using their ID.</t>
  </si>
  <si>
    <t>23. Retrieve the city of a student using Student ID.</t>
  </si>
  <si>
    <t>24. Display all students whose percentage is greater than 80.</t>
  </si>
  <si>
    <t>25. Show only Female students from Class 9.</t>
  </si>
  <si>
    <t>26. Generate a summary showing average percentage for each Class.</t>
  </si>
  <si>
    <t>Class 10: 70.24% | Class 6: 70.47% | Class 7: 69.59% | Class 8: 67.91% | Class 9: 69.9%</t>
  </si>
  <si>
    <t>27. Generate a report showing total students in each City.</t>
  </si>
  <si>
    <t>28. Count how many unique cities are present in the dataset.</t>
  </si>
  <si>
    <t>29. Identify if any student record has missing values.</t>
  </si>
  <si>
    <t>30. Create a report showing total number of Pass and Fail students.</t>
  </si>
  <si>
    <t>Total Students</t>
  </si>
  <si>
    <t>Answers: 207</t>
  </si>
  <si>
    <t>Answer:</t>
  </si>
  <si>
    <t>Answer:51</t>
  </si>
  <si>
    <t>Category</t>
  </si>
  <si>
    <t>Average</t>
  </si>
  <si>
    <t>Topper</t>
  </si>
  <si>
    <t/>
  </si>
  <si>
    <t>List of students below</t>
  </si>
  <si>
    <t>List of records with missing values below</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</si>
</sst>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sz val="11.0"/>
      <color theme="1"/>
      <name val="Calibri"/>
    </font>
    <font>
      <b/>
      <sz val="11.0"/>
      <color theme="1"/>
      <name val="Calibri"/>
    </font>
    <font>
      <color theme="1"/>
      <name val="Calibri"/>
      <scheme val="minor"/>
    </font>
  </fonts>
  <fills count="5">
    <fill>
      <patternFill patternType="none"/>
    </fill>
    <fill>
      <patternFill patternType="lightGray"/>
    </fill>
    <fill>
      <patternFill patternType="solid">
        <fgColor rgb="FFCCCCCC"/>
        <bgColor rgb="FFCCCCCC"/>
      </patternFill>
    </fill>
    <fill>
      <patternFill patternType="solid">
        <fgColor rgb="FFEFEFEF"/>
        <bgColor rgb="FFEFEFEF"/>
      </patternFill>
    </fill>
    <fill>
      <patternFill patternType="solid">
        <fgColor rgb="FFD9D9D9"/>
        <bgColor rgb="FFD9D9D9"/>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Font="1"/>
    <xf borderId="0" fillId="0" fontId="2" numFmtId="0" xfId="0" applyFont="1"/>
    <xf borderId="0" fillId="2" fontId="1" numFmtId="0" xfId="0" applyFill="1" applyFont="1"/>
    <xf borderId="0" fillId="2" fontId="1" numFmtId="0" xfId="0" applyAlignment="1" applyFont="1">
      <alignment shrinkToFit="0" wrapText="1"/>
    </xf>
    <xf borderId="0" fillId="3" fontId="1" numFmtId="0" xfId="0" applyFill="1" applyFont="1"/>
    <xf borderId="0" fillId="3" fontId="1" numFmtId="0" xfId="0" applyAlignment="1" applyFont="1">
      <alignment shrinkToFit="0" wrapText="1"/>
    </xf>
    <xf borderId="0" fillId="4" fontId="1" numFmtId="0" xfId="0" applyFill="1" applyFont="1"/>
    <xf borderId="0" fillId="4" fontId="1" numFmtId="0" xfId="0" applyAlignment="1" applyFont="1">
      <alignment shrinkToFit="0" wrapText="1"/>
    </xf>
    <xf borderId="0" fillId="3" fontId="3" numFmtId="0" xfId="0" applyFont="1"/>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5"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1" t="s">
        <v>15</v>
      </c>
      <c r="B2" s="1" t="s">
        <v>16</v>
      </c>
      <c r="C2" s="1" t="s">
        <v>17</v>
      </c>
      <c r="D2" s="1" t="s">
        <v>18</v>
      </c>
      <c r="E2" s="1" t="s">
        <v>19</v>
      </c>
      <c r="F2" s="1" t="s">
        <v>20</v>
      </c>
      <c r="G2" s="1">
        <v>45.0</v>
      </c>
      <c r="H2" s="1">
        <v>97.0</v>
      </c>
      <c r="I2" s="1">
        <v>58.0</v>
      </c>
      <c r="J2" s="1">
        <v>76.0</v>
      </c>
      <c r="K2" s="1">
        <v>71.0</v>
      </c>
      <c r="L2" s="1">
        <v>347.0</v>
      </c>
      <c r="M2" s="1">
        <v>69.4</v>
      </c>
      <c r="N2" s="1">
        <v>84.0</v>
      </c>
      <c r="O2" s="1" t="s">
        <v>21</v>
      </c>
    </row>
    <row r="3">
      <c r="A3" s="1" t="s">
        <v>22</v>
      </c>
      <c r="B3" s="1" t="s">
        <v>23</v>
      </c>
      <c r="C3" s="1" t="s">
        <v>17</v>
      </c>
      <c r="D3" s="1" t="s">
        <v>24</v>
      </c>
      <c r="E3" s="1" t="s">
        <v>25</v>
      </c>
      <c r="F3" s="1" t="s">
        <v>26</v>
      </c>
      <c r="G3" s="1">
        <v>89.0</v>
      </c>
      <c r="H3" s="1">
        <v>83.0</v>
      </c>
      <c r="I3" s="1">
        <v>96.0</v>
      </c>
      <c r="J3" s="1">
        <v>54.0</v>
      </c>
      <c r="K3" s="1">
        <v>57.0</v>
      </c>
      <c r="L3" s="1">
        <v>379.0</v>
      </c>
      <c r="M3" s="1">
        <v>75.8</v>
      </c>
      <c r="N3" s="1">
        <v>89.0</v>
      </c>
      <c r="O3" s="1" t="s">
        <v>21</v>
      </c>
    </row>
    <row r="4">
      <c r="A4" s="1" t="s">
        <v>27</v>
      </c>
      <c r="B4" s="1" t="s">
        <v>28</v>
      </c>
      <c r="C4" s="1" t="s">
        <v>17</v>
      </c>
      <c r="D4" s="1" t="s">
        <v>29</v>
      </c>
      <c r="E4" s="1" t="s">
        <v>25</v>
      </c>
      <c r="F4" s="1" t="s">
        <v>26</v>
      </c>
      <c r="G4" s="1">
        <v>48.0</v>
      </c>
      <c r="H4" s="1">
        <v>53.0</v>
      </c>
      <c r="I4" s="1">
        <v>61.0</v>
      </c>
      <c r="J4" s="1">
        <v>57.0</v>
      </c>
      <c r="K4" s="1">
        <v>81.0</v>
      </c>
      <c r="L4" s="1">
        <v>300.0</v>
      </c>
      <c r="M4" s="1">
        <v>60.0</v>
      </c>
      <c r="N4" s="1">
        <v>86.0</v>
      </c>
      <c r="O4" s="1" t="s">
        <v>21</v>
      </c>
    </row>
    <row r="5">
      <c r="A5" s="1" t="s">
        <v>30</v>
      </c>
      <c r="B5" s="1" t="s">
        <v>31</v>
      </c>
      <c r="C5" s="1" t="s">
        <v>32</v>
      </c>
      <c r="D5" s="1" t="s">
        <v>29</v>
      </c>
      <c r="E5" s="1" t="s">
        <v>25</v>
      </c>
      <c r="F5" s="1" t="s">
        <v>26</v>
      </c>
      <c r="G5" s="1">
        <v>84.0</v>
      </c>
      <c r="H5" s="1">
        <v>56.0</v>
      </c>
      <c r="I5" s="1">
        <v>72.0</v>
      </c>
      <c r="J5" s="1">
        <v>92.0</v>
      </c>
      <c r="K5" s="1">
        <v>68.0</v>
      </c>
      <c r="L5" s="1">
        <v>372.0</v>
      </c>
      <c r="M5" s="1">
        <v>74.4</v>
      </c>
      <c r="N5" s="1">
        <v>84.0</v>
      </c>
      <c r="O5" s="1" t="s">
        <v>21</v>
      </c>
    </row>
    <row r="6">
      <c r="A6" s="1" t="s">
        <v>33</v>
      </c>
      <c r="B6" s="1" t="s">
        <v>34</v>
      </c>
      <c r="C6" s="1" t="s">
        <v>17</v>
      </c>
      <c r="D6" s="1" t="s">
        <v>29</v>
      </c>
      <c r="E6" s="1" t="s">
        <v>25</v>
      </c>
      <c r="F6" s="1" t="s">
        <v>20</v>
      </c>
      <c r="G6" s="1">
        <v>71.0</v>
      </c>
      <c r="H6" s="1">
        <v>48.0</v>
      </c>
      <c r="I6" s="1">
        <v>54.0</v>
      </c>
      <c r="J6" s="1">
        <v>79.0</v>
      </c>
      <c r="K6" s="1">
        <v>92.0</v>
      </c>
      <c r="L6" s="1">
        <v>344.0</v>
      </c>
      <c r="M6" s="1">
        <v>68.8</v>
      </c>
      <c r="N6" s="1">
        <v>80.0</v>
      </c>
      <c r="O6" s="1" t="s">
        <v>21</v>
      </c>
    </row>
    <row r="7">
      <c r="A7" s="1" t="s">
        <v>35</v>
      </c>
      <c r="B7" s="1" t="s">
        <v>36</v>
      </c>
      <c r="C7" s="1" t="s">
        <v>32</v>
      </c>
      <c r="D7" s="1" t="s">
        <v>24</v>
      </c>
      <c r="E7" s="1" t="s">
        <v>25</v>
      </c>
      <c r="F7" s="1" t="s">
        <v>37</v>
      </c>
      <c r="G7" s="1">
        <v>97.0</v>
      </c>
      <c r="H7" s="1">
        <v>44.0</v>
      </c>
      <c r="I7" s="1">
        <v>81.0</v>
      </c>
      <c r="J7" s="1">
        <v>69.0</v>
      </c>
      <c r="K7" s="1">
        <v>57.0</v>
      </c>
      <c r="L7" s="1">
        <v>348.0</v>
      </c>
      <c r="M7" s="1">
        <v>69.6</v>
      </c>
      <c r="N7" s="1">
        <v>66.0</v>
      </c>
      <c r="O7" s="1" t="s">
        <v>21</v>
      </c>
    </row>
    <row r="8">
      <c r="A8" s="1" t="s">
        <v>38</v>
      </c>
      <c r="B8" s="1" t="s">
        <v>39</v>
      </c>
      <c r="C8" s="1" t="s">
        <v>17</v>
      </c>
      <c r="D8" s="1" t="s">
        <v>40</v>
      </c>
      <c r="E8" s="1" t="s">
        <v>25</v>
      </c>
      <c r="F8" s="1" t="s">
        <v>41</v>
      </c>
      <c r="G8" s="1">
        <v>93.0</v>
      </c>
      <c r="H8" s="1">
        <v>100.0</v>
      </c>
      <c r="I8" s="1">
        <v>58.0</v>
      </c>
      <c r="J8" s="1">
        <v>46.0</v>
      </c>
      <c r="K8" s="1">
        <v>67.0</v>
      </c>
      <c r="L8" s="1">
        <v>364.0</v>
      </c>
      <c r="M8" s="1">
        <v>72.8</v>
      </c>
      <c r="N8" s="1">
        <v>74.0</v>
      </c>
      <c r="O8" s="1" t="s">
        <v>21</v>
      </c>
    </row>
    <row r="9">
      <c r="A9" s="1" t="s">
        <v>42</v>
      </c>
      <c r="B9" s="1" t="s">
        <v>43</v>
      </c>
      <c r="C9" s="1" t="s">
        <v>17</v>
      </c>
      <c r="D9" s="1" t="s">
        <v>24</v>
      </c>
      <c r="E9" s="1" t="s">
        <v>25</v>
      </c>
      <c r="F9" s="1" t="s">
        <v>44</v>
      </c>
      <c r="G9" s="1">
        <v>63.0</v>
      </c>
      <c r="H9" s="1">
        <v>99.0</v>
      </c>
      <c r="I9" s="1">
        <v>44.0</v>
      </c>
      <c r="J9" s="1">
        <v>51.0</v>
      </c>
      <c r="K9" s="1">
        <v>59.0</v>
      </c>
      <c r="L9" s="1">
        <v>316.0</v>
      </c>
      <c r="M9" s="1">
        <v>63.2</v>
      </c>
      <c r="N9" s="1">
        <v>66.0</v>
      </c>
      <c r="O9" s="1" t="s">
        <v>21</v>
      </c>
    </row>
    <row r="10">
      <c r="A10" s="1" t="s">
        <v>45</v>
      </c>
      <c r="B10" s="1" t="s">
        <v>46</v>
      </c>
      <c r="C10" s="1" t="s">
        <v>17</v>
      </c>
      <c r="D10" s="1" t="s">
        <v>40</v>
      </c>
      <c r="E10" s="1" t="s">
        <v>47</v>
      </c>
      <c r="F10" s="1" t="s">
        <v>26</v>
      </c>
      <c r="G10" s="1">
        <v>81.0</v>
      </c>
      <c r="H10" s="1">
        <v>62.0</v>
      </c>
      <c r="I10" s="1">
        <v>65.0</v>
      </c>
      <c r="J10" s="1">
        <v>47.0</v>
      </c>
      <c r="K10" s="1">
        <v>57.0</v>
      </c>
      <c r="L10" s="1">
        <v>312.0</v>
      </c>
      <c r="M10" s="1">
        <v>62.4</v>
      </c>
      <c r="N10" s="1">
        <v>73.0</v>
      </c>
      <c r="O10" s="1" t="s">
        <v>21</v>
      </c>
    </row>
    <row r="11">
      <c r="A11" s="1" t="s">
        <v>48</v>
      </c>
      <c r="B11" s="1" t="s">
        <v>49</v>
      </c>
      <c r="C11" s="1" t="s">
        <v>32</v>
      </c>
      <c r="D11" s="1" t="s">
        <v>18</v>
      </c>
      <c r="E11" s="1" t="s">
        <v>19</v>
      </c>
      <c r="F11" s="1" t="s">
        <v>26</v>
      </c>
      <c r="G11" s="1">
        <v>74.0</v>
      </c>
      <c r="H11" s="1">
        <v>63.0</v>
      </c>
      <c r="I11" s="1">
        <v>66.0</v>
      </c>
      <c r="J11" s="1">
        <v>60.0</v>
      </c>
      <c r="K11" s="1">
        <v>90.0</v>
      </c>
      <c r="L11" s="1">
        <v>353.0</v>
      </c>
      <c r="M11" s="1">
        <v>70.6</v>
      </c>
      <c r="N11" s="1">
        <v>88.0</v>
      </c>
      <c r="O11" s="1" t="s">
        <v>21</v>
      </c>
    </row>
    <row r="12">
      <c r="A12" s="1" t="s">
        <v>50</v>
      </c>
      <c r="B12" s="1" t="s">
        <v>51</v>
      </c>
      <c r="C12" s="1" t="s">
        <v>17</v>
      </c>
      <c r="D12" s="1" t="s">
        <v>24</v>
      </c>
      <c r="E12" s="1" t="s">
        <v>25</v>
      </c>
      <c r="F12" s="1" t="s">
        <v>20</v>
      </c>
      <c r="G12" s="1">
        <v>51.0</v>
      </c>
      <c r="H12" s="1">
        <v>40.0</v>
      </c>
      <c r="I12" s="1">
        <v>43.0</v>
      </c>
      <c r="J12" s="1">
        <v>99.0</v>
      </c>
      <c r="K12" s="1">
        <v>45.0</v>
      </c>
      <c r="L12" s="1">
        <v>278.0</v>
      </c>
      <c r="M12" s="1">
        <v>55.6</v>
      </c>
      <c r="N12" s="1">
        <v>98.0</v>
      </c>
      <c r="O12" s="1" t="s">
        <v>21</v>
      </c>
    </row>
    <row r="13">
      <c r="A13" s="1" t="s">
        <v>52</v>
      </c>
      <c r="B13" s="1" t="s">
        <v>53</v>
      </c>
      <c r="C13" s="1" t="s">
        <v>32</v>
      </c>
      <c r="D13" s="1" t="s">
        <v>54</v>
      </c>
      <c r="E13" s="1" t="s">
        <v>19</v>
      </c>
      <c r="F13" s="1" t="s">
        <v>55</v>
      </c>
      <c r="G13" s="1">
        <v>71.0</v>
      </c>
      <c r="H13" s="1">
        <v>43.0</v>
      </c>
      <c r="I13" s="1">
        <v>97.0</v>
      </c>
      <c r="J13" s="1">
        <v>41.0</v>
      </c>
      <c r="K13" s="1">
        <v>57.0</v>
      </c>
      <c r="L13" s="1">
        <v>309.0</v>
      </c>
      <c r="M13" s="1">
        <v>61.8</v>
      </c>
      <c r="N13" s="1">
        <v>75.0</v>
      </c>
      <c r="O13" s="1" t="s">
        <v>21</v>
      </c>
    </row>
    <row r="14">
      <c r="A14" s="1" t="s">
        <v>56</v>
      </c>
      <c r="B14" s="1" t="s">
        <v>57</v>
      </c>
      <c r="C14" s="1" t="s">
        <v>32</v>
      </c>
      <c r="D14" s="1" t="s">
        <v>29</v>
      </c>
      <c r="E14" s="1" t="s">
        <v>47</v>
      </c>
      <c r="F14" s="1" t="s">
        <v>41</v>
      </c>
      <c r="G14" s="1">
        <v>75.0</v>
      </c>
      <c r="H14" s="1">
        <v>46.0</v>
      </c>
      <c r="I14" s="1">
        <v>58.0</v>
      </c>
      <c r="J14" s="1">
        <v>77.0</v>
      </c>
      <c r="K14" s="1">
        <v>41.0</v>
      </c>
      <c r="L14" s="1">
        <v>297.0</v>
      </c>
      <c r="M14" s="1">
        <v>59.4</v>
      </c>
      <c r="N14" s="1">
        <v>61.0</v>
      </c>
      <c r="O14" s="1" t="s">
        <v>21</v>
      </c>
    </row>
    <row r="15">
      <c r="A15" s="1" t="s">
        <v>58</v>
      </c>
      <c r="B15" s="1" t="s">
        <v>59</v>
      </c>
      <c r="C15" s="1" t="s">
        <v>32</v>
      </c>
      <c r="D15" s="1" t="s">
        <v>40</v>
      </c>
      <c r="E15" s="1" t="s">
        <v>25</v>
      </c>
      <c r="F15" s="1" t="s">
        <v>20</v>
      </c>
      <c r="G15" s="1">
        <v>78.0</v>
      </c>
      <c r="H15" s="1">
        <v>92.0</v>
      </c>
      <c r="I15" s="1">
        <v>58.0</v>
      </c>
      <c r="J15" s="1">
        <v>42.0</v>
      </c>
      <c r="K15" s="1">
        <v>69.0</v>
      </c>
      <c r="L15" s="1">
        <v>339.0</v>
      </c>
      <c r="M15" s="1">
        <v>67.8</v>
      </c>
      <c r="N15" s="1">
        <v>85.0</v>
      </c>
      <c r="O15" s="1" t="s">
        <v>21</v>
      </c>
    </row>
    <row r="16">
      <c r="A16" s="1" t="s">
        <v>60</v>
      </c>
      <c r="B16" s="1" t="s">
        <v>61</v>
      </c>
      <c r="C16" s="1" t="s">
        <v>17</v>
      </c>
      <c r="D16" s="1" t="s">
        <v>24</v>
      </c>
      <c r="E16" s="1" t="s">
        <v>19</v>
      </c>
      <c r="F16" s="1" t="s">
        <v>62</v>
      </c>
      <c r="G16" s="1">
        <v>62.0</v>
      </c>
      <c r="H16" s="1">
        <v>40.0</v>
      </c>
      <c r="I16" s="1">
        <v>69.0</v>
      </c>
      <c r="J16" s="1">
        <v>98.0</v>
      </c>
      <c r="K16" s="1">
        <v>76.0</v>
      </c>
      <c r="L16" s="1">
        <v>345.0</v>
      </c>
      <c r="M16" s="1">
        <v>69.0</v>
      </c>
      <c r="N16" s="1">
        <v>68.0</v>
      </c>
      <c r="O16" s="1" t="s">
        <v>21</v>
      </c>
    </row>
    <row r="17">
      <c r="A17" s="1" t="s">
        <v>63</v>
      </c>
      <c r="B17" s="1" t="s">
        <v>64</v>
      </c>
      <c r="C17" s="1" t="s">
        <v>32</v>
      </c>
      <c r="D17" s="1" t="s">
        <v>24</v>
      </c>
      <c r="E17" s="1" t="s">
        <v>25</v>
      </c>
      <c r="F17" s="1" t="s">
        <v>55</v>
      </c>
      <c r="G17" s="1">
        <v>43.0</v>
      </c>
      <c r="H17" s="1">
        <v>42.0</v>
      </c>
      <c r="I17" s="1">
        <v>70.0</v>
      </c>
      <c r="J17" s="1">
        <v>73.0</v>
      </c>
      <c r="K17" s="1">
        <v>77.0</v>
      </c>
      <c r="L17" s="1">
        <v>305.0</v>
      </c>
      <c r="M17" s="1">
        <v>61.0</v>
      </c>
      <c r="N17" s="1">
        <v>79.0</v>
      </c>
      <c r="O17" s="1" t="s">
        <v>21</v>
      </c>
    </row>
    <row r="18">
      <c r="A18" s="1" t="s">
        <v>65</v>
      </c>
      <c r="B18" s="1" t="s">
        <v>66</v>
      </c>
      <c r="C18" s="1" t="s">
        <v>17</v>
      </c>
      <c r="D18" s="1" t="s">
        <v>54</v>
      </c>
      <c r="E18" s="1" t="s">
        <v>25</v>
      </c>
      <c r="F18" s="1" t="s">
        <v>37</v>
      </c>
      <c r="G18" s="1">
        <v>90.0</v>
      </c>
      <c r="H18" s="1">
        <v>77.0</v>
      </c>
      <c r="I18" s="1">
        <v>48.0</v>
      </c>
      <c r="J18" s="1">
        <v>79.0</v>
      </c>
      <c r="K18" s="1">
        <v>71.0</v>
      </c>
      <c r="L18" s="1">
        <v>365.0</v>
      </c>
      <c r="M18" s="1">
        <v>73.0</v>
      </c>
      <c r="N18" s="1">
        <v>61.0</v>
      </c>
      <c r="O18" s="1" t="s">
        <v>21</v>
      </c>
    </row>
    <row r="19">
      <c r="A19" s="1" t="s">
        <v>67</v>
      </c>
      <c r="B19" s="1" t="s">
        <v>68</v>
      </c>
      <c r="C19" s="1" t="s">
        <v>32</v>
      </c>
      <c r="D19" s="1" t="s">
        <v>40</v>
      </c>
      <c r="E19" s="1" t="s">
        <v>47</v>
      </c>
      <c r="F19" s="1" t="s">
        <v>62</v>
      </c>
      <c r="G19" s="1">
        <v>58.0</v>
      </c>
      <c r="H19" s="1">
        <v>94.0</v>
      </c>
      <c r="I19" s="1">
        <v>97.0</v>
      </c>
      <c r="J19" s="1">
        <v>82.0</v>
      </c>
      <c r="K19" s="1">
        <v>48.0</v>
      </c>
      <c r="L19" s="1">
        <v>379.0</v>
      </c>
      <c r="M19" s="1">
        <v>75.8</v>
      </c>
      <c r="N19" s="1">
        <v>90.0</v>
      </c>
      <c r="O19" s="1" t="s">
        <v>21</v>
      </c>
    </row>
    <row r="20">
      <c r="A20" s="1" t="s">
        <v>69</v>
      </c>
      <c r="B20" s="1" t="s">
        <v>70</v>
      </c>
      <c r="C20" s="1" t="s">
        <v>17</v>
      </c>
      <c r="D20" s="1" t="s">
        <v>54</v>
      </c>
      <c r="E20" s="1" t="s">
        <v>47</v>
      </c>
      <c r="F20" s="1" t="s">
        <v>20</v>
      </c>
      <c r="G20" s="1">
        <v>83.0</v>
      </c>
      <c r="H20" s="1">
        <v>60.0</v>
      </c>
      <c r="I20" s="1">
        <v>95.0</v>
      </c>
      <c r="J20" s="1">
        <v>99.0</v>
      </c>
      <c r="K20" s="1">
        <v>66.0</v>
      </c>
      <c r="L20" s="1">
        <v>403.0</v>
      </c>
      <c r="M20" s="1">
        <v>80.6</v>
      </c>
      <c r="N20" s="1">
        <v>65.0</v>
      </c>
      <c r="O20" s="1" t="s">
        <v>21</v>
      </c>
    </row>
    <row r="21" ht="15.75" customHeight="1">
      <c r="A21" s="1" t="s">
        <v>71</v>
      </c>
      <c r="B21" s="1" t="s">
        <v>72</v>
      </c>
      <c r="C21" s="1" t="s">
        <v>32</v>
      </c>
      <c r="D21" s="1" t="s">
        <v>40</v>
      </c>
      <c r="E21" s="1" t="s">
        <v>47</v>
      </c>
      <c r="F21" s="1" t="s">
        <v>44</v>
      </c>
      <c r="G21" s="1">
        <v>56.0</v>
      </c>
      <c r="H21" s="1">
        <v>97.0</v>
      </c>
      <c r="I21" s="1">
        <v>67.0</v>
      </c>
      <c r="J21" s="1">
        <v>44.0</v>
      </c>
      <c r="K21" s="1">
        <v>100.0</v>
      </c>
      <c r="L21" s="1">
        <v>364.0</v>
      </c>
      <c r="M21" s="1">
        <v>72.8</v>
      </c>
      <c r="N21" s="1">
        <v>88.0</v>
      </c>
      <c r="O21" s="1" t="s">
        <v>21</v>
      </c>
    </row>
    <row r="22" ht="15.75" customHeight="1">
      <c r="A22" s="1" t="s">
        <v>73</v>
      </c>
      <c r="B22" s="1" t="s">
        <v>74</v>
      </c>
      <c r="C22" s="1" t="s">
        <v>32</v>
      </c>
      <c r="D22" s="1" t="s">
        <v>40</v>
      </c>
      <c r="E22" s="1" t="s">
        <v>25</v>
      </c>
      <c r="F22" s="1" t="s">
        <v>41</v>
      </c>
      <c r="G22" s="1">
        <v>88.0</v>
      </c>
      <c r="H22" s="1">
        <v>65.0</v>
      </c>
      <c r="I22" s="1">
        <v>57.0</v>
      </c>
      <c r="J22" s="1">
        <v>52.0</v>
      </c>
      <c r="K22" s="1">
        <v>53.0</v>
      </c>
      <c r="L22" s="1">
        <v>315.0</v>
      </c>
      <c r="M22" s="1">
        <v>63.0</v>
      </c>
      <c r="N22" s="1">
        <v>98.0</v>
      </c>
      <c r="O22" s="1" t="s">
        <v>21</v>
      </c>
    </row>
    <row r="23" ht="15.75" customHeight="1">
      <c r="A23" s="1" t="s">
        <v>75</v>
      </c>
      <c r="B23" s="1" t="s">
        <v>76</v>
      </c>
      <c r="C23" s="1" t="s">
        <v>17</v>
      </c>
      <c r="D23" s="1" t="s">
        <v>18</v>
      </c>
      <c r="E23" s="1" t="s">
        <v>19</v>
      </c>
      <c r="F23" s="1" t="s">
        <v>77</v>
      </c>
      <c r="G23" s="1">
        <v>41.0</v>
      </c>
      <c r="H23" s="1">
        <v>76.0</v>
      </c>
      <c r="I23" s="1">
        <v>65.0</v>
      </c>
      <c r="J23" s="1">
        <v>97.0</v>
      </c>
      <c r="K23" s="1">
        <v>59.0</v>
      </c>
      <c r="L23" s="1">
        <v>338.0</v>
      </c>
      <c r="M23" s="1">
        <v>67.6</v>
      </c>
      <c r="N23" s="1">
        <v>62.0</v>
      </c>
      <c r="O23" s="1" t="s">
        <v>21</v>
      </c>
    </row>
    <row r="24" ht="15.75" customHeight="1">
      <c r="A24" s="1" t="s">
        <v>78</v>
      </c>
      <c r="B24" s="1" t="s">
        <v>79</v>
      </c>
      <c r="C24" s="1" t="s">
        <v>17</v>
      </c>
      <c r="D24" s="1" t="s">
        <v>18</v>
      </c>
      <c r="E24" s="1" t="s">
        <v>19</v>
      </c>
      <c r="F24" s="1" t="s">
        <v>20</v>
      </c>
      <c r="G24" s="1">
        <v>77.0</v>
      </c>
      <c r="H24" s="1">
        <v>93.0</v>
      </c>
      <c r="I24" s="1">
        <v>90.0</v>
      </c>
      <c r="J24" s="1">
        <v>84.0</v>
      </c>
      <c r="K24" s="1">
        <v>46.0</v>
      </c>
      <c r="L24" s="1">
        <v>390.0</v>
      </c>
      <c r="M24" s="1">
        <v>78.0</v>
      </c>
      <c r="N24" s="1">
        <v>75.0</v>
      </c>
      <c r="O24" s="1" t="s">
        <v>21</v>
      </c>
    </row>
    <row r="25" ht="15.75" customHeight="1">
      <c r="A25" s="1" t="s">
        <v>80</v>
      </c>
      <c r="B25" s="1" t="s">
        <v>81</v>
      </c>
      <c r="C25" s="1" t="s">
        <v>17</v>
      </c>
      <c r="D25" s="1" t="s">
        <v>54</v>
      </c>
      <c r="E25" s="1" t="s">
        <v>47</v>
      </c>
      <c r="F25" s="1" t="s">
        <v>20</v>
      </c>
      <c r="G25" s="1">
        <v>59.0</v>
      </c>
      <c r="H25" s="1">
        <v>56.0</v>
      </c>
      <c r="I25" s="1">
        <v>79.0</v>
      </c>
      <c r="J25" s="1">
        <v>80.0</v>
      </c>
      <c r="K25" s="1">
        <v>90.0</v>
      </c>
      <c r="L25" s="1">
        <v>364.0</v>
      </c>
      <c r="M25" s="1">
        <v>72.8</v>
      </c>
      <c r="N25" s="1">
        <v>60.0</v>
      </c>
      <c r="O25" s="1" t="s">
        <v>21</v>
      </c>
    </row>
    <row r="26" ht="15.75" customHeight="1">
      <c r="A26" s="1" t="s">
        <v>82</v>
      </c>
      <c r="B26" s="1" t="s">
        <v>83</v>
      </c>
      <c r="C26" s="1" t="s">
        <v>17</v>
      </c>
      <c r="D26" s="1" t="s">
        <v>18</v>
      </c>
      <c r="E26" s="1" t="s">
        <v>47</v>
      </c>
      <c r="F26" s="1" t="s">
        <v>44</v>
      </c>
      <c r="G26" s="1">
        <v>90.0</v>
      </c>
      <c r="H26" s="1">
        <v>54.0</v>
      </c>
      <c r="I26" s="1">
        <v>64.0</v>
      </c>
      <c r="J26" s="1">
        <v>49.0</v>
      </c>
      <c r="K26" s="1">
        <v>67.0</v>
      </c>
      <c r="L26" s="1">
        <v>324.0</v>
      </c>
      <c r="M26" s="1">
        <v>64.8</v>
      </c>
      <c r="N26" s="1">
        <v>76.0</v>
      </c>
      <c r="O26" s="1" t="s">
        <v>21</v>
      </c>
    </row>
    <row r="27" ht="15.75" customHeight="1">
      <c r="A27" s="1" t="s">
        <v>84</v>
      </c>
      <c r="B27" s="1" t="s">
        <v>85</v>
      </c>
      <c r="C27" s="1" t="s">
        <v>32</v>
      </c>
      <c r="D27" s="1" t="s">
        <v>29</v>
      </c>
      <c r="E27" s="1" t="s">
        <v>25</v>
      </c>
      <c r="F27" s="1" t="s">
        <v>62</v>
      </c>
      <c r="G27" s="1">
        <v>68.0</v>
      </c>
      <c r="H27" s="1">
        <v>42.0</v>
      </c>
      <c r="I27" s="1">
        <v>96.0</v>
      </c>
      <c r="J27" s="1">
        <v>84.0</v>
      </c>
      <c r="K27" s="1">
        <v>53.0</v>
      </c>
      <c r="L27" s="1">
        <v>343.0</v>
      </c>
      <c r="M27" s="1">
        <v>68.6</v>
      </c>
      <c r="N27" s="1">
        <v>93.0</v>
      </c>
      <c r="O27" s="1" t="s">
        <v>21</v>
      </c>
    </row>
    <row r="28" ht="15.75" customHeight="1">
      <c r="A28" s="1" t="s">
        <v>86</v>
      </c>
      <c r="B28" s="1" t="s">
        <v>87</v>
      </c>
      <c r="C28" s="1" t="s">
        <v>32</v>
      </c>
      <c r="D28" s="1" t="s">
        <v>29</v>
      </c>
      <c r="E28" s="1" t="s">
        <v>47</v>
      </c>
      <c r="F28" s="1" t="s">
        <v>77</v>
      </c>
      <c r="G28" s="1">
        <v>100.0</v>
      </c>
      <c r="H28" s="1">
        <v>49.0</v>
      </c>
      <c r="I28" s="1">
        <v>69.0</v>
      </c>
      <c r="J28" s="1">
        <v>66.0</v>
      </c>
      <c r="K28" s="1">
        <v>72.0</v>
      </c>
      <c r="L28" s="1">
        <v>356.0</v>
      </c>
      <c r="M28" s="1">
        <v>71.2</v>
      </c>
      <c r="N28" s="1">
        <v>70.0</v>
      </c>
      <c r="O28" s="1" t="s">
        <v>21</v>
      </c>
    </row>
    <row r="29" ht="15.75" customHeight="1">
      <c r="A29" s="1" t="s">
        <v>88</v>
      </c>
      <c r="B29" s="1" t="s">
        <v>89</v>
      </c>
      <c r="C29" s="1" t="s">
        <v>32</v>
      </c>
      <c r="D29" s="1" t="s">
        <v>24</v>
      </c>
      <c r="E29" s="1" t="s">
        <v>19</v>
      </c>
      <c r="F29" s="1" t="s">
        <v>26</v>
      </c>
      <c r="G29" s="1">
        <v>77.0</v>
      </c>
      <c r="H29" s="1">
        <v>72.0</v>
      </c>
      <c r="I29" s="1">
        <v>81.0</v>
      </c>
      <c r="J29" s="1">
        <v>83.0</v>
      </c>
      <c r="K29" s="1">
        <v>76.0</v>
      </c>
      <c r="L29" s="1">
        <v>389.0</v>
      </c>
      <c r="M29" s="1">
        <v>77.8</v>
      </c>
      <c r="N29" s="1">
        <v>80.0</v>
      </c>
      <c r="O29" s="1" t="s">
        <v>21</v>
      </c>
    </row>
    <row r="30" ht="15.75" customHeight="1">
      <c r="A30" s="1" t="s">
        <v>90</v>
      </c>
      <c r="B30" s="1" t="s">
        <v>91</v>
      </c>
      <c r="C30" s="1" t="s">
        <v>32</v>
      </c>
      <c r="D30" s="1" t="s">
        <v>54</v>
      </c>
      <c r="E30" s="1" t="s">
        <v>25</v>
      </c>
      <c r="F30" s="1" t="s">
        <v>55</v>
      </c>
      <c r="G30" s="1">
        <v>91.0</v>
      </c>
      <c r="H30" s="1">
        <v>91.0</v>
      </c>
      <c r="I30" s="1">
        <v>68.0</v>
      </c>
      <c r="J30" s="1">
        <v>55.0</v>
      </c>
      <c r="K30" s="1">
        <v>94.0</v>
      </c>
      <c r="L30" s="1">
        <v>399.0</v>
      </c>
      <c r="M30" s="1">
        <v>79.8</v>
      </c>
      <c r="N30" s="1">
        <v>91.0</v>
      </c>
      <c r="O30" s="1" t="s">
        <v>21</v>
      </c>
    </row>
    <row r="31" ht="15.75" customHeight="1">
      <c r="A31" s="1" t="s">
        <v>92</v>
      </c>
      <c r="B31" s="1" t="s">
        <v>93</v>
      </c>
      <c r="C31" s="1" t="s">
        <v>17</v>
      </c>
      <c r="D31" s="1" t="s">
        <v>18</v>
      </c>
      <c r="E31" s="1" t="s">
        <v>25</v>
      </c>
      <c r="F31" s="1" t="s">
        <v>44</v>
      </c>
      <c r="G31" s="1">
        <v>58.0</v>
      </c>
      <c r="H31" s="1">
        <v>93.0</v>
      </c>
      <c r="I31" s="1">
        <v>63.0</v>
      </c>
      <c r="J31" s="1">
        <v>83.0</v>
      </c>
      <c r="K31" s="1">
        <v>44.0</v>
      </c>
      <c r="L31" s="1">
        <v>341.0</v>
      </c>
      <c r="M31" s="1">
        <v>68.2</v>
      </c>
      <c r="N31" s="1">
        <v>92.0</v>
      </c>
      <c r="O31" s="1" t="s">
        <v>21</v>
      </c>
    </row>
    <row r="32" ht="15.75" customHeight="1">
      <c r="A32" s="1" t="s">
        <v>94</v>
      </c>
      <c r="B32" s="1" t="s">
        <v>79</v>
      </c>
      <c r="C32" s="1" t="s">
        <v>32</v>
      </c>
      <c r="D32" s="1" t="s">
        <v>40</v>
      </c>
      <c r="E32" s="1" t="s">
        <v>25</v>
      </c>
      <c r="F32" s="1" t="s">
        <v>77</v>
      </c>
      <c r="G32" s="1">
        <v>61.0</v>
      </c>
      <c r="H32" s="1">
        <v>67.0</v>
      </c>
      <c r="I32" s="1">
        <v>41.0</v>
      </c>
      <c r="J32" s="1">
        <v>61.0</v>
      </c>
      <c r="K32" s="1">
        <v>92.0</v>
      </c>
      <c r="L32" s="1">
        <v>322.0</v>
      </c>
      <c r="M32" s="1">
        <v>64.4</v>
      </c>
      <c r="N32" s="1">
        <v>99.0</v>
      </c>
      <c r="O32" s="1" t="s">
        <v>21</v>
      </c>
    </row>
    <row r="33" ht="15.75" customHeight="1">
      <c r="A33" s="1" t="s">
        <v>95</v>
      </c>
      <c r="B33" s="1" t="s">
        <v>96</v>
      </c>
      <c r="C33" s="1" t="s">
        <v>17</v>
      </c>
      <c r="D33" s="1" t="s">
        <v>29</v>
      </c>
      <c r="E33" s="1" t="s">
        <v>19</v>
      </c>
      <c r="F33" s="1" t="s">
        <v>26</v>
      </c>
      <c r="G33" s="1">
        <v>63.0</v>
      </c>
      <c r="H33" s="1">
        <v>79.0</v>
      </c>
      <c r="I33" s="1">
        <v>91.0</v>
      </c>
      <c r="J33" s="1">
        <v>99.0</v>
      </c>
      <c r="K33" s="1">
        <v>41.0</v>
      </c>
      <c r="L33" s="1">
        <v>373.0</v>
      </c>
      <c r="M33" s="1">
        <v>74.6</v>
      </c>
      <c r="N33" s="1">
        <v>82.0</v>
      </c>
      <c r="O33" s="1" t="s">
        <v>21</v>
      </c>
    </row>
    <row r="34" ht="15.75" customHeight="1">
      <c r="A34" s="1" t="s">
        <v>97</v>
      </c>
      <c r="B34" s="1" t="s">
        <v>83</v>
      </c>
      <c r="C34" s="1" t="s">
        <v>32</v>
      </c>
      <c r="D34" s="1" t="s">
        <v>54</v>
      </c>
      <c r="E34" s="1" t="s">
        <v>25</v>
      </c>
      <c r="F34" s="1" t="s">
        <v>44</v>
      </c>
      <c r="G34" s="1">
        <v>72.0</v>
      </c>
      <c r="H34" s="1">
        <v>73.0</v>
      </c>
      <c r="I34" s="1">
        <v>82.0</v>
      </c>
      <c r="J34" s="1">
        <v>47.0</v>
      </c>
      <c r="K34" s="1">
        <v>69.0</v>
      </c>
      <c r="L34" s="1">
        <v>343.0</v>
      </c>
      <c r="M34" s="1">
        <v>68.6</v>
      </c>
      <c r="N34" s="1">
        <v>90.0</v>
      </c>
      <c r="O34" s="1" t="s">
        <v>21</v>
      </c>
    </row>
    <row r="35" ht="15.75" customHeight="1">
      <c r="A35" s="1" t="s">
        <v>98</v>
      </c>
      <c r="B35" s="1" t="s">
        <v>99</v>
      </c>
      <c r="C35" s="1" t="s">
        <v>17</v>
      </c>
      <c r="D35" s="1" t="s">
        <v>29</v>
      </c>
      <c r="E35" s="1" t="s">
        <v>25</v>
      </c>
      <c r="F35" s="1" t="s">
        <v>55</v>
      </c>
      <c r="G35" s="1">
        <v>55.0</v>
      </c>
      <c r="H35" s="1">
        <v>89.0</v>
      </c>
      <c r="I35" s="1">
        <v>86.0</v>
      </c>
      <c r="J35" s="1">
        <v>50.0</v>
      </c>
      <c r="K35" s="1">
        <v>67.0</v>
      </c>
      <c r="L35" s="1">
        <v>347.0</v>
      </c>
      <c r="M35" s="1">
        <v>69.4</v>
      </c>
      <c r="N35" s="1">
        <v>86.0</v>
      </c>
      <c r="O35" s="1" t="s">
        <v>21</v>
      </c>
    </row>
    <row r="36" ht="15.75" customHeight="1">
      <c r="A36" s="1" t="s">
        <v>100</v>
      </c>
      <c r="B36" s="1" t="s">
        <v>101</v>
      </c>
      <c r="C36" s="1" t="s">
        <v>32</v>
      </c>
      <c r="D36" s="1" t="s">
        <v>18</v>
      </c>
      <c r="E36" s="1" t="s">
        <v>47</v>
      </c>
      <c r="F36" s="1" t="s">
        <v>41</v>
      </c>
      <c r="G36" s="1">
        <v>54.0</v>
      </c>
      <c r="H36" s="1">
        <v>58.0</v>
      </c>
      <c r="I36" s="1">
        <v>43.0</v>
      </c>
      <c r="J36" s="1">
        <v>100.0</v>
      </c>
      <c r="K36" s="1">
        <v>48.0</v>
      </c>
      <c r="L36" s="1">
        <v>303.0</v>
      </c>
      <c r="M36" s="1">
        <v>60.6</v>
      </c>
      <c r="N36" s="1">
        <v>66.0</v>
      </c>
      <c r="O36" s="1" t="s">
        <v>21</v>
      </c>
    </row>
    <row r="37" ht="15.75" customHeight="1">
      <c r="A37" s="1" t="s">
        <v>102</v>
      </c>
      <c r="B37" s="1" t="s">
        <v>103</v>
      </c>
      <c r="C37" s="1" t="s">
        <v>32</v>
      </c>
      <c r="D37" s="1" t="s">
        <v>18</v>
      </c>
      <c r="E37" s="1" t="s">
        <v>47</v>
      </c>
      <c r="F37" s="1" t="s">
        <v>20</v>
      </c>
      <c r="G37" s="1">
        <v>64.0</v>
      </c>
      <c r="H37" s="1">
        <v>84.0</v>
      </c>
      <c r="I37" s="1">
        <v>48.0</v>
      </c>
      <c r="J37" s="1">
        <v>70.0</v>
      </c>
      <c r="K37" s="1">
        <v>100.0</v>
      </c>
      <c r="L37" s="1">
        <v>366.0</v>
      </c>
      <c r="M37" s="1">
        <v>73.2</v>
      </c>
      <c r="N37" s="1">
        <v>77.0</v>
      </c>
      <c r="O37" s="1" t="s">
        <v>21</v>
      </c>
    </row>
    <row r="38" ht="15.75" customHeight="1">
      <c r="A38" s="1" t="s">
        <v>104</v>
      </c>
      <c r="B38" s="1" t="s">
        <v>105</v>
      </c>
      <c r="C38" s="1" t="s">
        <v>17</v>
      </c>
      <c r="D38" s="1" t="s">
        <v>18</v>
      </c>
      <c r="E38" s="1" t="s">
        <v>19</v>
      </c>
      <c r="F38" s="1" t="s">
        <v>26</v>
      </c>
      <c r="G38" s="1">
        <v>92.0</v>
      </c>
      <c r="H38" s="1">
        <v>73.0</v>
      </c>
      <c r="I38" s="1">
        <v>44.0</v>
      </c>
      <c r="J38" s="1">
        <v>45.0</v>
      </c>
      <c r="K38" s="1">
        <v>91.0</v>
      </c>
      <c r="L38" s="1">
        <v>345.0</v>
      </c>
      <c r="M38" s="1">
        <v>69.0</v>
      </c>
      <c r="N38" s="1">
        <v>75.0</v>
      </c>
      <c r="O38" s="1" t="s">
        <v>21</v>
      </c>
    </row>
    <row r="39" ht="15.75" customHeight="1">
      <c r="A39" s="1" t="s">
        <v>106</v>
      </c>
      <c r="B39" s="1" t="s">
        <v>107</v>
      </c>
      <c r="C39" s="1" t="s">
        <v>17</v>
      </c>
      <c r="D39" s="1" t="s">
        <v>29</v>
      </c>
      <c r="E39" s="1" t="s">
        <v>19</v>
      </c>
      <c r="F39" s="1" t="s">
        <v>77</v>
      </c>
      <c r="G39" s="1">
        <v>94.0</v>
      </c>
      <c r="H39" s="1">
        <v>52.0</v>
      </c>
      <c r="I39" s="1">
        <v>54.0</v>
      </c>
      <c r="J39" s="1">
        <v>75.0</v>
      </c>
      <c r="K39" s="1">
        <v>54.0</v>
      </c>
      <c r="L39" s="1">
        <v>329.0</v>
      </c>
      <c r="M39" s="1">
        <v>65.8</v>
      </c>
      <c r="N39" s="1">
        <v>82.0</v>
      </c>
      <c r="O39" s="1" t="s">
        <v>21</v>
      </c>
    </row>
    <row r="40" ht="15.75" customHeight="1">
      <c r="A40" s="1" t="s">
        <v>108</v>
      </c>
      <c r="B40" s="1" t="s">
        <v>109</v>
      </c>
      <c r="C40" s="1" t="s">
        <v>17</v>
      </c>
      <c r="D40" s="1" t="s">
        <v>24</v>
      </c>
      <c r="E40" s="1" t="s">
        <v>25</v>
      </c>
      <c r="F40" s="1" t="s">
        <v>26</v>
      </c>
      <c r="G40" s="1">
        <v>55.0</v>
      </c>
      <c r="H40" s="1">
        <v>75.0</v>
      </c>
      <c r="I40" s="1">
        <v>45.0</v>
      </c>
      <c r="J40" s="1">
        <v>48.0</v>
      </c>
      <c r="K40" s="1">
        <v>72.0</v>
      </c>
      <c r="L40" s="1">
        <v>295.0</v>
      </c>
      <c r="M40" s="1">
        <v>59.0</v>
      </c>
      <c r="N40" s="1">
        <v>74.0</v>
      </c>
      <c r="O40" s="1" t="s">
        <v>21</v>
      </c>
    </row>
    <row r="41" ht="15.75" customHeight="1">
      <c r="A41" s="1" t="s">
        <v>110</v>
      </c>
      <c r="B41" s="1" t="s">
        <v>111</v>
      </c>
      <c r="C41" s="1" t="s">
        <v>17</v>
      </c>
      <c r="D41" s="1" t="s">
        <v>29</v>
      </c>
      <c r="E41" s="1" t="s">
        <v>47</v>
      </c>
      <c r="F41" s="1" t="s">
        <v>44</v>
      </c>
      <c r="G41" s="1">
        <v>71.0</v>
      </c>
      <c r="H41" s="1">
        <v>62.0</v>
      </c>
      <c r="I41" s="1">
        <v>40.0</v>
      </c>
      <c r="J41" s="1">
        <v>98.0</v>
      </c>
      <c r="K41" s="1">
        <v>56.0</v>
      </c>
      <c r="L41" s="1">
        <v>327.0</v>
      </c>
      <c r="M41" s="1">
        <v>65.4</v>
      </c>
      <c r="N41" s="1">
        <v>86.0</v>
      </c>
      <c r="O41" s="1" t="s">
        <v>21</v>
      </c>
    </row>
    <row r="42" ht="15.75" customHeight="1">
      <c r="A42" s="1" t="s">
        <v>112</v>
      </c>
      <c r="B42" s="1" t="s">
        <v>113</v>
      </c>
      <c r="C42" s="1" t="s">
        <v>17</v>
      </c>
      <c r="D42" s="1" t="s">
        <v>40</v>
      </c>
      <c r="E42" s="1" t="s">
        <v>19</v>
      </c>
      <c r="F42" s="1" t="s">
        <v>77</v>
      </c>
      <c r="G42" s="1">
        <v>55.0</v>
      </c>
      <c r="H42" s="1">
        <v>88.0</v>
      </c>
      <c r="I42" s="1">
        <v>75.0</v>
      </c>
      <c r="J42" s="1">
        <v>89.0</v>
      </c>
      <c r="K42" s="1">
        <v>69.0</v>
      </c>
      <c r="L42" s="1">
        <v>376.0</v>
      </c>
      <c r="M42" s="1">
        <v>75.2</v>
      </c>
      <c r="N42" s="1">
        <v>88.0</v>
      </c>
      <c r="O42" s="1" t="s">
        <v>21</v>
      </c>
    </row>
    <row r="43" ht="15.75" customHeight="1">
      <c r="A43" s="1" t="s">
        <v>114</v>
      </c>
      <c r="B43" s="1" t="s">
        <v>115</v>
      </c>
      <c r="C43" s="1" t="s">
        <v>32</v>
      </c>
      <c r="D43" s="1" t="s">
        <v>24</v>
      </c>
      <c r="E43" s="1" t="s">
        <v>19</v>
      </c>
      <c r="F43" s="1" t="s">
        <v>26</v>
      </c>
      <c r="G43" s="1">
        <v>42.0</v>
      </c>
      <c r="H43" s="1">
        <v>100.0</v>
      </c>
      <c r="I43" s="1">
        <v>44.0</v>
      </c>
      <c r="J43" s="1">
        <v>93.0</v>
      </c>
      <c r="K43" s="1">
        <v>75.0</v>
      </c>
      <c r="L43" s="1">
        <v>354.0</v>
      </c>
      <c r="M43" s="1">
        <v>70.8</v>
      </c>
      <c r="N43" s="1">
        <v>66.0</v>
      </c>
      <c r="O43" s="1" t="s">
        <v>21</v>
      </c>
    </row>
    <row r="44" ht="15.75" customHeight="1">
      <c r="A44" s="1" t="s">
        <v>116</v>
      </c>
      <c r="B44" s="1" t="s">
        <v>117</v>
      </c>
      <c r="C44" s="1" t="s">
        <v>17</v>
      </c>
      <c r="D44" s="1" t="s">
        <v>40</v>
      </c>
      <c r="E44" s="1" t="s">
        <v>19</v>
      </c>
      <c r="F44" s="1" t="s">
        <v>77</v>
      </c>
      <c r="G44" s="1">
        <v>88.0</v>
      </c>
      <c r="H44" s="1">
        <v>98.0</v>
      </c>
      <c r="I44" s="1">
        <v>45.0</v>
      </c>
      <c r="J44" s="1">
        <v>50.0</v>
      </c>
      <c r="K44" s="1">
        <v>53.0</v>
      </c>
      <c r="L44" s="1">
        <v>334.0</v>
      </c>
      <c r="M44" s="1">
        <v>66.8</v>
      </c>
      <c r="N44" s="1">
        <v>63.0</v>
      </c>
      <c r="O44" s="1" t="s">
        <v>21</v>
      </c>
    </row>
    <row r="45" ht="15.75" customHeight="1">
      <c r="A45" s="1" t="s">
        <v>118</v>
      </c>
      <c r="B45" s="1" t="s">
        <v>119</v>
      </c>
      <c r="C45" s="1" t="s">
        <v>17</v>
      </c>
      <c r="D45" s="1" t="s">
        <v>54</v>
      </c>
      <c r="E45" s="1" t="s">
        <v>25</v>
      </c>
      <c r="F45" s="1" t="s">
        <v>44</v>
      </c>
      <c r="G45" s="1">
        <v>85.0</v>
      </c>
      <c r="H45" s="1">
        <v>78.0</v>
      </c>
      <c r="I45" s="1">
        <v>89.0</v>
      </c>
      <c r="J45" s="1">
        <v>52.0</v>
      </c>
      <c r="K45" s="1">
        <v>47.0</v>
      </c>
      <c r="L45" s="1">
        <v>351.0</v>
      </c>
      <c r="M45" s="1">
        <v>70.2</v>
      </c>
      <c r="N45" s="1">
        <v>78.0</v>
      </c>
      <c r="O45" s="1" t="s">
        <v>21</v>
      </c>
    </row>
    <row r="46" ht="15.75" customHeight="1">
      <c r="A46" s="1" t="s">
        <v>120</v>
      </c>
      <c r="B46" s="1" t="s">
        <v>121</v>
      </c>
      <c r="C46" s="1" t="s">
        <v>17</v>
      </c>
      <c r="D46" s="1" t="s">
        <v>24</v>
      </c>
      <c r="E46" s="1" t="s">
        <v>25</v>
      </c>
      <c r="F46" s="1" t="s">
        <v>37</v>
      </c>
      <c r="G46" s="1">
        <v>52.0</v>
      </c>
      <c r="H46" s="1">
        <v>46.0</v>
      </c>
      <c r="I46" s="1">
        <v>87.0</v>
      </c>
      <c r="J46" s="1">
        <v>77.0</v>
      </c>
      <c r="K46" s="1">
        <v>55.0</v>
      </c>
      <c r="L46" s="1">
        <v>317.0</v>
      </c>
      <c r="M46" s="1">
        <v>63.4</v>
      </c>
      <c r="N46" s="1">
        <v>95.0</v>
      </c>
      <c r="O46" s="1" t="s">
        <v>21</v>
      </c>
    </row>
    <row r="47" ht="15.75" customHeight="1">
      <c r="A47" s="1" t="s">
        <v>122</v>
      </c>
      <c r="B47" s="1" t="s">
        <v>123</v>
      </c>
      <c r="C47" s="1" t="s">
        <v>17</v>
      </c>
      <c r="D47" s="1" t="s">
        <v>24</v>
      </c>
      <c r="E47" s="1" t="s">
        <v>47</v>
      </c>
      <c r="F47" s="1" t="s">
        <v>41</v>
      </c>
      <c r="G47" s="1">
        <v>41.0</v>
      </c>
      <c r="H47" s="1">
        <v>67.0</v>
      </c>
      <c r="I47" s="1">
        <v>78.0</v>
      </c>
      <c r="J47" s="1">
        <v>90.0</v>
      </c>
      <c r="K47" s="1">
        <v>71.0</v>
      </c>
      <c r="L47" s="1">
        <v>347.0</v>
      </c>
      <c r="M47" s="1">
        <v>69.4</v>
      </c>
      <c r="N47" s="1">
        <v>80.0</v>
      </c>
      <c r="O47" s="1" t="s">
        <v>21</v>
      </c>
    </row>
    <row r="48" ht="15.75" customHeight="1">
      <c r="A48" s="1" t="s">
        <v>124</v>
      </c>
      <c r="B48" s="1" t="s">
        <v>125</v>
      </c>
      <c r="C48" s="1" t="s">
        <v>32</v>
      </c>
      <c r="D48" s="1" t="s">
        <v>24</v>
      </c>
      <c r="E48" s="1" t="s">
        <v>19</v>
      </c>
      <c r="F48" s="1" t="s">
        <v>26</v>
      </c>
      <c r="G48" s="1">
        <v>77.0</v>
      </c>
      <c r="H48" s="1">
        <v>52.0</v>
      </c>
      <c r="I48" s="1">
        <v>45.0</v>
      </c>
      <c r="J48" s="1">
        <v>81.0</v>
      </c>
      <c r="K48" s="1">
        <v>57.0</v>
      </c>
      <c r="L48" s="1">
        <v>312.0</v>
      </c>
      <c r="M48" s="1">
        <v>62.4</v>
      </c>
      <c r="N48" s="1">
        <v>91.0</v>
      </c>
      <c r="O48" s="1" t="s">
        <v>21</v>
      </c>
    </row>
    <row r="49" ht="15.75" customHeight="1">
      <c r="A49" s="1" t="s">
        <v>126</v>
      </c>
      <c r="B49" s="1" t="s">
        <v>127</v>
      </c>
      <c r="C49" s="1" t="s">
        <v>17</v>
      </c>
      <c r="D49" s="1" t="s">
        <v>24</v>
      </c>
      <c r="E49" s="1" t="s">
        <v>25</v>
      </c>
      <c r="F49" s="1" t="s">
        <v>44</v>
      </c>
      <c r="G49" s="1">
        <v>70.0</v>
      </c>
      <c r="H49" s="1">
        <v>89.0</v>
      </c>
      <c r="I49" s="1">
        <v>69.0</v>
      </c>
      <c r="J49" s="1">
        <v>45.0</v>
      </c>
      <c r="K49" s="1">
        <v>77.0</v>
      </c>
      <c r="L49" s="1">
        <v>350.0</v>
      </c>
      <c r="M49" s="1">
        <v>70.0</v>
      </c>
      <c r="N49" s="1">
        <v>62.0</v>
      </c>
      <c r="O49" s="1" t="s">
        <v>21</v>
      </c>
    </row>
    <row r="50" ht="15.75" customHeight="1">
      <c r="A50" s="1" t="s">
        <v>128</v>
      </c>
      <c r="B50" s="1" t="s">
        <v>101</v>
      </c>
      <c r="C50" s="1" t="s">
        <v>32</v>
      </c>
      <c r="D50" s="1" t="s">
        <v>54</v>
      </c>
      <c r="E50" s="1" t="s">
        <v>25</v>
      </c>
      <c r="F50" s="1" t="s">
        <v>44</v>
      </c>
      <c r="G50" s="1">
        <v>46.0</v>
      </c>
      <c r="H50" s="1">
        <v>50.0</v>
      </c>
      <c r="I50" s="1">
        <v>59.0</v>
      </c>
      <c r="J50" s="1">
        <v>81.0</v>
      </c>
      <c r="K50" s="1">
        <v>51.0</v>
      </c>
      <c r="L50" s="1">
        <v>287.0</v>
      </c>
      <c r="M50" s="1">
        <v>57.4</v>
      </c>
      <c r="N50" s="1">
        <v>87.0</v>
      </c>
      <c r="O50" s="1" t="s">
        <v>21</v>
      </c>
    </row>
    <row r="51" ht="15.75" customHeight="1">
      <c r="A51" s="1" t="s">
        <v>129</v>
      </c>
      <c r="B51" s="1" t="s">
        <v>96</v>
      </c>
      <c r="C51" s="1" t="s">
        <v>17</v>
      </c>
      <c r="D51" s="1" t="s">
        <v>24</v>
      </c>
      <c r="E51" s="1" t="s">
        <v>25</v>
      </c>
      <c r="F51" s="1" t="s">
        <v>26</v>
      </c>
      <c r="G51" s="1">
        <v>72.0</v>
      </c>
      <c r="H51" s="1">
        <v>56.0</v>
      </c>
      <c r="I51" s="1">
        <v>94.0</v>
      </c>
      <c r="J51" s="1">
        <v>87.0</v>
      </c>
      <c r="K51" s="1">
        <v>40.0</v>
      </c>
      <c r="L51" s="1">
        <v>349.0</v>
      </c>
      <c r="M51" s="1">
        <v>69.8</v>
      </c>
      <c r="N51" s="1">
        <v>89.0</v>
      </c>
      <c r="O51" s="1" t="s">
        <v>21</v>
      </c>
    </row>
    <row r="52" ht="15.75" customHeight="1">
      <c r="A52" s="1" t="s">
        <v>130</v>
      </c>
      <c r="B52" s="1" t="s">
        <v>131</v>
      </c>
      <c r="C52" s="1" t="s">
        <v>32</v>
      </c>
      <c r="D52" s="1" t="s">
        <v>54</v>
      </c>
      <c r="E52" s="1" t="s">
        <v>25</v>
      </c>
      <c r="F52" s="1" t="s">
        <v>77</v>
      </c>
      <c r="G52" s="1">
        <v>64.0</v>
      </c>
      <c r="H52" s="1">
        <v>81.0</v>
      </c>
      <c r="I52" s="1">
        <v>53.0</v>
      </c>
      <c r="J52" s="1">
        <v>97.0</v>
      </c>
      <c r="K52" s="1">
        <v>72.0</v>
      </c>
      <c r="L52" s="1">
        <v>367.0</v>
      </c>
      <c r="M52" s="1">
        <v>73.4</v>
      </c>
      <c r="N52" s="1">
        <v>88.0</v>
      </c>
      <c r="O52" s="1" t="s">
        <v>21</v>
      </c>
    </row>
    <row r="53" ht="15.75" customHeight="1">
      <c r="A53" s="1" t="s">
        <v>132</v>
      </c>
      <c r="B53" s="1" t="s">
        <v>133</v>
      </c>
      <c r="C53" s="1" t="s">
        <v>32</v>
      </c>
      <c r="D53" s="1" t="s">
        <v>24</v>
      </c>
      <c r="E53" s="1" t="s">
        <v>19</v>
      </c>
      <c r="F53" s="1" t="s">
        <v>62</v>
      </c>
      <c r="G53" s="1">
        <v>47.0</v>
      </c>
      <c r="H53" s="1">
        <v>73.0</v>
      </c>
      <c r="I53" s="1">
        <v>70.0</v>
      </c>
      <c r="J53" s="1">
        <v>46.0</v>
      </c>
      <c r="K53" s="1">
        <v>72.0</v>
      </c>
      <c r="L53" s="1">
        <v>308.0</v>
      </c>
      <c r="M53" s="1">
        <v>61.6</v>
      </c>
      <c r="N53" s="1">
        <v>93.0</v>
      </c>
      <c r="O53" s="1" t="s">
        <v>21</v>
      </c>
    </row>
    <row r="54" ht="15.75" customHeight="1">
      <c r="A54" s="1" t="s">
        <v>134</v>
      </c>
      <c r="B54" s="1" t="s">
        <v>135</v>
      </c>
      <c r="C54" s="1" t="s">
        <v>17</v>
      </c>
      <c r="D54" s="1" t="s">
        <v>54</v>
      </c>
      <c r="E54" s="1" t="s">
        <v>25</v>
      </c>
      <c r="F54" s="1" t="s">
        <v>20</v>
      </c>
      <c r="G54" s="1">
        <v>61.0</v>
      </c>
      <c r="H54" s="1">
        <v>98.0</v>
      </c>
      <c r="I54" s="1">
        <v>63.0</v>
      </c>
      <c r="J54" s="1">
        <v>77.0</v>
      </c>
      <c r="K54" s="1">
        <v>81.0</v>
      </c>
      <c r="L54" s="1">
        <v>380.0</v>
      </c>
      <c r="M54" s="1">
        <v>76.0</v>
      </c>
      <c r="N54" s="1">
        <v>61.0</v>
      </c>
      <c r="O54" s="1" t="s">
        <v>21</v>
      </c>
    </row>
    <row r="55" ht="15.75" customHeight="1">
      <c r="A55" s="1" t="s">
        <v>136</v>
      </c>
      <c r="B55" s="1" t="s">
        <v>137</v>
      </c>
      <c r="C55" s="1" t="s">
        <v>17</v>
      </c>
      <c r="D55" s="1" t="s">
        <v>29</v>
      </c>
      <c r="E55" s="1" t="s">
        <v>19</v>
      </c>
      <c r="F55" s="1" t="s">
        <v>41</v>
      </c>
      <c r="G55" s="1">
        <v>56.0</v>
      </c>
      <c r="H55" s="1">
        <v>42.0</v>
      </c>
      <c r="I55" s="1">
        <v>80.0</v>
      </c>
      <c r="J55" s="1">
        <v>86.0</v>
      </c>
      <c r="K55" s="1">
        <v>64.0</v>
      </c>
      <c r="L55" s="1">
        <v>328.0</v>
      </c>
      <c r="M55" s="1">
        <v>65.6</v>
      </c>
      <c r="N55" s="1">
        <v>88.0</v>
      </c>
      <c r="O55" s="1" t="s">
        <v>21</v>
      </c>
    </row>
    <row r="56" ht="15.75" customHeight="1">
      <c r="A56" s="1" t="s">
        <v>138</v>
      </c>
      <c r="B56" s="1" t="s">
        <v>139</v>
      </c>
      <c r="C56" s="1" t="s">
        <v>32</v>
      </c>
      <c r="D56" s="1" t="s">
        <v>40</v>
      </c>
      <c r="E56" s="1" t="s">
        <v>47</v>
      </c>
      <c r="F56" s="1" t="s">
        <v>55</v>
      </c>
      <c r="G56" s="1">
        <v>92.0</v>
      </c>
      <c r="H56" s="1">
        <v>71.0</v>
      </c>
      <c r="I56" s="1">
        <v>71.0</v>
      </c>
      <c r="J56" s="1">
        <v>81.0</v>
      </c>
      <c r="K56" s="1">
        <v>100.0</v>
      </c>
      <c r="L56" s="1">
        <v>415.0</v>
      </c>
      <c r="M56" s="1">
        <v>83.0</v>
      </c>
      <c r="N56" s="1">
        <v>60.0</v>
      </c>
      <c r="O56" s="1" t="s">
        <v>21</v>
      </c>
    </row>
    <row r="57" ht="15.75" customHeight="1">
      <c r="A57" s="1" t="s">
        <v>140</v>
      </c>
      <c r="B57" s="1" t="s">
        <v>141</v>
      </c>
      <c r="C57" s="1" t="s">
        <v>17</v>
      </c>
      <c r="D57" s="1" t="s">
        <v>29</v>
      </c>
      <c r="E57" s="1" t="s">
        <v>19</v>
      </c>
      <c r="F57" s="1" t="s">
        <v>41</v>
      </c>
      <c r="G57" s="1">
        <v>50.0</v>
      </c>
      <c r="H57" s="1">
        <v>42.0</v>
      </c>
      <c r="I57" s="1">
        <v>60.0</v>
      </c>
      <c r="J57" s="1">
        <v>86.0</v>
      </c>
      <c r="K57" s="1">
        <v>60.0</v>
      </c>
      <c r="L57" s="1">
        <v>298.0</v>
      </c>
      <c r="M57" s="1">
        <v>59.6</v>
      </c>
      <c r="N57" s="1">
        <v>93.0</v>
      </c>
      <c r="O57" s="1" t="s">
        <v>21</v>
      </c>
    </row>
    <row r="58" ht="15.75" customHeight="1">
      <c r="A58" s="1" t="s">
        <v>142</v>
      </c>
      <c r="B58" s="1" t="s">
        <v>46</v>
      </c>
      <c r="C58" s="1" t="s">
        <v>17</v>
      </c>
      <c r="D58" s="1" t="s">
        <v>29</v>
      </c>
      <c r="E58" s="1" t="s">
        <v>25</v>
      </c>
      <c r="F58" s="1" t="s">
        <v>77</v>
      </c>
      <c r="G58" s="1">
        <v>62.0</v>
      </c>
      <c r="H58" s="1">
        <v>50.0</v>
      </c>
      <c r="I58" s="1">
        <v>79.0</v>
      </c>
      <c r="J58" s="1">
        <v>76.0</v>
      </c>
      <c r="K58" s="1">
        <v>52.0</v>
      </c>
      <c r="L58" s="1">
        <v>319.0</v>
      </c>
      <c r="M58" s="1">
        <v>63.8</v>
      </c>
      <c r="N58" s="1">
        <v>61.0</v>
      </c>
      <c r="O58" s="1" t="s">
        <v>21</v>
      </c>
    </row>
    <row r="59" ht="15.75" customHeight="1">
      <c r="A59" s="1" t="s">
        <v>143</v>
      </c>
      <c r="B59" s="1" t="s">
        <v>79</v>
      </c>
      <c r="C59" s="1" t="s">
        <v>32</v>
      </c>
      <c r="D59" s="1" t="s">
        <v>29</v>
      </c>
      <c r="E59" s="1" t="s">
        <v>47</v>
      </c>
      <c r="F59" s="1" t="s">
        <v>62</v>
      </c>
      <c r="G59" s="1">
        <v>76.0</v>
      </c>
      <c r="H59" s="1">
        <v>71.0</v>
      </c>
      <c r="I59" s="1">
        <v>46.0</v>
      </c>
      <c r="J59" s="1">
        <v>47.0</v>
      </c>
      <c r="K59" s="1">
        <v>66.0</v>
      </c>
      <c r="L59" s="1">
        <v>306.0</v>
      </c>
      <c r="M59" s="1">
        <v>61.2</v>
      </c>
      <c r="N59" s="1">
        <v>98.0</v>
      </c>
      <c r="O59" s="1" t="s">
        <v>21</v>
      </c>
    </row>
    <row r="60" ht="15.75" customHeight="1">
      <c r="A60" s="1" t="s">
        <v>144</v>
      </c>
      <c r="B60" s="1" t="s">
        <v>145</v>
      </c>
      <c r="C60" s="1" t="s">
        <v>32</v>
      </c>
      <c r="D60" s="1" t="s">
        <v>40</v>
      </c>
      <c r="E60" s="1" t="s">
        <v>19</v>
      </c>
      <c r="F60" s="1" t="s">
        <v>62</v>
      </c>
      <c r="G60" s="1">
        <v>95.0</v>
      </c>
      <c r="H60" s="1">
        <v>86.0</v>
      </c>
      <c r="I60" s="1">
        <v>87.0</v>
      </c>
      <c r="J60" s="1">
        <v>42.0</v>
      </c>
      <c r="K60" s="1">
        <v>67.0</v>
      </c>
      <c r="L60" s="1">
        <v>377.0</v>
      </c>
      <c r="M60" s="1">
        <v>75.4</v>
      </c>
      <c r="N60" s="1">
        <v>77.0</v>
      </c>
      <c r="O60" s="1" t="s">
        <v>21</v>
      </c>
    </row>
    <row r="61" ht="15.75" customHeight="1">
      <c r="A61" s="1" t="s">
        <v>146</v>
      </c>
      <c r="B61" s="1" t="s">
        <v>147</v>
      </c>
      <c r="C61" s="1" t="s">
        <v>17</v>
      </c>
      <c r="D61" s="1" t="s">
        <v>24</v>
      </c>
      <c r="E61" s="1" t="s">
        <v>19</v>
      </c>
      <c r="F61" s="1" t="s">
        <v>44</v>
      </c>
      <c r="G61" s="1">
        <v>91.0</v>
      </c>
      <c r="H61" s="1">
        <v>50.0</v>
      </c>
      <c r="I61" s="1">
        <v>70.0</v>
      </c>
      <c r="J61" s="1">
        <v>57.0</v>
      </c>
      <c r="K61" s="1">
        <v>79.0</v>
      </c>
      <c r="L61" s="1">
        <v>347.0</v>
      </c>
      <c r="M61" s="1">
        <v>69.4</v>
      </c>
      <c r="N61" s="1">
        <v>83.0</v>
      </c>
      <c r="O61" s="1" t="s">
        <v>21</v>
      </c>
    </row>
    <row r="62" ht="15.75" customHeight="1">
      <c r="A62" s="1" t="s">
        <v>148</v>
      </c>
      <c r="B62" s="1" t="s">
        <v>149</v>
      </c>
      <c r="C62" s="1" t="s">
        <v>32</v>
      </c>
      <c r="D62" s="1" t="s">
        <v>24</v>
      </c>
      <c r="E62" s="1" t="s">
        <v>19</v>
      </c>
      <c r="F62" s="1" t="s">
        <v>37</v>
      </c>
      <c r="G62" s="1">
        <v>87.0</v>
      </c>
      <c r="H62" s="1">
        <v>58.0</v>
      </c>
      <c r="I62" s="1">
        <v>70.0</v>
      </c>
      <c r="J62" s="1">
        <v>94.0</v>
      </c>
      <c r="K62" s="1">
        <v>50.0</v>
      </c>
      <c r="L62" s="1">
        <v>359.0</v>
      </c>
      <c r="M62" s="1">
        <v>71.8</v>
      </c>
      <c r="N62" s="1">
        <v>100.0</v>
      </c>
      <c r="O62" s="1" t="s">
        <v>21</v>
      </c>
    </row>
    <row r="63" ht="15.75" customHeight="1">
      <c r="A63" s="1" t="s">
        <v>150</v>
      </c>
      <c r="B63" s="1" t="s">
        <v>151</v>
      </c>
      <c r="C63" s="1" t="s">
        <v>32</v>
      </c>
      <c r="D63" s="1" t="s">
        <v>29</v>
      </c>
      <c r="E63" s="1" t="s">
        <v>47</v>
      </c>
      <c r="F63" s="1" t="s">
        <v>55</v>
      </c>
      <c r="G63" s="1">
        <v>85.0</v>
      </c>
      <c r="H63" s="1">
        <v>84.0</v>
      </c>
      <c r="I63" s="1">
        <v>83.0</v>
      </c>
      <c r="J63" s="1">
        <v>98.0</v>
      </c>
      <c r="K63" s="1">
        <v>79.0</v>
      </c>
      <c r="L63" s="1">
        <v>429.0</v>
      </c>
      <c r="M63" s="1">
        <v>85.8</v>
      </c>
      <c r="N63" s="1">
        <v>100.0</v>
      </c>
      <c r="O63" s="1" t="s">
        <v>21</v>
      </c>
    </row>
    <row r="64" ht="15.75" customHeight="1">
      <c r="A64" s="1" t="s">
        <v>152</v>
      </c>
      <c r="B64" s="1" t="s">
        <v>153</v>
      </c>
      <c r="C64" s="1" t="s">
        <v>32</v>
      </c>
      <c r="D64" s="1" t="s">
        <v>24</v>
      </c>
      <c r="E64" s="1" t="s">
        <v>25</v>
      </c>
      <c r="F64" s="1" t="s">
        <v>62</v>
      </c>
      <c r="G64" s="1">
        <v>76.0</v>
      </c>
      <c r="H64" s="1">
        <v>91.0</v>
      </c>
      <c r="I64" s="1">
        <v>71.0</v>
      </c>
      <c r="J64" s="1">
        <v>71.0</v>
      </c>
      <c r="K64" s="1">
        <v>80.0</v>
      </c>
      <c r="L64" s="1">
        <v>389.0</v>
      </c>
      <c r="M64" s="1">
        <v>77.8</v>
      </c>
      <c r="N64" s="1">
        <v>64.0</v>
      </c>
      <c r="O64" s="1" t="s">
        <v>21</v>
      </c>
    </row>
    <row r="65" ht="15.75" customHeight="1">
      <c r="A65" s="1" t="s">
        <v>154</v>
      </c>
      <c r="B65" s="1" t="s">
        <v>64</v>
      </c>
      <c r="C65" s="1" t="s">
        <v>32</v>
      </c>
      <c r="D65" s="1" t="s">
        <v>40</v>
      </c>
      <c r="E65" s="1" t="s">
        <v>25</v>
      </c>
      <c r="F65" s="1" t="s">
        <v>20</v>
      </c>
      <c r="G65" s="1">
        <v>56.0</v>
      </c>
      <c r="H65" s="1">
        <v>82.0</v>
      </c>
      <c r="I65" s="1">
        <v>79.0</v>
      </c>
      <c r="J65" s="1">
        <v>63.0</v>
      </c>
      <c r="K65" s="1">
        <v>79.0</v>
      </c>
      <c r="L65" s="1">
        <v>359.0</v>
      </c>
      <c r="M65" s="1">
        <v>71.8</v>
      </c>
      <c r="N65" s="1">
        <v>92.0</v>
      </c>
      <c r="O65" s="1" t="s">
        <v>21</v>
      </c>
    </row>
    <row r="66" ht="15.75" customHeight="1">
      <c r="A66" s="1" t="s">
        <v>155</v>
      </c>
      <c r="B66" s="1" t="s">
        <v>156</v>
      </c>
      <c r="C66" s="1" t="s">
        <v>17</v>
      </c>
      <c r="D66" s="1" t="s">
        <v>18</v>
      </c>
      <c r="E66" s="1" t="s">
        <v>47</v>
      </c>
      <c r="F66" s="1" t="s">
        <v>77</v>
      </c>
      <c r="G66" s="1">
        <v>55.0</v>
      </c>
      <c r="H66" s="1">
        <v>61.0</v>
      </c>
      <c r="I66" s="1">
        <v>42.0</v>
      </c>
      <c r="J66" s="1">
        <v>85.0</v>
      </c>
      <c r="K66" s="1">
        <v>63.0</v>
      </c>
      <c r="L66" s="1">
        <v>306.0</v>
      </c>
      <c r="M66" s="1">
        <v>61.2</v>
      </c>
      <c r="N66" s="1">
        <v>66.0</v>
      </c>
      <c r="O66" s="1" t="s">
        <v>21</v>
      </c>
    </row>
    <row r="67" ht="15.75" customHeight="1">
      <c r="A67" s="1" t="s">
        <v>157</v>
      </c>
      <c r="B67" s="1" t="s">
        <v>158</v>
      </c>
      <c r="C67" s="1" t="s">
        <v>32</v>
      </c>
      <c r="D67" s="1" t="s">
        <v>18</v>
      </c>
      <c r="E67" s="1" t="s">
        <v>47</v>
      </c>
      <c r="F67" s="1" t="s">
        <v>55</v>
      </c>
      <c r="G67" s="1">
        <v>88.0</v>
      </c>
      <c r="H67" s="1">
        <v>75.0</v>
      </c>
      <c r="I67" s="1">
        <v>77.0</v>
      </c>
      <c r="J67" s="1">
        <v>41.0</v>
      </c>
      <c r="K67" s="1">
        <v>84.0</v>
      </c>
      <c r="L67" s="1">
        <v>365.0</v>
      </c>
      <c r="M67" s="1">
        <v>73.0</v>
      </c>
      <c r="N67" s="1">
        <v>61.0</v>
      </c>
      <c r="O67" s="1" t="s">
        <v>21</v>
      </c>
    </row>
    <row r="68" ht="15.75" customHeight="1">
      <c r="A68" s="1" t="s">
        <v>159</v>
      </c>
      <c r="B68" s="1" t="s">
        <v>121</v>
      </c>
      <c r="C68" s="1" t="s">
        <v>17</v>
      </c>
      <c r="D68" s="1" t="s">
        <v>40</v>
      </c>
      <c r="E68" s="1" t="s">
        <v>25</v>
      </c>
      <c r="F68" s="1" t="s">
        <v>37</v>
      </c>
      <c r="G68" s="1">
        <v>98.0</v>
      </c>
      <c r="H68" s="1">
        <v>43.0</v>
      </c>
      <c r="I68" s="1">
        <v>70.0</v>
      </c>
      <c r="J68" s="1">
        <v>41.0</v>
      </c>
      <c r="K68" s="1">
        <v>94.0</v>
      </c>
      <c r="L68" s="1">
        <v>346.0</v>
      </c>
      <c r="M68" s="1">
        <v>69.2</v>
      </c>
      <c r="N68" s="1">
        <v>67.0</v>
      </c>
      <c r="O68" s="1" t="s">
        <v>21</v>
      </c>
    </row>
    <row r="69" ht="15.75" customHeight="1">
      <c r="A69" s="1" t="s">
        <v>160</v>
      </c>
      <c r="B69" s="1" t="s">
        <v>161</v>
      </c>
      <c r="C69" s="1" t="s">
        <v>17</v>
      </c>
      <c r="D69" s="1" t="s">
        <v>18</v>
      </c>
      <c r="E69" s="1" t="s">
        <v>19</v>
      </c>
      <c r="F69" s="1" t="s">
        <v>62</v>
      </c>
      <c r="G69" s="1">
        <v>43.0</v>
      </c>
      <c r="H69" s="1">
        <v>79.0</v>
      </c>
      <c r="I69" s="1">
        <v>87.0</v>
      </c>
      <c r="J69" s="1">
        <v>65.0</v>
      </c>
      <c r="K69" s="1">
        <v>95.0</v>
      </c>
      <c r="L69" s="1">
        <v>369.0</v>
      </c>
      <c r="M69" s="1">
        <v>73.8</v>
      </c>
      <c r="N69" s="1">
        <v>94.0</v>
      </c>
      <c r="O69" s="1" t="s">
        <v>21</v>
      </c>
    </row>
    <row r="70" ht="15.75" customHeight="1">
      <c r="A70" s="1" t="s">
        <v>162</v>
      </c>
      <c r="B70" s="1" t="s">
        <v>163</v>
      </c>
      <c r="C70" s="1" t="s">
        <v>32</v>
      </c>
      <c r="D70" s="1" t="s">
        <v>29</v>
      </c>
      <c r="E70" s="1" t="s">
        <v>19</v>
      </c>
      <c r="F70" s="1" t="s">
        <v>62</v>
      </c>
      <c r="G70" s="1">
        <v>82.0</v>
      </c>
      <c r="H70" s="1">
        <v>56.0</v>
      </c>
      <c r="I70" s="1">
        <v>73.0</v>
      </c>
      <c r="J70" s="1">
        <v>80.0</v>
      </c>
      <c r="K70" s="1">
        <v>47.0</v>
      </c>
      <c r="L70" s="1">
        <v>338.0</v>
      </c>
      <c r="M70" s="1">
        <v>67.6</v>
      </c>
      <c r="N70" s="1">
        <v>100.0</v>
      </c>
      <c r="O70" s="1" t="s">
        <v>21</v>
      </c>
    </row>
    <row r="71" ht="15.75" customHeight="1">
      <c r="A71" s="1" t="s">
        <v>164</v>
      </c>
      <c r="B71" s="1" t="s">
        <v>165</v>
      </c>
      <c r="C71" s="1" t="s">
        <v>32</v>
      </c>
      <c r="D71" s="1" t="s">
        <v>24</v>
      </c>
      <c r="E71" s="1" t="s">
        <v>47</v>
      </c>
      <c r="F71" s="1" t="s">
        <v>20</v>
      </c>
      <c r="G71" s="1">
        <v>52.0</v>
      </c>
      <c r="H71" s="1">
        <v>72.0</v>
      </c>
      <c r="I71" s="1">
        <v>72.0</v>
      </c>
      <c r="J71" s="1">
        <v>52.0</v>
      </c>
      <c r="K71" s="1">
        <v>94.0</v>
      </c>
      <c r="L71" s="1">
        <v>342.0</v>
      </c>
      <c r="M71" s="1">
        <v>68.4</v>
      </c>
      <c r="N71" s="1">
        <v>80.0</v>
      </c>
      <c r="O71" s="1" t="s">
        <v>21</v>
      </c>
    </row>
    <row r="72" ht="15.75" customHeight="1">
      <c r="A72" s="1" t="s">
        <v>166</v>
      </c>
      <c r="B72" s="1" t="s">
        <v>167</v>
      </c>
      <c r="C72" s="1" t="s">
        <v>32</v>
      </c>
      <c r="D72" s="1" t="s">
        <v>40</v>
      </c>
      <c r="E72" s="1" t="s">
        <v>47</v>
      </c>
      <c r="F72" s="1" t="s">
        <v>37</v>
      </c>
      <c r="G72" s="1">
        <v>47.0</v>
      </c>
      <c r="H72" s="1">
        <v>83.0</v>
      </c>
      <c r="I72" s="1">
        <v>68.0</v>
      </c>
      <c r="J72" s="1">
        <v>67.0</v>
      </c>
      <c r="K72" s="1">
        <v>61.0</v>
      </c>
      <c r="L72" s="1">
        <v>326.0</v>
      </c>
      <c r="M72" s="1">
        <v>65.2</v>
      </c>
      <c r="N72" s="1">
        <v>93.0</v>
      </c>
      <c r="O72" s="1" t="s">
        <v>21</v>
      </c>
    </row>
    <row r="73" ht="15.75" customHeight="1">
      <c r="A73" s="1" t="s">
        <v>168</v>
      </c>
      <c r="B73" s="1" t="s">
        <v>169</v>
      </c>
      <c r="C73" s="1" t="s">
        <v>32</v>
      </c>
      <c r="D73" s="1" t="s">
        <v>18</v>
      </c>
      <c r="E73" s="1" t="s">
        <v>47</v>
      </c>
      <c r="F73" s="1" t="s">
        <v>37</v>
      </c>
      <c r="G73" s="1">
        <v>73.0</v>
      </c>
      <c r="H73" s="1">
        <v>87.0</v>
      </c>
      <c r="I73" s="1">
        <v>70.0</v>
      </c>
      <c r="J73" s="1">
        <v>71.0</v>
      </c>
      <c r="K73" s="1">
        <v>42.0</v>
      </c>
      <c r="L73" s="1">
        <v>343.0</v>
      </c>
      <c r="M73" s="1">
        <v>68.6</v>
      </c>
      <c r="N73" s="1">
        <v>73.0</v>
      </c>
      <c r="O73" s="1" t="s">
        <v>21</v>
      </c>
    </row>
    <row r="74" ht="15.75" customHeight="1">
      <c r="A74" s="1" t="s">
        <v>170</v>
      </c>
      <c r="B74" s="1" t="s">
        <v>171</v>
      </c>
      <c r="C74" s="1" t="s">
        <v>32</v>
      </c>
      <c r="D74" s="1" t="s">
        <v>18</v>
      </c>
      <c r="E74" s="1" t="s">
        <v>25</v>
      </c>
      <c r="F74" s="1" t="s">
        <v>77</v>
      </c>
      <c r="G74" s="1">
        <v>87.0</v>
      </c>
      <c r="H74" s="1">
        <v>60.0</v>
      </c>
      <c r="I74" s="1">
        <v>71.0</v>
      </c>
      <c r="J74" s="1">
        <v>91.0</v>
      </c>
      <c r="K74" s="1">
        <v>42.0</v>
      </c>
      <c r="L74" s="1">
        <v>351.0</v>
      </c>
      <c r="M74" s="1">
        <v>70.2</v>
      </c>
      <c r="N74" s="1">
        <v>79.0</v>
      </c>
      <c r="O74" s="1" t="s">
        <v>21</v>
      </c>
    </row>
    <row r="75" ht="15.75" customHeight="1">
      <c r="A75" s="1" t="s">
        <v>172</v>
      </c>
      <c r="B75" s="1" t="s">
        <v>99</v>
      </c>
      <c r="C75" s="1" t="s">
        <v>32</v>
      </c>
      <c r="D75" s="1" t="s">
        <v>40</v>
      </c>
      <c r="E75" s="1" t="s">
        <v>19</v>
      </c>
      <c r="F75" s="1" t="s">
        <v>44</v>
      </c>
      <c r="G75" s="1">
        <v>88.0</v>
      </c>
      <c r="H75" s="1">
        <v>88.0</v>
      </c>
      <c r="I75" s="1">
        <v>40.0</v>
      </c>
      <c r="J75" s="1">
        <v>100.0</v>
      </c>
      <c r="K75" s="1">
        <v>78.0</v>
      </c>
      <c r="L75" s="1">
        <v>394.0</v>
      </c>
      <c r="M75" s="1">
        <v>78.8</v>
      </c>
      <c r="N75" s="1">
        <v>64.0</v>
      </c>
      <c r="O75" s="1" t="s">
        <v>21</v>
      </c>
    </row>
    <row r="76" ht="15.75" customHeight="1">
      <c r="A76" s="1" t="s">
        <v>173</v>
      </c>
      <c r="B76" s="1" t="s">
        <v>68</v>
      </c>
      <c r="C76" s="1" t="s">
        <v>17</v>
      </c>
      <c r="D76" s="1" t="s">
        <v>18</v>
      </c>
      <c r="E76" s="1" t="s">
        <v>25</v>
      </c>
      <c r="F76" s="1" t="s">
        <v>62</v>
      </c>
      <c r="G76" s="1">
        <v>55.0</v>
      </c>
      <c r="H76" s="1">
        <v>78.0</v>
      </c>
      <c r="I76" s="1">
        <v>77.0</v>
      </c>
      <c r="J76" s="1">
        <v>97.0</v>
      </c>
      <c r="K76" s="1">
        <v>60.0</v>
      </c>
      <c r="L76" s="1">
        <v>367.0</v>
      </c>
      <c r="M76" s="1">
        <v>73.4</v>
      </c>
      <c r="N76" s="1">
        <v>81.0</v>
      </c>
      <c r="O76" s="1" t="s">
        <v>21</v>
      </c>
    </row>
    <row r="77" ht="15.75" customHeight="1">
      <c r="A77" s="1" t="s">
        <v>174</v>
      </c>
      <c r="B77" s="1" t="s">
        <v>175</v>
      </c>
      <c r="C77" s="1" t="s">
        <v>32</v>
      </c>
      <c r="D77" s="1" t="s">
        <v>54</v>
      </c>
      <c r="E77" s="1" t="s">
        <v>25</v>
      </c>
      <c r="F77" s="1" t="s">
        <v>44</v>
      </c>
      <c r="G77" s="1">
        <v>62.0</v>
      </c>
      <c r="H77" s="1">
        <v>40.0</v>
      </c>
      <c r="I77" s="1">
        <v>94.0</v>
      </c>
      <c r="J77" s="1">
        <v>91.0</v>
      </c>
      <c r="K77" s="1">
        <v>55.0</v>
      </c>
      <c r="L77" s="1">
        <v>342.0</v>
      </c>
      <c r="M77" s="1">
        <v>68.4</v>
      </c>
      <c r="N77" s="1">
        <v>64.0</v>
      </c>
      <c r="O77" s="1" t="s">
        <v>21</v>
      </c>
    </row>
    <row r="78" ht="15.75" customHeight="1">
      <c r="A78" s="1" t="s">
        <v>176</v>
      </c>
      <c r="B78" s="1" t="s">
        <v>57</v>
      </c>
      <c r="C78" s="1" t="s">
        <v>17</v>
      </c>
      <c r="D78" s="1" t="s">
        <v>54</v>
      </c>
      <c r="E78" s="1" t="s">
        <v>47</v>
      </c>
      <c r="F78" s="1" t="s">
        <v>55</v>
      </c>
      <c r="G78" s="1">
        <v>41.0</v>
      </c>
      <c r="H78" s="1">
        <v>66.0</v>
      </c>
      <c r="I78" s="1">
        <v>60.0</v>
      </c>
      <c r="J78" s="1">
        <v>48.0</v>
      </c>
      <c r="K78" s="1">
        <v>87.0</v>
      </c>
      <c r="L78" s="1">
        <v>302.0</v>
      </c>
      <c r="M78" s="1">
        <v>60.4</v>
      </c>
      <c r="N78" s="1">
        <v>86.0</v>
      </c>
      <c r="O78" s="1" t="s">
        <v>21</v>
      </c>
    </row>
    <row r="79" ht="15.75" customHeight="1">
      <c r="A79" s="1" t="s">
        <v>177</v>
      </c>
      <c r="B79" s="1" t="s">
        <v>178</v>
      </c>
      <c r="C79" s="1" t="s">
        <v>32</v>
      </c>
      <c r="D79" s="1" t="s">
        <v>18</v>
      </c>
      <c r="E79" s="1" t="s">
        <v>19</v>
      </c>
      <c r="F79" s="1" t="s">
        <v>41</v>
      </c>
      <c r="G79" s="1">
        <v>84.0</v>
      </c>
      <c r="H79" s="1">
        <v>91.0</v>
      </c>
      <c r="I79" s="1">
        <v>96.0</v>
      </c>
      <c r="J79" s="1">
        <v>54.0</v>
      </c>
      <c r="K79" s="1">
        <v>89.0</v>
      </c>
      <c r="L79" s="1">
        <v>414.0</v>
      </c>
      <c r="M79" s="1">
        <v>82.8</v>
      </c>
      <c r="N79" s="1">
        <v>71.0</v>
      </c>
      <c r="O79" s="1" t="s">
        <v>21</v>
      </c>
    </row>
    <row r="80" ht="15.75" customHeight="1">
      <c r="A80" s="1" t="s">
        <v>179</v>
      </c>
      <c r="B80" s="1" t="s">
        <v>133</v>
      </c>
      <c r="C80" s="1" t="s">
        <v>17</v>
      </c>
      <c r="D80" s="1" t="s">
        <v>29</v>
      </c>
      <c r="E80" s="1" t="s">
        <v>25</v>
      </c>
      <c r="F80" s="1" t="s">
        <v>44</v>
      </c>
      <c r="G80" s="1">
        <v>59.0</v>
      </c>
      <c r="H80" s="1">
        <v>90.0</v>
      </c>
      <c r="I80" s="1">
        <v>88.0</v>
      </c>
      <c r="J80" s="1">
        <v>40.0</v>
      </c>
      <c r="K80" s="1">
        <v>53.0</v>
      </c>
      <c r="L80" s="1">
        <v>330.0</v>
      </c>
      <c r="M80" s="1">
        <v>66.0</v>
      </c>
      <c r="N80" s="1">
        <v>73.0</v>
      </c>
      <c r="O80" s="1" t="s">
        <v>21</v>
      </c>
    </row>
    <row r="81" ht="15.75" customHeight="1">
      <c r="A81" s="1" t="s">
        <v>180</v>
      </c>
      <c r="B81" s="1" t="s">
        <v>181</v>
      </c>
      <c r="C81" s="1" t="s">
        <v>32</v>
      </c>
      <c r="D81" s="1" t="s">
        <v>24</v>
      </c>
      <c r="E81" s="1" t="s">
        <v>47</v>
      </c>
      <c r="F81" s="1" t="s">
        <v>26</v>
      </c>
      <c r="G81" s="1">
        <v>96.0</v>
      </c>
      <c r="H81" s="1">
        <v>43.0</v>
      </c>
      <c r="I81" s="1">
        <v>88.0</v>
      </c>
      <c r="J81" s="1">
        <v>55.0</v>
      </c>
      <c r="K81" s="1">
        <v>56.0</v>
      </c>
      <c r="L81" s="1">
        <v>338.0</v>
      </c>
      <c r="M81" s="1">
        <v>67.6</v>
      </c>
      <c r="N81" s="1">
        <v>93.0</v>
      </c>
      <c r="O81" s="1" t="s">
        <v>21</v>
      </c>
    </row>
    <row r="82" ht="15.75" customHeight="1">
      <c r="A82" s="1" t="s">
        <v>182</v>
      </c>
      <c r="B82" s="1" t="s">
        <v>183</v>
      </c>
      <c r="C82" s="1" t="s">
        <v>17</v>
      </c>
      <c r="D82" s="1" t="s">
        <v>24</v>
      </c>
      <c r="E82" s="1" t="s">
        <v>25</v>
      </c>
      <c r="F82" s="1" t="s">
        <v>77</v>
      </c>
      <c r="G82" s="1">
        <v>61.0</v>
      </c>
      <c r="H82" s="1">
        <v>70.0</v>
      </c>
      <c r="I82" s="1">
        <v>52.0</v>
      </c>
      <c r="J82" s="1">
        <v>86.0</v>
      </c>
      <c r="K82" s="1">
        <v>61.0</v>
      </c>
      <c r="L82" s="1">
        <v>330.0</v>
      </c>
      <c r="M82" s="1">
        <v>66.0</v>
      </c>
      <c r="N82" s="1">
        <v>91.0</v>
      </c>
      <c r="O82" s="1" t="s">
        <v>21</v>
      </c>
    </row>
    <row r="83" ht="15.75" customHeight="1">
      <c r="A83" s="1" t="s">
        <v>184</v>
      </c>
      <c r="B83" s="1" t="s">
        <v>185</v>
      </c>
      <c r="C83" s="1" t="s">
        <v>17</v>
      </c>
      <c r="D83" s="1" t="s">
        <v>54</v>
      </c>
      <c r="E83" s="1" t="s">
        <v>19</v>
      </c>
      <c r="F83" s="1" t="s">
        <v>41</v>
      </c>
      <c r="G83" s="1">
        <v>40.0</v>
      </c>
      <c r="H83" s="1">
        <v>98.0</v>
      </c>
      <c r="I83" s="1">
        <v>53.0</v>
      </c>
      <c r="J83" s="1">
        <v>62.0</v>
      </c>
      <c r="K83" s="1">
        <v>83.0</v>
      </c>
      <c r="L83" s="1">
        <v>336.0</v>
      </c>
      <c r="M83" s="1">
        <v>67.2</v>
      </c>
      <c r="N83" s="1">
        <v>93.0</v>
      </c>
      <c r="O83" s="1" t="s">
        <v>21</v>
      </c>
    </row>
    <row r="84" ht="15.75" customHeight="1">
      <c r="A84" s="1" t="s">
        <v>186</v>
      </c>
      <c r="B84" s="1" t="s">
        <v>187</v>
      </c>
      <c r="C84" s="1" t="s">
        <v>17</v>
      </c>
      <c r="D84" s="1" t="s">
        <v>18</v>
      </c>
      <c r="E84" s="1" t="s">
        <v>19</v>
      </c>
      <c r="F84" s="1" t="s">
        <v>77</v>
      </c>
      <c r="G84" s="1">
        <v>69.0</v>
      </c>
      <c r="H84" s="1">
        <v>68.0</v>
      </c>
      <c r="I84" s="1">
        <v>87.0</v>
      </c>
      <c r="J84" s="1">
        <v>90.0</v>
      </c>
      <c r="K84" s="1">
        <v>68.0</v>
      </c>
      <c r="L84" s="1">
        <v>382.0</v>
      </c>
      <c r="M84" s="1">
        <v>76.4</v>
      </c>
      <c r="N84" s="1">
        <v>72.0</v>
      </c>
      <c r="O84" s="1" t="s">
        <v>21</v>
      </c>
    </row>
    <row r="85" ht="15.75" customHeight="1">
      <c r="A85" s="1" t="s">
        <v>188</v>
      </c>
      <c r="B85" s="1" t="s">
        <v>189</v>
      </c>
      <c r="C85" s="1" t="s">
        <v>32</v>
      </c>
      <c r="D85" s="1" t="s">
        <v>54</v>
      </c>
      <c r="E85" s="1" t="s">
        <v>47</v>
      </c>
      <c r="F85" s="1" t="s">
        <v>62</v>
      </c>
      <c r="G85" s="1">
        <v>46.0</v>
      </c>
      <c r="H85" s="1">
        <v>64.0</v>
      </c>
      <c r="I85" s="1">
        <v>89.0</v>
      </c>
      <c r="J85" s="1">
        <v>90.0</v>
      </c>
      <c r="K85" s="1">
        <v>44.0</v>
      </c>
      <c r="L85" s="1">
        <v>333.0</v>
      </c>
      <c r="M85" s="1">
        <v>66.6</v>
      </c>
      <c r="N85" s="1">
        <v>92.0</v>
      </c>
      <c r="O85" s="1" t="s">
        <v>21</v>
      </c>
    </row>
    <row r="86" ht="15.75" customHeight="1">
      <c r="A86" s="1" t="s">
        <v>190</v>
      </c>
      <c r="B86" s="1" t="s">
        <v>191</v>
      </c>
      <c r="C86" s="1" t="s">
        <v>17</v>
      </c>
      <c r="D86" s="1" t="s">
        <v>29</v>
      </c>
      <c r="E86" s="1" t="s">
        <v>47</v>
      </c>
      <c r="F86" s="1" t="s">
        <v>77</v>
      </c>
      <c r="G86" s="1">
        <v>63.0</v>
      </c>
      <c r="H86" s="1">
        <v>100.0</v>
      </c>
      <c r="I86" s="1">
        <v>40.0</v>
      </c>
      <c r="J86" s="1">
        <v>46.0</v>
      </c>
      <c r="K86" s="1">
        <v>49.0</v>
      </c>
      <c r="L86" s="1">
        <v>298.0</v>
      </c>
      <c r="M86" s="1">
        <v>59.6</v>
      </c>
      <c r="N86" s="1">
        <v>99.0</v>
      </c>
      <c r="O86" s="1" t="s">
        <v>21</v>
      </c>
    </row>
    <row r="87" ht="15.75" customHeight="1">
      <c r="A87" s="1" t="s">
        <v>192</v>
      </c>
      <c r="B87" s="1" t="s">
        <v>193</v>
      </c>
      <c r="C87" s="1" t="s">
        <v>17</v>
      </c>
      <c r="D87" s="1" t="s">
        <v>40</v>
      </c>
      <c r="E87" s="1" t="s">
        <v>47</v>
      </c>
      <c r="F87" s="1" t="s">
        <v>26</v>
      </c>
      <c r="G87" s="1">
        <v>84.0</v>
      </c>
      <c r="H87" s="1">
        <v>91.0</v>
      </c>
      <c r="I87" s="1">
        <v>97.0</v>
      </c>
      <c r="J87" s="1">
        <v>73.0</v>
      </c>
      <c r="K87" s="1">
        <v>53.0</v>
      </c>
      <c r="L87" s="1">
        <v>398.0</v>
      </c>
      <c r="M87" s="1">
        <v>79.6</v>
      </c>
      <c r="N87" s="1">
        <v>60.0</v>
      </c>
      <c r="O87" s="1" t="s">
        <v>21</v>
      </c>
    </row>
    <row r="88" ht="15.75" customHeight="1">
      <c r="A88" s="1" t="s">
        <v>194</v>
      </c>
      <c r="B88" s="1" t="s">
        <v>96</v>
      </c>
      <c r="C88" s="1" t="s">
        <v>32</v>
      </c>
      <c r="D88" s="1" t="s">
        <v>54</v>
      </c>
      <c r="E88" s="1" t="s">
        <v>47</v>
      </c>
      <c r="F88" s="1" t="s">
        <v>37</v>
      </c>
      <c r="G88" s="1">
        <v>85.0</v>
      </c>
      <c r="H88" s="1">
        <v>42.0</v>
      </c>
      <c r="I88" s="1">
        <v>72.0</v>
      </c>
      <c r="J88" s="1">
        <v>60.0</v>
      </c>
      <c r="K88" s="1">
        <v>81.0</v>
      </c>
      <c r="L88" s="1">
        <v>340.0</v>
      </c>
      <c r="M88" s="1">
        <v>68.0</v>
      </c>
      <c r="N88" s="1">
        <v>84.0</v>
      </c>
      <c r="O88" s="1" t="s">
        <v>21</v>
      </c>
    </row>
    <row r="89" ht="15.75" customHeight="1">
      <c r="A89" s="1" t="s">
        <v>195</v>
      </c>
      <c r="B89" s="1" t="s">
        <v>163</v>
      </c>
      <c r="C89" s="1" t="s">
        <v>32</v>
      </c>
      <c r="D89" s="1" t="s">
        <v>54</v>
      </c>
      <c r="E89" s="1" t="s">
        <v>47</v>
      </c>
      <c r="F89" s="1" t="s">
        <v>37</v>
      </c>
      <c r="G89" s="1">
        <v>84.0</v>
      </c>
      <c r="H89" s="1">
        <v>80.0</v>
      </c>
      <c r="I89" s="1">
        <v>58.0</v>
      </c>
      <c r="J89" s="1">
        <v>88.0</v>
      </c>
      <c r="K89" s="1">
        <v>90.0</v>
      </c>
      <c r="L89" s="1">
        <v>400.0</v>
      </c>
      <c r="M89" s="1">
        <v>80.0</v>
      </c>
      <c r="N89" s="1">
        <v>63.0</v>
      </c>
      <c r="O89" s="1" t="s">
        <v>21</v>
      </c>
    </row>
    <row r="90" ht="15.75" customHeight="1">
      <c r="A90" s="1" t="s">
        <v>196</v>
      </c>
      <c r="B90" s="1" t="s">
        <v>197</v>
      </c>
      <c r="C90" s="1" t="s">
        <v>17</v>
      </c>
      <c r="D90" s="1" t="s">
        <v>24</v>
      </c>
      <c r="E90" s="1" t="s">
        <v>25</v>
      </c>
      <c r="F90" s="1" t="s">
        <v>20</v>
      </c>
      <c r="G90" s="1">
        <v>46.0</v>
      </c>
      <c r="H90" s="1">
        <v>43.0</v>
      </c>
      <c r="I90" s="1">
        <v>78.0</v>
      </c>
      <c r="J90" s="1">
        <v>79.0</v>
      </c>
      <c r="K90" s="1">
        <v>73.0</v>
      </c>
      <c r="L90" s="1">
        <v>319.0</v>
      </c>
      <c r="M90" s="1">
        <v>63.8</v>
      </c>
      <c r="N90" s="1">
        <v>95.0</v>
      </c>
      <c r="O90" s="1" t="s">
        <v>21</v>
      </c>
    </row>
    <row r="91" ht="15.75" customHeight="1">
      <c r="A91" s="1" t="s">
        <v>198</v>
      </c>
      <c r="B91" s="1" t="s">
        <v>199</v>
      </c>
      <c r="C91" s="1" t="s">
        <v>17</v>
      </c>
      <c r="D91" s="1" t="s">
        <v>18</v>
      </c>
      <c r="E91" s="1" t="s">
        <v>25</v>
      </c>
      <c r="F91" s="1" t="s">
        <v>55</v>
      </c>
      <c r="G91" s="1">
        <v>85.0</v>
      </c>
      <c r="H91" s="1">
        <v>68.0</v>
      </c>
      <c r="I91" s="1">
        <v>41.0</v>
      </c>
      <c r="J91" s="1">
        <v>88.0</v>
      </c>
      <c r="K91" s="1">
        <v>75.0</v>
      </c>
      <c r="L91" s="1">
        <v>357.0</v>
      </c>
      <c r="M91" s="1">
        <v>71.4</v>
      </c>
      <c r="N91" s="1">
        <v>91.0</v>
      </c>
      <c r="O91" s="1" t="s">
        <v>21</v>
      </c>
    </row>
    <row r="92" ht="15.75" customHeight="1">
      <c r="A92" s="1" t="s">
        <v>200</v>
      </c>
      <c r="B92" s="1" t="s">
        <v>201</v>
      </c>
      <c r="C92" s="1" t="s">
        <v>17</v>
      </c>
      <c r="D92" s="1" t="s">
        <v>18</v>
      </c>
      <c r="E92" s="1" t="s">
        <v>19</v>
      </c>
      <c r="F92" s="1" t="s">
        <v>37</v>
      </c>
      <c r="G92" s="1">
        <v>46.0</v>
      </c>
      <c r="H92" s="1">
        <v>93.0</v>
      </c>
      <c r="I92" s="1">
        <v>75.0</v>
      </c>
      <c r="J92" s="1">
        <v>98.0</v>
      </c>
      <c r="K92" s="1">
        <v>57.0</v>
      </c>
      <c r="L92" s="1">
        <v>369.0</v>
      </c>
      <c r="M92" s="1">
        <v>73.8</v>
      </c>
      <c r="N92" s="1">
        <v>96.0</v>
      </c>
      <c r="O92" s="1" t="s">
        <v>21</v>
      </c>
    </row>
    <row r="93" ht="15.75" customHeight="1">
      <c r="A93" s="1" t="s">
        <v>202</v>
      </c>
      <c r="B93" s="1" t="s">
        <v>117</v>
      </c>
      <c r="C93" s="1" t="s">
        <v>17</v>
      </c>
      <c r="D93" s="1" t="s">
        <v>29</v>
      </c>
      <c r="E93" s="1" t="s">
        <v>25</v>
      </c>
      <c r="F93" s="1" t="s">
        <v>62</v>
      </c>
      <c r="G93" s="1">
        <v>53.0</v>
      </c>
      <c r="H93" s="1">
        <v>90.0</v>
      </c>
      <c r="I93" s="1">
        <v>53.0</v>
      </c>
      <c r="J93" s="1">
        <v>63.0</v>
      </c>
      <c r="K93" s="1">
        <v>40.0</v>
      </c>
      <c r="L93" s="1">
        <v>299.0</v>
      </c>
      <c r="M93" s="1">
        <v>59.8</v>
      </c>
      <c r="N93" s="1">
        <v>85.0</v>
      </c>
      <c r="O93" s="1" t="s">
        <v>21</v>
      </c>
    </row>
    <row r="94" ht="15.75" customHeight="1">
      <c r="A94" s="1" t="s">
        <v>203</v>
      </c>
      <c r="B94" s="1" t="s">
        <v>204</v>
      </c>
      <c r="C94" s="1" t="s">
        <v>32</v>
      </c>
      <c r="D94" s="1" t="s">
        <v>24</v>
      </c>
      <c r="E94" s="1" t="s">
        <v>19</v>
      </c>
      <c r="F94" s="1" t="s">
        <v>77</v>
      </c>
      <c r="G94" s="1">
        <v>54.0</v>
      </c>
      <c r="H94" s="1">
        <v>57.0</v>
      </c>
      <c r="I94" s="1">
        <v>94.0</v>
      </c>
      <c r="J94" s="1">
        <v>79.0</v>
      </c>
      <c r="K94" s="1">
        <v>95.0</v>
      </c>
      <c r="L94" s="1">
        <v>379.0</v>
      </c>
      <c r="M94" s="1">
        <v>75.8</v>
      </c>
      <c r="N94" s="1">
        <v>93.0</v>
      </c>
      <c r="O94" s="1" t="s">
        <v>21</v>
      </c>
    </row>
    <row r="95" ht="15.75" customHeight="1">
      <c r="A95" s="1" t="s">
        <v>205</v>
      </c>
      <c r="B95" s="1" t="s">
        <v>206</v>
      </c>
      <c r="C95" s="1" t="s">
        <v>32</v>
      </c>
      <c r="D95" s="1" t="s">
        <v>18</v>
      </c>
      <c r="E95" s="1" t="s">
        <v>19</v>
      </c>
      <c r="F95" s="1" t="s">
        <v>62</v>
      </c>
      <c r="G95" s="1">
        <v>47.0</v>
      </c>
      <c r="H95" s="1">
        <v>68.0</v>
      </c>
      <c r="I95" s="1">
        <v>100.0</v>
      </c>
      <c r="J95" s="1">
        <v>91.0</v>
      </c>
      <c r="K95" s="1">
        <v>43.0</v>
      </c>
      <c r="L95" s="1">
        <v>349.0</v>
      </c>
      <c r="M95" s="1">
        <v>69.8</v>
      </c>
      <c r="N95" s="1">
        <v>93.0</v>
      </c>
      <c r="O95" s="1" t="s">
        <v>21</v>
      </c>
    </row>
    <row r="96" ht="15.75" customHeight="1">
      <c r="A96" s="1" t="s">
        <v>207</v>
      </c>
      <c r="B96" s="1" t="s">
        <v>208</v>
      </c>
      <c r="C96" s="1" t="s">
        <v>32</v>
      </c>
      <c r="D96" s="1" t="s">
        <v>24</v>
      </c>
      <c r="E96" s="1" t="s">
        <v>19</v>
      </c>
      <c r="F96" s="1" t="s">
        <v>41</v>
      </c>
      <c r="G96" s="1">
        <v>58.0</v>
      </c>
      <c r="H96" s="1">
        <v>72.0</v>
      </c>
      <c r="I96" s="1">
        <v>60.0</v>
      </c>
      <c r="J96" s="1">
        <v>45.0</v>
      </c>
      <c r="K96" s="1">
        <v>52.0</v>
      </c>
      <c r="L96" s="1">
        <v>287.0</v>
      </c>
      <c r="M96" s="1">
        <v>57.4</v>
      </c>
      <c r="N96" s="1">
        <v>99.0</v>
      </c>
      <c r="O96" s="1" t="s">
        <v>21</v>
      </c>
    </row>
    <row r="97" ht="15.75" customHeight="1">
      <c r="A97" s="1" t="s">
        <v>209</v>
      </c>
      <c r="B97" s="1" t="s">
        <v>23</v>
      </c>
      <c r="C97" s="1" t="s">
        <v>17</v>
      </c>
      <c r="D97" s="1" t="s">
        <v>18</v>
      </c>
      <c r="E97" s="1" t="s">
        <v>25</v>
      </c>
      <c r="F97" s="1" t="s">
        <v>55</v>
      </c>
      <c r="G97" s="1">
        <v>63.0</v>
      </c>
      <c r="H97" s="1">
        <v>45.0</v>
      </c>
      <c r="I97" s="1">
        <v>86.0</v>
      </c>
      <c r="J97" s="1">
        <v>91.0</v>
      </c>
      <c r="K97" s="1">
        <v>66.0</v>
      </c>
      <c r="L97" s="1">
        <v>351.0</v>
      </c>
      <c r="M97" s="1">
        <v>70.2</v>
      </c>
      <c r="N97" s="1">
        <v>76.0</v>
      </c>
      <c r="O97" s="1" t="s">
        <v>21</v>
      </c>
    </row>
    <row r="98" ht="15.75" customHeight="1">
      <c r="A98" s="1" t="s">
        <v>210</v>
      </c>
      <c r="B98" s="1" t="s">
        <v>211</v>
      </c>
      <c r="C98" s="1" t="s">
        <v>32</v>
      </c>
      <c r="D98" s="1" t="s">
        <v>24</v>
      </c>
      <c r="E98" s="1" t="s">
        <v>25</v>
      </c>
      <c r="F98" s="1" t="s">
        <v>20</v>
      </c>
      <c r="G98" s="1">
        <v>41.0</v>
      </c>
      <c r="H98" s="1">
        <v>64.0</v>
      </c>
      <c r="I98" s="1">
        <v>69.0</v>
      </c>
      <c r="J98" s="1">
        <v>85.0</v>
      </c>
      <c r="K98" s="1">
        <v>42.0</v>
      </c>
      <c r="L98" s="1">
        <v>301.0</v>
      </c>
      <c r="M98" s="1">
        <v>60.2</v>
      </c>
      <c r="N98" s="1">
        <v>66.0</v>
      </c>
      <c r="O98" s="1" t="s">
        <v>21</v>
      </c>
    </row>
    <row r="99" ht="15.75" customHeight="1">
      <c r="A99" s="1" t="s">
        <v>212</v>
      </c>
      <c r="B99" s="1" t="s">
        <v>125</v>
      </c>
      <c r="C99" s="1" t="s">
        <v>17</v>
      </c>
      <c r="D99" s="1" t="s">
        <v>24</v>
      </c>
      <c r="E99" s="1" t="s">
        <v>47</v>
      </c>
      <c r="F99" s="1" t="s">
        <v>41</v>
      </c>
      <c r="G99" s="1">
        <v>87.0</v>
      </c>
      <c r="H99" s="1">
        <v>62.0</v>
      </c>
      <c r="I99" s="1">
        <v>91.0</v>
      </c>
      <c r="J99" s="1">
        <v>94.0</v>
      </c>
      <c r="K99" s="1">
        <v>68.0</v>
      </c>
      <c r="L99" s="1">
        <v>402.0</v>
      </c>
      <c r="M99" s="1">
        <v>80.4</v>
      </c>
      <c r="N99" s="1">
        <v>89.0</v>
      </c>
      <c r="O99" s="1" t="s">
        <v>21</v>
      </c>
    </row>
    <row r="100" ht="15.75" customHeight="1">
      <c r="A100" s="1" t="s">
        <v>213</v>
      </c>
      <c r="B100" s="1" t="s">
        <v>214</v>
      </c>
      <c r="C100" s="1" t="s">
        <v>17</v>
      </c>
      <c r="D100" s="1" t="s">
        <v>40</v>
      </c>
      <c r="E100" s="1" t="s">
        <v>25</v>
      </c>
      <c r="F100" s="1" t="s">
        <v>55</v>
      </c>
      <c r="G100" s="1">
        <v>100.0</v>
      </c>
      <c r="H100" s="1">
        <v>100.0</v>
      </c>
      <c r="I100" s="1">
        <v>53.0</v>
      </c>
      <c r="J100" s="1">
        <v>42.0</v>
      </c>
      <c r="K100" s="1">
        <v>65.0</v>
      </c>
      <c r="L100" s="1">
        <v>360.0</v>
      </c>
      <c r="M100" s="1">
        <v>72.0</v>
      </c>
      <c r="N100" s="1">
        <v>96.0</v>
      </c>
      <c r="O100" s="1" t="s">
        <v>21</v>
      </c>
    </row>
    <row r="101" ht="15.75" customHeight="1">
      <c r="A101" s="1" t="s">
        <v>215</v>
      </c>
      <c r="B101" s="1" t="s">
        <v>115</v>
      </c>
      <c r="C101" s="1" t="s">
        <v>17</v>
      </c>
      <c r="D101" s="1" t="s">
        <v>29</v>
      </c>
      <c r="E101" s="1" t="s">
        <v>25</v>
      </c>
      <c r="F101" s="1" t="s">
        <v>26</v>
      </c>
      <c r="G101" s="1">
        <v>75.0</v>
      </c>
      <c r="H101" s="1">
        <v>86.0</v>
      </c>
      <c r="I101" s="1">
        <v>70.0</v>
      </c>
      <c r="J101" s="1">
        <v>54.0</v>
      </c>
      <c r="K101" s="1">
        <v>54.0</v>
      </c>
      <c r="L101" s="1">
        <v>339.0</v>
      </c>
      <c r="M101" s="1">
        <v>67.8</v>
      </c>
      <c r="N101" s="1">
        <v>72.0</v>
      </c>
      <c r="O101" s="1" t="s">
        <v>21</v>
      </c>
    </row>
    <row r="102" ht="15.75" customHeight="1">
      <c r="A102" s="1" t="s">
        <v>216</v>
      </c>
      <c r="B102" s="1" t="s">
        <v>217</v>
      </c>
      <c r="C102" s="1" t="s">
        <v>32</v>
      </c>
      <c r="D102" s="1" t="s">
        <v>24</v>
      </c>
      <c r="E102" s="1" t="s">
        <v>47</v>
      </c>
      <c r="F102" s="1" t="s">
        <v>55</v>
      </c>
      <c r="G102" s="1">
        <v>76.0</v>
      </c>
      <c r="H102" s="1">
        <v>47.0</v>
      </c>
      <c r="I102" s="1">
        <v>52.0</v>
      </c>
      <c r="J102" s="1">
        <v>68.0</v>
      </c>
      <c r="K102" s="1">
        <v>65.0</v>
      </c>
      <c r="L102" s="1">
        <v>308.0</v>
      </c>
      <c r="M102" s="1">
        <v>61.6</v>
      </c>
      <c r="N102" s="1">
        <v>77.0</v>
      </c>
      <c r="O102" s="1" t="s">
        <v>21</v>
      </c>
    </row>
    <row r="103" ht="15.75" customHeight="1">
      <c r="A103" s="1" t="s">
        <v>218</v>
      </c>
      <c r="B103" s="1" t="s">
        <v>219</v>
      </c>
      <c r="C103" s="1" t="s">
        <v>17</v>
      </c>
      <c r="D103" s="1" t="s">
        <v>40</v>
      </c>
      <c r="E103" s="1" t="s">
        <v>25</v>
      </c>
      <c r="F103" s="1" t="s">
        <v>26</v>
      </c>
      <c r="G103" s="1">
        <v>89.0</v>
      </c>
      <c r="H103" s="1">
        <v>68.0</v>
      </c>
      <c r="I103" s="1">
        <v>47.0</v>
      </c>
      <c r="J103" s="1">
        <v>56.0</v>
      </c>
      <c r="K103" s="1">
        <v>58.0</v>
      </c>
      <c r="L103" s="1">
        <v>318.0</v>
      </c>
      <c r="M103" s="1">
        <v>63.6</v>
      </c>
      <c r="N103" s="1">
        <v>71.0</v>
      </c>
      <c r="O103" s="1" t="s">
        <v>21</v>
      </c>
    </row>
    <row r="104" ht="15.75" customHeight="1">
      <c r="A104" s="1" t="s">
        <v>220</v>
      </c>
      <c r="B104" s="1" t="s">
        <v>221</v>
      </c>
      <c r="C104" s="1" t="s">
        <v>17</v>
      </c>
      <c r="D104" s="1" t="s">
        <v>54</v>
      </c>
      <c r="E104" s="1" t="s">
        <v>19</v>
      </c>
      <c r="F104" s="1" t="s">
        <v>55</v>
      </c>
      <c r="G104" s="1">
        <v>63.0</v>
      </c>
      <c r="H104" s="1">
        <v>43.0</v>
      </c>
      <c r="I104" s="1">
        <v>90.0</v>
      </c>
      <c r="J104" s="1">
        <v>72.0</v>
      </c>
      <c r="K104" s="1">
        <v>40.0</v>
      </c>
      <c r="L104" s="1">
        <v>308.0</v>
      </c>
      <c r="M104" s="1">
        <v>61.6</v>
      </c>
      <c r="N104" s="1">
        <v>78.0</v>
      </c>
      <c r="O104" s="1" t="s">
        <v>21</v>
      </c>
    </row>
    <row r="105" ht="15.75" customHeight="1">
      <c r="A105" s="1" t="s">
        <v>222</v>
      </c>
      <c r="B105" s="1" t="s">
        <v>223</v>
      </c>
      <c r="C105" s="1" t="s">
        <v>32</v>
      </c>
      <c r="D105" s="1" t="s">
        <v>24</v>
      </c>
      <c r="E105" s="1" t="s">
        <v>47</v>
      </c>
      <c r="F105" s="1" t="s">
        <v>77</v>
      </c>
      <c r="G105" s="1">
        <v>83.0</v>
      </c>
      <c r="H105" s="1">
        <v>70.0</v>
      </c>
      <c r="I105" s="1">
        <v>57.0</v>
      </c>
      <c r="J105" s="1">
        <v>81.0</v>
      </c>
      <c r="K105" s="1">
        <v>96.0</v>
      </c>
      <c r="L105" s="1">
        <v>387.0</v>
      </c>
      <c r="M105" s="1">
        <v>77.4</v>
      </c>
      <c r="N105" s="1">
        <v>62.0</v>
      </c>
      <c r="O105" s="1" t="s">
        <v>21</v>
      </c>
    </row>
    <row r="106" ht="15.75" customHeight="1">
      <c r="A106" s="1" t="s">
        <v>224</v>
      </c>
      <c r="B106" s="1" t="s">
        <v>225</v>
      </c>
      <c r="C106" s="1" t="s">
        <v>32</v>
      </c>
      <c r="D106" s="1" t="s">
        <v>54</v>
      </c>
      <c r="E106" s="1" t="s">
        <v>47</v>
      </c>
      <c r="F106" s="1" t="s">
        <v>62</v>
      </c>
      <c r="G106" s="1">
        <v>46.0</v>
      </c>
      <c r="H106" s="1">
        <v>85.0</v>
      </c>
      <c r="I106" s="1">
        <v>80.0</v>
      </c>
      <c r="J106" s="1">
        <v>80.0</v>
      </c>
      <c r="K106" s="1">
        <v>97.0</v>
      </c>
      <c r="L106" s="1">
        <v>388.0</v>
      </c>
      <c r="M106" s="1">
        <v>77.6</v>
      </c>
      <c r="N106" s="1">
        <v>72.0</v>
      </c>
      <c r="O106" s="1" t="s">
        <v>21</v>
      </c>
    </row>
    <row r="107" ht="15.75" customHeight="1">
      <c r="A107" s="1" t="s">
        <v>226</v>
      </c>
      <c r="B107" s="1" t="s">
        <v>227</v>
      </c>
      <c r="C107" s="1" t="s">
        <v>17</v>
      </c>
      <c r="D107" s="1" t="s">
        <v>18</v>
      </c>
      <c r="E107" s="1" t="s">
        <v>25</v>
      </c>
      <c r="F107" s="1" t="s">
        <v>62</v>
      </c>
      <c r="G107" s="1">
        <v>47.0</v>
      </c>
      <c r="H107" s="1">
        <v>97.0</v>
      </c>
      <c r="I107" s="1">
        <v>52.0</v>
      </c>
      <c r="J107" s="1">
        <v>58.0</v>
      </c>
      <c r="K107" s="1">
        <v>95.0</v>
      </c>
      <c r="L107" s="1">
        <v>349.0</v>
      </c>
      <c r="M107" s="1">
        <v>69.8</v>
      </c>
      <c r="N107" s="1">
        <v>94.0</v>
      </c>
      <c r="O107" s="1" t="s">
        <v>21</v>
      </c>
    </row>
    <row r="108" ht="15.75" customHeight="1">
      <c r="A108" s="1" t="s">
        <v>228</v>
      </c>
      <c r="B108" s="1" t="s">
        <v>229</v>
      </c>
      <c r="C108" s="1" t="s">
        <v>32</v>
      </c>
      <c r="D108" s="1" t="s">
        <v>18</v>
      </c>
      <c r="E108" s="1" t="s">
        <v>47</v>
      </c>
      <c r="F108" s="1" t="s">
        <v>20</v>
      </c>
      <c r="G108" s="1">
        <v>93.0</v>
      </c>
      <c r="H108" s="1">
        <v>68.0</v>
      </c>
      <c r="I108" s="1">
        <v>70.0</v>
      </c>
      <c r="J108" s="1">
        <v>67.0</v>
      </c>
      <c r="K108" s="1">
        <v>96.0</v>
      </c>
      <c r="L108" s="1">
        <v>394.0</v>
      </c>
      <c r="M108" s="1">
        <v>78.8</v>
      </c>
      <c r="N108" s="1">
        <v>71.0</v>
      </c>
      <c r="O108" s="1" t="s">
        <v>21</v>
      </c>
    </row>
    <row r="109" ht="15.75" customHeight="1">
      <c r="A109" s="1" t="s">
        <v>230</v>
      </c>
      <c r="B109" s="1" t="s">
        <v>231</v>
      </c>
      <c r="C109" s="1" t="s">
        <v>32</v>
      </c>
      <c r="D109" s="1" t="s">
        <v>40</v>
      </c>
      <c r="E109" s="1" t="s">
        <v>47</v>
      </c>
      <c r="F109" s="1" t="s">
        <v>26</v>
      </c>
      <c r="G109" s="1">
        <v>46.0</v>
      </c>
      <c r="H109" s="1">
        <v>59.0</v>
      </c>
      <c r="I109" s="1">
        <v>40.0</v>
      </c>
      <c r="J109" s="1">
        <v>100.0</v>
      </c>
      <c r="K109" s="1">
        <v>82.0</v>
      </c>
      <c r="L109" s="1">
        <v>327.0</v>
      </c>
      <c r="M109" s="1">
        <v>65.4</v>
      </c>
      <c r="N109" s="1">
        <v>76.0</v>
      </c>
      <c r="O109" s="1" t="s">
        <v>21</v>
      </c>
    </row>
    <row r="110" ht="15.75" customHeight="1">
      <c r="A110" s="1" t="s">
        <v>232</v>
      </c>
      <c r="B110" s="1" t="s">
        <v>233</v>
      </c>
      <c r="C110" s="1" t="s">
        <v>32</v>
      </c>
      <c r="D110" s="1" t="s">
        <v>29</v>
      </c>
      <c r="E110" s="1" t="s">
        <v>19</v>
      </c>
      <c r="F110" s="1" t="s">
        <v>77</v>
      </c>
      <c r="G110" s="1">
        <v>62.0</v>
      </c>
      <c r="H110" s="1">
        <v>87.0</v>
      </c>
      <c r="I110" s="1">
        <v>62.0</v>
      </c>
      <c r="J110" s="1">
        <v>73.0</v>
      </c>
      <c r="K110" s="1">
        <v>90.0</v>
      </c>
      <c r="L110" s="1">
        <v>374.0</v>
      </c>
      <c r="M110" s="1">
        <v>74.8</v>
      </c>
      <c r="N110" s="1">
        <v>83.0</v>
      </c>
      <c r="O110" s="1" t="s">
        <v>21</v>
      </c>
    </row>
    <row r="111" ht="15.75" customHeight="1">
      <c r="A111" s="1" t="s">
        <v>234</v>
      </c>
      <c r="B111" s="1" t="s">
        <v>235</v>
      </c>
      <c r="C111" s="1" t="s">
        <v>32</v>
      </c>
      <c r="D111" s="1" t="s">
        <v>24</v>
      </c>
      <c r="E111" s="1" t="s">
        <v>47</v>
      </c>
      <c r="F111" s="1" t="s">
        <v>55</v>
      </c>
      <c r="G111" s="1">
        <v>48.0</v>
      </c>
      <c r="H111" s="1">
        <v>47.0</v>
      </c>
      <c r="I111" s="1">
        <v>42.0</v>
      </c>
      <c r="J111" s="1">
        <v>69.0</v>
      </c>
      <c r="K111" s="1">
        <v>50.0</v>
      </c>
      <c r="L111" s="1">
        <v>256.0</v>
      </c>
      <c r="M111" s="1">
        <v>51.2</v>
      </c>
      <c r="N111" s="1">
        <v>71.0</v>
      </c>
      <c r="O111" s="1" t="s">
        <v>21</v>
      </c>
    </row>
    <row r="112" ht="15.75" customHeight="1">
      <c r="A112" s="1" t="s">
        <v>236</v>
      </c>
      <c r="B112" s="1" t="s">
        <v>237</v>
      </c>
      <c r="C112" s="1" t="s">
        <v>32</v>
      </c>
      <c r="D112" s="1" t="s">
        <v>54</v>
      </c>
      <c r="E112" s="1" t="s">
        <v>47</v>
      </c>
      <c r="F112" s="1" t="s">
        <v>44</v>
      </c>
      <c r="G112" s="1">
        <v>88.0</v>
      </c>
      <c r="H112" s="1">
        <v>89.0</v>
      </c>
      <c r="I112" s="1">
        <v>72.0</v>
      </c>
      <c r="J112" s="1">
        <v>42.0</v>
      </c>
      <c r="K112" s="1">
        <v>74.0</v>
      </c>
      <c r="L112" s="1">
        <v>365.0</v>
      </c>
      <c r="M112" s="1">
        <v>73.0</v>
      </c>
      <c r="N112" s="1">
        <v>64.0</v>
      </c>
      <c r="O112" s="1" t="s">
        <v>21</v>
      </c>
    </row>
    <row r="113" ht="15.75" customHeight="1">
      <c r="A113" s="1" t="s">
        <v>238</v>
      </c>
      <c r="B113" s="1" t="s">
        <v>239</v>
      </c>
      <c r="C113" s="1" t="s">
        <v>17</v>
      </c>
      <c r="D113" s="1" t="s">
        <v>29</v>
      </c>
      <c r="E113" s="1" t="s">
        <v>19</v>
      </c>
      <c r="F113" s="1" t="s">
        <v>62</v>
      </c>
      <c r="G113" s="1">
        <v>83.0</v>
      </c>
      <c r="H113" s="1">
        <v>42.0</v>
      </c>
      <c r="I113" s="1">
        <v>62.0</v>
      </c>
      <c r="J113" s="1">
        <v>42.0</v>
      </c>
      <c r="K113" s="1">
        <v>50.0</v>
      </c>
      <c r="L113" s="1">
        <v>279.0</v>
      </c>
      <c r="M113" s="1">
        <v>55.8</v>
      </c>
      <c r="N113" s="1">
        <v>78.0</v>
      </c>
      <c r="O113" s="1" t="s">
        <v>21</v>
      </c>
    </row>
    <row r="114" ht="15.75" customHeight="1">
      <c r="A114" s="1" t="s">
        <v>240</v>
      </c>
      <c r="B114" s="1" t="s">
        <v>201</v>
      </c>
      <c r="C114" s="1" t="s">
        <v>32</v>
      </c>
      <c r="D114" s="1" t="s">
        <v>24</v>
      </c>
      <c r="E114" s="1" t="s">
        <v>47</v>
      </c>
      <c r="F114" s="1" t="s">
        <v>62</v>
      </c>
      <c r="G114" s="1">
        <v>70.0</v>
      </c>
      <c r="H114" s="1">
        <v>89.0</v>
      </c>
      <c r="I114" s="1">
        <v>92.0</v>
      </c>
      <c r="J114" s="1">
        <v>80.0</v>
      </c>
      <c r="K114" s="1">
        <v>64.0</v>
      </c>
      <c r="L114" s="1">
        <v>395.0</v>
      </c>
      <c r="M114" s="1">
        <v>79.0</v>
      </c>
      <c r="N114" s="1">
        <v>90.0</v>
      </c>
      <c r="O114" s="1" t="s">
        <v>21</v>
      </c>
    </row>
    <row r="115" ht="15.75" customHeight="1">
      <c r="A115" s="1" t="s">
        <v>241</v>
      </c>
      <c r="B115" s="1" t="s">
        <v>242</v>
      </c>
      <c r="C115" s="1" t="s">
        <v>17</v>
      </c>
      <c r="D115" s="1" t="s">
        <v>40</v>
      </c>
      <c r="E115" s="1" t="s">
        <v>19</v>
      </c>
      <c r="F115" s="1" t="s">
        <v>37</v>
      </c>
      <c r="G115" s="1">
        <v>66.0</v>
      </c>
      <c r="H115" s="1">
        <v>63.0</v>
      </c>
      <c r="I115" s="1">
        <v>53.0</v>
      </c>
      <c r="J115" s="1">
        <v>83.0</v>
      </c>
      <c r="K115" s="1">
        <v>43.0</v>
      </c>
      <c r="L115" s="1">
        <v>308.0</v>
      </c>
      <c r="M115" s="1">
        <v>61.6</v>
      </c>
      <c r="N115" s="1">
        <v>95.0</v>
      </c>
      <c r="O115" s="1" t="s">
        <v>21</v>
      </c>
    </row>
    <row r="116" ht="15.75" customHeight="1">
      <c r="A116" s="1" t="s">
        <v>243</v>
      </c>
      <c r="B116" s="1" t="s">
        <v>244</v>
      </c>
      <c r="C116" s="1" t="s">
        <v>32</v>
      </c>
      <c r="D116" s="1" t="s">
        <v>24</v>
      </c>
      <c r="E116" s="1" t="s">
        <v>19</v>
      </c>
      <c r="F116" s="1" t="s">
        <v>77</v>
      </c>
      <c r="G116" s="1">
        <v>42.0</v>
      </c>
      <c r="H116" s="1">
        <v>98.0</v>
      </c>
      <c r="I116" s="1">
        <v>66.0</v>
      </c>
      <c r="J116" s="1">
        <v>89.0</v>
      </c>
      <c r="K116" s="1">
        <v>45.0</v>
      </c>
      <c r="L116" s="1">
        <v>340.0</v>
      </c>
      <c r="M116" s="1">
        <v>68.0</v>
      </c>
      <c r="N116" s="1">
        <v>94.0</v>
      </c>
      <c r="O116" s="1" t="s">
        <v>21</v>
      </c>
    </row>
    <row r="117" ht="15.75" customHeight="1">
      <c r="A117" s="1" t="s">
        <v>245</v>
      </c>
      <c r="B117" s="1" t="s">
        <v>246</v>
      </c>
      <c r="C117" s="1" t="s">
        <v>17</v>
      </c>
      <c r="D117" s="1" t="s">
        <v>40</v>
      </c>
      <c r="E117" s="1" t="s">
        <v>47</v>
      </c>
      <c r="F117" s="1" t="s">
        <v>55</v>
      </c>
      <c r="G117" s="1">
        <v>49.0</v>
      </c>
      <c r="H117" s="1">
        <v>70.0</v>
      </c>
      <c r="I117" s="1">
        <v>59.0</v>
      </c>
      <c r="J117" s="1">
        <v>85.0</v>
      </c>
      <c r="K117" s="1">
        <v>99.0</v>
      </c>
      <c r="L117" s="1">
        <v>362.0</v>
      </c>
      <c r="M117" s="1">
        <v>72.4</v>
      </c>
      <c r="N117" s="1">
        <v>61.0</v>
      </c>
      <c r="O117" s="1" t="s">
        <v>21</v>
      </c>
    </row>
    <row r="118" ht="15.75" customHeight="1">
      <c r="A118" s="1" t="s">
        <v>247</v>
      </c>
      <c r="B118" s="1" t="s">
        <v>145</v>
      </c>
      <c r="C118" s="1" t="s">
        <v>32</v>
      </c>
      <c r="D118" s="1" t="s">
        <v>54</v>
      </c>
      <c r="E118" s="1" t="s">
        <v>19</v>
      </c>
      <c r="F118" s="1" t="s">
        <v>77</v>
      </c>
      <c r="G118" s="1">
        <v>53.0</v>
      </c>
      <c r="H118" s="1">
        <v>54.0</v>
      </c>
      <c r="I118" s="1">
        <v>80.0</v>
      </c>
      <c r="J118" s="1">
        <v>44.0</v>
      </c>
      <c r="K118" s="1">
        <v>84.0</v>
      </c>
      <c r="L118" s="1">
        <v>315.0</v>
      </c>
      <c r="M118" s="1">
        <v>63.0</v>
      </c>
      <c r="N118" s="1">
        <v>97.0</v>
      </c>
      <c r="O118" s="1" t="s">
        <v>21</v>
      </c>
    </row>
    <row r="119" ht="15.75" customHeight="1">
      <c r="A119" s="1" t="s">
        <v>248</v>
      </c>
      <c r="B119" s="1" t="s">
        <v>211</v>
      </c>
      <c r="C119" s="1" t="s">
        <v>32</v>
      </c>
      <c r="D119" s="1" t="s">
        <v>54</v>
      </c>
      <c r="E119" s="1" t="s">
        <v>19</v>
      </c>
      <c r="F119" s="1" t="s">
        <v>37</v>
      </c>
      <c r="G119" s="1">
        <v>56.0</v>
      </c>
      <c r="H119" s="1">
        <v>83.0</v>
      </c>
      <c r="I119" s="1">
        <v>55.0</v>
      </c>
      <c r="J119" s="1">
        <v>95.0</v>
      </c>
      <c r="K119" s="1">
        <v>95.0</v>
      </c>
      <c r="L119" s="1">
        <v>384.0</v>
      </c>
      <c r="M119" s="1">
        <v>76.8</v>
      </c>
      <c r="N119" s="1">
        <v>93.0</v>
      </c>
      <c r="O119" s="1" t="s">
        <v>21</v>
      </c>
    </row>
    <row r="120" ht="15.75" customHeight="1">
      <c r="A120" s="1" t="s">
        <v>249</v>
      </c>
      <c r="B120" s="1" t="s">
        <v>250</v>
      </c>
      <c r="C120" s="1" t="s">
        <v>17</v>
      </c>
      <c r="D120" s="1" t="s">
        <v>18</v>
      </c>
      <c r="E120" s="1" t="s">
        <v>47</v>
      </c>
      <c r="F120" s="1" t="s">
        <v>37</v>
      </c>
      <c r="G120" s="1">
        <v>44.0</v>
      </c>
      <c r="H120" s="1">
        <v>64.0</v>
      </c>
      <c r="I120" s="1">
        <v>100.0</v>
      </c>
      <c r="J120" s="1">
        <v>97.0</v>
      </c>
      <c r="K120" s="1">
        <v>86.0</v>
      </c>
      <c r="L120" s="1">
        <v>391.0</v>
      </c>
      <c r="M120" s="1">
        <v>78.2</v>
      </c>
      <c r="N120" s="1">
        <v>83.0</v>
      </c>
      <c r="O120" s="1" t="s">
        <v>21</v>
      </c>
    </row>
    <row r="121" ht="15.75" customHeight="1">
      <c r="A121" s="1" t="s">
        <v>251</v>
      </c>
      <c r="B121" s="1" t="s">
        <v>252</v>
      </c>
      <c r="C121" s="1" t="s">
        <v>17</v>
      </c>
      <c r="D121" s="1" t="s">
        <v>54</v>
      </c>
      <c r="E121" s="1" t="s">
        <v>19</v>
      </c>
      <c r="F121" s="1" t="s">
        <v>20</v>
      </c>
      <c r="G121" s="1">
        <v>61.0</v>
      </c>
      <c r="H121" s="1">
        <v>53.0</v>
      </c>
      <c r="I121" s="1">
        <v>97.0</v>
      </c>
      <c r="J121" s="1">
        <v>51.0</v>
      </c>
      <c r="K121" s="1">
        <v>100.0</v>
      </c>
      <c r="L121" s="1">
        <v>362.0</v>
      </c>
      <c r="M121" s="1">
        <v>72.4</v>
      </c>
      <c r="N121" s="1">
        <v>99.0</v>
      </c>
      <c r="O121" s="1" t="s">
        <v>21</v>
      </c>
    </row>
    <row r="122" ht="15.75" customHeight="1">
      <c r="A122" s="1" t="s">
        <v>253</v>
      </c>
      <c r="B122" s="1" t="s">
        <v>250</v>
      </c>
      <c r="C122" s="1" t="s">
        <v>32</v>
      </c>
      <c r="D122" s="1" t="s">
        <v>24</v>
      </c>
      <c r="E122" s="1" t="s">
        <v>19</v>
      </c>
      <c r="F122" s="1" t="s">
        <v>55</v>
      </c>
      <c r="G122" s="1">
        <v>84.0</v>
      </c>
      <c r="H122" s="1">
        <v>75.0</v>
      </c>
      <c r="I122" s="1">
        <v>54.0</v>
      </c>
      <c r="J122" s="1">
        <v>88.0</v>
      </c>
      <c r="K122" s="1">
        <v>88.0</v>
      </c>
      <c r="L122" s="1">
        <v>389.0</v>
      </c>
      <c r="M122" s="1">
        <v>77.8</v>
      </c>
      <c r="N122" s="1">
        <v>61.0</v>
      </c>
      <c r="O122" s="1" t="s">
        <v>21</v>
      </c>
    </row>
    <row r="123" ht="15.75" customHeight="1">
      <c r="A123" s="1" t="s">
        <v>254</v>
      </c>
      <c r="B123" s="1" t="s">
        <v>107</v>
      </c>
      <c r="C123" s="1" t="s">
        <v>17</v>
      </c>
      <c r="D123" s="1" t="s">
        <v>54</v>
      </c>
      <c r="E123" s="1" t="s">
        <v>25</v>
      </c>
      <c r="F123" s="1" t="s">
        <v>26</v>
      </c>
      <c r="G123" s="1">
        <v>54.0</v>
      </c>
      <c r="H123" s="1">
        <v>99.0</v>
      </c>
      <c r="I123" s="1">
        <v>42.0</v>
      </c>
      <c r="J123" s="1">
        <v>58.0</v>
      </c>
      <c r="K123" s="1">
        <v>45.0</v>
      </c>
      <c r="L123" s="1">
        <v>298.0</v>
      </c>
      <c r="M123" s="1">
        <v>59.6</v>
      </c>
      <c r="N123" s="1">
        <v>64.0</v>
      </c>
      <c r="O123" s="1" t="s">
        <v>21</v>
      </c>
    </row>
    <row r="124" ht="15.75" customHeight="1">
      <c r="A124" s="1" t="s">
        <v>255</v>
      </c>
      <c r="B124" s="1" t="s">
        <v>256</v>
      </c>
      <c r="C124" s="1" t="s">
        <v>32</v>
      </c>
      <c r="D124" s="1" t="s">
        <v>18</v>
      </c>
      <c r="E124" s="1" t="s">
        <v>47</v>
      </c>
      <c r="F124" s="1" t="s">
        <v>44</v>
      </c>
      <c r="G124" s="1">
        <v>71.0</v>
      </c>
      <c r="H124" s="1">
        <v>91.0</v>
      </c>
      <c r="I124" s="1">
        <v>58.0</v>
      </c>
      <c r="J124" s="1">
        <v>91.0</v>
      </c>
      <c r="K124" s="1">
        <v>40.0</v>
      </c>
      <c r="L124" s="1">
        <v>351.0</v>
      </c>
      <c r="M124" s="1">
        <v>70.2</v>
      </c>
      <c r="N124" s="1">
        <v>89.0</v>
      </c>
      <c r="O124" s="1" t="s">
        <v>21</v>
      </c>
    </row>
    <row r="125" ht="15.75" customHeight="1">
      <c r="A125" s="1" t="s">
        <v>257</v>
      </c>
      <c r="B125" s="1" t="s">
        <v>204</v>
      </c>
      <c r="C125" s="1" t="s">
        <v>17</v>
      </c>
      <c r="D125" s="1" t="s">
        <v>54</v>
      </c>
      <c r="E125" s="1" t="s">
        <v>47</v>
      </c>
      <c r="F125" s="1" t="s">
        <v>77</v>
      </c>
      <c r="G125" s="1">
        <v>50.0</v>
      </c>
      <c r="H125" s="1">
        <v>79.0</v>
      </c>
      <c r="I125" s="1">
        <v>78.0</v>
      </c>
      <c r="J125" s="1">
        <v>53.0</v>
      </c>
      <c r="K125" s="1">
        <v>49.0</v>
      </c>
      <c r="L125" s="1">
        <v>309.0</v>
      </c>
      <c r="M125" s="1">
        <v>61.8</v>
      </c>
      <c r="N125" s="1">
        <v>96.0</v>
      </c>
      <c r="O125" s="1" t="s">
        <v>21</v>
      </c>
    </row>
    <row r="126" ht="15.75" customHeight="1">
      <c r="A126" s="1" t="s">
        <v>258</v>
      </c>
      <c r="B126" s="1" t="s">
        <v>259</v>
      </c>
      <c r="C126" s="1" t="s">
        <v>17</v>
      </c>
      <c r="D126" s="1" t="s">
        <v>29</v>
      </c>
      <c r="E126" s="1" t="s">
        <v>19</v>
      </c>
      <c r="F126" s="1" t="s">
        <v>41</v>
      </c>
      <c r="G126" s="1">
        <v>63.0</v>
      </c>
      <c r="H126" s="1">
        <v>48.0</v>
      </c>
      <c r="I126" s="1">
        <v>47.0</v>
      </c>
      <c r="J126" s="1">
        <v>68.0</v>
      </c>
      <c r="K126" s="1">
        <v>57.0</v>
      </c>
      <c r="L126" s="1">
        <v>283.0</v>
      </c>
      <c r="M126" s="1">
        <v>56.6</v>
      </c>
      <c r="N126" s="1">
        <v>82.0</v>
      </c>
      <c r="O126" s="1" t="s">
        <v>21</v>
      </c>
    </row>
    <row r="127" ht="15.75" customHeight="1">
      <c r="A127" s="1" t="s">
        <v>260</v>
      </c>
      <c r="B127" s="1" t="s">
        <v>261</v>
      </c>
      <c r="C127" s="1" t="s">
        <v>17</v>
      </c>
      <c r="D127" s="1" t="s">
        <v>54</v>
      </c>
      <c r="E127" s="1" t="s">
        <v>19</v>
      </c>
      <c r="F127" s="1" t="s">
        <v>20</v>
      </c>
      <c r="G127" s="1">
        <v>95.0</v>
      </c>
      <c r="H127" s="1">
        <v>58.0</v>
      </c>
      <c r="I127" s="1">
        <v>65.0</v>
      </c>
      <c r="J127" s="1">
        <v>58.0</v>
      </c>
      <c r="K127" s="1">
        <v>71.0</v>
      </c>
      <c r="L127" s="1">
        <v>347.0</v>
      </c>
      <c r="M127" s="1">
        <v>69.4</v>
      </c>
      <c r="N127" s="1">
        <v>63.0</v>
      </c>
      <c r="O127" s="1" t="s">
        <v>21</v>
      </c>
    </row>
    <row r="128" ht="15.75" customHeight="1">
      <c r="A128" s="1" t="s">
        <v>262</v>
      </c>
      <c r="B128" s="1" t="s">
        <v>263</v>
      </c>
      <c r="C128" s="1" t="s">
        <v>32</v>
      </c>
      <c r="D128" s="1" t="s">
        <v>29</v>
      </c>
      <c r="E128" s="1" t="s">
        <v>47</v>
      </c>
      <c r="F128" s="1" t="s">
        <v>44</v>
      </c>
      <c r="G128" s="1">
        <v>46.0</v>
      </c>
      <c r="H128" s="1">
        <v>59.0</v>
      </c>
      <c r="I128" s="1">
        <v>44.0</v>
      </c>
      <c r="J128" s="1">
        <v>44.0</v>
      </c>
      <c r="K128" s="1">
        <v>77.0</v>
      </c>
      <c r="L128" s="1">
        <v>270.0</v>
      </c>
      <c r="M128" s="1">
        <v>54.0</v>
      </c>
      <c r="N128" s="1">
        <v>96.0</v>
      </c>
      <c r="O128" s="1" t="s">
        <v>21</v>
      </c>
    </row>
    <row r="129" ht="15.75" customHeight="1">
      <c r="A129" s="1" t="s">
        <v>264</v>
      </c>
      <c r="B129" s="1" t="s">
        <v>265</v>
      </c>
      <c r="C129" s="1" t="s">
        <v>17</v>
      </c>
      <c r="D129" s="1" t="s">
        <v>24</v>
      </c>
      <c r="E129" s="1" t="s">
        <v>47</v>
      </c>
      <c r="F129" s="1" t="s">
        <v>26</v>
      </c>
      <c r="G129" s="1">
        <v>49.0</v>
      </c>
      <c r="H129" s="1">
        <v>81.0</v>
      </c>
      <c r="I129" s="1">
        <v>77.0</v>
      </c>
      <c r="J129" s="1">
        <v>83.0</v>
      </c>
      <c r="K129" s="1">
        <v>98.0</v>
      </c>
      <c r="L129" s="1">
        <v>388.0</v>
      </c>
      <c r="M129" s="1">
        <v>77.6</v>
      </c>
      <c r="N129" s="1">
        <v>95.0</v>
      </c>
      <c r="O129" s="1" t="s">
        <v>21</v>
      </c>
    </row>
    <row r="130" ht="15.75" customHeight="1">
      <c r="A130" s="1" t="s">
        <v>266</v>
      </c>
      <c r="B130" s="1" t="s">
        <v>242</v>
      </c>
      <c r="C130" s="1" t="s">
        <v>32</v>
      </c>
      <c r="D130" s="1" t="s">
        <v>24</v>
      </c>
      <c r="E130" s="1" t="s">
        <v>25</v>
      </c>
      <c r="F130" s="1" t="s">
        <v>55</v>
      </c>
      <c r="G130" s="1">
        <v>74.0</v>
      </c>
      <c r="H130" s="1">
        <v>73.0</v>
      </c>
      <c r="I130" s="1">
        <v>74.0</v>
      </c>
      <c r="J130" s="1">
        <v>59.0</v>
      </c>
      <c r="K130" s="1">
        <v>85.0</v>
      </c>
      <c r="L130" s="1">
        <v>365.0</v>
      </c>
      <c r="M130" s="1">
        <v>73.0</v>
      </c>
      <c r="N130" s="1">
        <v>74.0</v>
      </c>
      <c r="O130" s="1" t="s">
        <v>21</v>
      </c>
    </row>
    <row r="131" ht="15.75" customHeight="1">
      <c r="A131" s="1" t="s">
        <v>267</v>
      </c>
      <c r="B131" s="1" t="s">
        <v>268</v>
      </c>
      <c r="C131" s="1" t="s">
        <v>32</v>
      </c>
      <c r="D131" s="1" t="s">
        <v>40</v>
      </c>
      <c r="E131" s="1" t="s">
        <v>47</v>
      </c>
      <c r="F131" s="1" t="s">
        <v>44</v>
      </c>
      <c r="G131" s="1">
        <v>65.0</v>
      </c>
      <c r="H131" s="1">
        <v>83.0</v>
      </c>
      <c r="I131" s="1">
        <v>97.0</v>
      </c>
      <c r="J131" s="1">
        <v>81.0</v>
      </c>
      <c r="K131" s="1">
        <v>97.0</v>
      </c>
      <c r="L131" s="1">
        <v>423.0</v>
      </c>
      <c r="M131" s="1">
        <v>84.6</v>
      </c>
      <c r="N131" s="1">
        <v>70.0</v>
      </c>
      <c r="O131" s="1" t="s">
        <v>21</v>
      </c>
    </row>
    <row r="132" ht="15.75" customHeight="1">
      <c r="A132" s="1" t="s">
        <v>269</v>
      </c>
      <c r="B132" s="1" t="s">
        <v>270</v>
      </c>
      <c r="C132" s="1" t="s">
        <v>32</v>
      </c>
      <c r="D132" s="1" t="s">
        <v>40</v>
      </c>
      <c r="E132" s="1" t="s">
        <v>25</v>
      </c>
      <c r="F132" s="1" t="s">
        <v>41</v>
      </c>
      <c r="G132" s="1">
        <v>46.0</v>
      </c>
      <c r="H132" s="1">
        <v>78.0</v>
      </c>
      <c r="I132" s="1">
        <v>75.0</v>
      </c>
      <c r="J132" s="1">
        <v>46.0</v>
      </c>
      <c r="K132" s="1">
        <v>45.0</v>
      </c>
      <c r="L132" s="1">
        <v>290.0</v>
      </c>
      <c r="M132" s="1">
        <v>58.0</v>
      </c>
      <c r="N132" s="1">
        <v>75.0</v>
      </c>
      <c r="O132" s="1" t="s">
        <v>21</v>
      </c>
    </row>
    <row r="133" ht="15.75" customHeight="1">
      <c r="A133" s="1" t="s">
        <v>271</v>
      </c>
      <c r="B133" s="1" t="s">
        <v>235</v>
      </c>
      <c r="C133" s="1" t="s">
        <v>17</v>
      </c>
      <c r="D133" s="1" t="s">
        <v>54</v>
      </c>
      <c r="E133" s="1" t="s">
        <v>25</v>
      </c>
      <c r="F133" s="1" t="s">
        <v>55</v>
      </c>
      <c r="G133" s="1">
        <v>93.0</v>
      </c>
      <c r="H133" s="1">
        <v>94.0</v>
      </c>
      <c r="I133" s="1">
        <v>47.0</v>
      </c>
      <c r="J133" s="1">
        <v>45.0</v>
      </c>
      <c r="K133" s="1">
        <v>54.0</v>
      </c>
      <c r="L133" s="1">
        <v>333.0</v>
      </c>
      <c r="M133" s="1">
        <v>66.6</v>
      </c>
      <c r="N133" s="1">
        <v>90.0</v>
      </c>
      <c r="O133" s="1" t="s">
        <v>21</v>
      </c>
    </row>
    <row r="134" ht="15.75" customHeight="1">
      <c r="A134" s="1" t="s">
        <v>272</v>
      </c>
      <c r="B134" s="1" t="s">
        <v>59</v>
      </c>
      <c r="C134" s="1" t="s">
        <v>32</v>
      </c>
      <c r="D134" s="1" t="s">
        <v>18</v>
      </c>
      <c r="E134" s="1" t="s">
        <v>47</v>
      </c>
      <c r="F134" s="1" t="s">
        <v>26</v>
      </c>
      <c r="G134" s="1">
        <v>85.0</v>
      </c>
      <c r="H134" s="1">
        <v>83.0</v>
      </c>
      <c r="I134" s="1">
        <v>67.0</v>
      </c>
      <c r="J134" s="1">
        <v>87.0</v>
      </c>
      <c r="K134" s="1">
        <v>71.0</v>
      </c>
      <c r="L134" s="1">
        <v>393.0</v>
      </c>
      <c r="M134" s="1">
        <v>78.6</v>
      </c>
      <c r="N134" s="1">
        <v>66.0</v>
      </c>
      <c r="O134" s="1" t="s">
        <v>21</v>
      </c>
    </row>
    <row r="135" ht="15.75" customHeight="1">
      <c r="A135" s="1" t="s">
        <v>273</v>
      </c>
      <c r="B135" s="1" t="s">
        <v>274</v>
      </c>
      <c r="C135" s="1" t="s">
        <v>32</v>
      </c>
      <c r="D135" s="1" t="s">
        <v>40</v>
      </c>
      <c r="E135" s="1" t="s">
        <v>25</v>
      </c>
      <c r="F135" s="1" t="s">
        <v>41</v>
      </c>
      <c r="G135" s="1">
        <v>85.0</v>
      </c>
      <c r="H135" s="1">
        <v>83.0</v>
      </c>
      <c r="I135" s="1">
        <v>91.0</v>
      </c>
      <c r="J135" s="1">
        <v>64.0</v>
      </c>
      <c r="K135" s="1">
        <v>47.0</v>
      </c>
      <c r="L135" s="1">
        <v>370.0</v>
      </c>
      <c r="M135" s="1">
        <v>74.0</v>
      </c>
      <c r="N135" s="1">
        <v>75.0</v>
      </c>
      <c r="O135" s="1" t="s">
        <v>21</v>
      </c>
    </row>
    <row r="136" ht="15.75" customHeight="1">
      <c r="A136" s="1" t="s">
        <v>275</v>
      </c>
      <c r="B136" s="1" t="s">
        <v>51</v>
      </c>
      <c r="C136" s="1" t="s">
        <v>32</v>
      </c>
      <c r="D136" s="1" t="s">
        <v>18</v>
      </c>
      <c r="E136" s="1" t="s">
        <v>47</v>
      </c>
      <c r="F136" s="1" t="s">
        <v>55</v>
      </c>
      <c r="G136" s="1">
        <v>49.0</v>
      </c>
      <c r="H136" s="1">
        <v>97.0</v>
      </c>
      <c r="I136" s="1">
        <v>63.0</v>
      </c>
      <c r="J136" s="1">
        <v>55.0</v>
      </c>
      <c r="K136" s="1">
        <v>92.0</v>
      </c>
      <c r="L136" s="1">
        <v>356.0</v>
      </c>
      <c r="M136" s="1">
        <v>71.2</v>
      </c>
      <c r="N136" s="1">
        <v>61.0</v>
      </c>
      <c r="O136" s="1" t="s">
        <v>21</v>
      </c>
    </row>
    <row r="137" ht="15.75" customHeight="1">
      <c r="A137" s="1" t="s">
        <v>276</v>
      </c>
      <c r="B137" s="1" t="s">
        <v>277</v>
      </c>
      <c r="C137" s="1" t="s">
        <v>17</v>
      </c>
      <c r="D137" s="1" t="s">
        <v>54</v>
      </c>
      <c r="E137" s="1" t="s">
        <v>47</v>
      </c>
      <c r="F137" s="1" t="s">
        <v>20</v>
      </c>
      <c r="G137" s="1">
        <v>55.0</v>
      </c>
      <c r="H137" s="1">
        <v>42.0</v>
      </c>
      <c r="I137" s="1">
        <v>68.0</v>
      </c>
      <c r="J137" s="1">
        <v>99.0</v>
      </c>
      <c r="K137" s="1">
        <v>91.0</v>
      </c>
      <c r="L137" s="1">
        <v>355.0</v>
      </c>
      <c r="M137" s="1">
        <v>71.0</v>
      </c>
      <c r="N137" s="1">
        <v>61.0</v>
      </c>
      <c r="O137" s="1" t="s">
        <v>21</v>
      </c>
    </row>
    <row r="138" ht="15.75" customHeight="1">
      <c r="A138" s="1" t="s">
        <v>278</v>
      </c>
      <c r="B138" s="1" t="s">
        <v>279</v>
      </c>
      <c r="C138" s="1" t="s">
        <v>17</v>
      </c>
      <c r="D138" s="1" t="s">
        <v>54</v>
      </c>
      <c r="E138" s="1" t="s">
        <v>19</v>
      </c>
      <c r="F138" s="1" t="s">
        <v>62</v>
      </c>
      <c r="G138" s="1">
        <v>69.0</v>
      </c>
      <c r="H138" s="1">
        <v>82.0</v>
      </c>
      <c r="I138" s="1">
        <v>91.0</v>
      </c>
      <c r="J138" s="1">
        <v>100.0</v>
      </c>
      <c r="K138" s="1">
        <v>60.0</v>
      </c>
      <c r="L138" s="1">
        <v>402.0</v>
      </c>
      <c r="M138" s="1">
        <v>80.4</v>
      </c>
      <c r="N138" s="1">
        <v>79.0</v>
      </c>
      <c r="O138" s="1" t="s">
        <v>21</v>
      </c>
    </row>
    <row r="139" ht="15.75" customHeight="1">
      <c r="A139" s="1" t="s">
        <v>280</v>
      </c>
      <c r="B139" s="1" t="s">
        <v>281</v>
      </c>
      <c r="C139" s="1" t="s">
        <v>17</v>
      </c>
      <c r="D139" s="1" t="s">
        <v>18</v>
      </c>
      <c r="E139" s="1" t="s">
        <v>19</v>
      </c>
      <c r="F139" s="1" t="s">
        <v>77</v>
      </c>
      <c r="G139" s="1">
        <v>46.0</v>
      </c>
      <c r="H139" s="1">
        <v>94.0</v>
      </c>
      <c r="I139" s="1">
        <v>100.0</v>
      </c>
      <c r="J139" s="1">
        <v>97.0</v>
      </c>
      <c r="K139" s="1">
        <v>47.0</v>
      </c>
      <c r="L139" s="1">
        <v>384.0</v>
      </c>
      <c r="M139" s="1">
        <v>76.8</v>
      </c>
      <c r="N139" s="1">
        <v>62.0</v>
      </c>
      <c r="O139" s="1" t="s">
        <v>21</v>
      </c>
    </row>
    <row r="140" ht="15.75" customHeight="1">
      <c r="A140" s="1" t="s">
        <v>282</v>
      </c>
      <c r="B140" s="1" t="s">
        <v>283</v>
      </c>
      <c r="C140" s="1" t="s">
        <v>32</v>
      </c>
      <c r="D140" s="1" t="s">
        <v>40</v>
      </c>
      <c r="E140" s="1" t="s">
        <v>19</v>
      </c>
      <c r="F140" s="1" t="s">
        <v>44</v>
      </c>
      <c r="G140" s="1">
        <v>93.0</v>
      </c>
      <c r="H140" s="1">
        <v>79.0</v>
      </c>
      <c r="I140" s="1">
        <v>59.0</v>
      </c>
      <c r="J140" s="1">
        <v>56.0</v>
      </c>
      <c r="K140" s="1">
        <v>73.0</v>
      </c>
      <c r="L140" s="1">
        <v>360.0</v>
      </c>
      <c r="M140" s="1">
        <v>72.0</v>
      </c>
      <c r="N140" s="1">
        <v>63.0</v>
      </c>
      <c r="O140" s="1" t="s">
        <v>21</v>
      </c>
    </row>
    <row r="141" ht="15.75" customHeight="1">
      <c r="A141" s="1" t="s">
        <v>284</v>
      </c>
      <c r="B141" s="1" t="s">
        <v>285</v>
      </c>
      <c r="C141" s="1" t="s">
        <v>32</v>
      </c>
      <c r="D141" s="1" t="s">
        <v>40</v>
      </c>
      <c r="E141" s="1" t="s">
        <v>47</v>
      </c>
      <c r="F141" s="1" t="s">
        <v>20</v>
      </c>
      <c r="G141" s="1">
        <v>45.0</v>
      </c>
      <c r="H141" s="1">
        <v>51.0</v>
      </c>
      <c r="I141" s="1">
        <v>40.0</v>
      </c>
      <c r="J141" s="1">
        <v>79.0</v>
      </c>
      <c r="K141" s="1">
        <v>67.0</v>
      </c>
      <c r="L141" s="1">
        <v>282.0</v>
      </c>
      <c r="M141" s="1">
        <v>56.4</v>
      </c>
      <c r="N141" s="1">
        <v>87.0</v>
      </c>
      <c r="O141" s="1" t="s">
        <v>21</v>
      </c>
    </row>
    <row r="142" ht="15.75" customHeight="1">
      <c r="A142" s="1" t="s">
        <v>286</v>
      </c>
      <c r="B142" s="1" t="s">
        <v>287</v>
      </c>
      <c r="C142" s="1" t="s">
        <v>17</v>
      </c>
      <c r="D142" s="1" t="s">
        <v>18</v>
      </c>
      <c r="E142" s="1" t="s">
        <v>47</v>
      </c>
      <c r="F142" s="1" t="s">
        <v>20</v>
      </c>
      <c r="G142" s="1">
        <v>43.0</v>
      </c>
      <c r="H142" s="1">
        <v>76.0</v>
      </c>
      <c r="I142" s="1">
        <v>78.0</v>
      </c>
      <c r="J142" s="1">
        <v>42.0</v>
      </c>
      <c r="K142" s="1">
        <v>85.0</v>
      </c>
      <c r="L142" s="1">
        <v>324.0</v>
      </c>
      <c r="M142" s="1">
        <v>64.8</v>
      </c>
      <c r="N142" s="1">
        <v>60.0</v>
      </c>
      <c r="O142" s="1" t="s">
        <v>21</v>
      </c>
    </row>
    <row r="143" ht="15.75" customHeight="1">
      <c r="A143" s="1" t="s">
        <v>288</v>
      </c>
      <c r="B143" s="1" t="s">
        <v>289</v>
      </c>
      <c r="C143" s="1" t="s">
        <v>17</v>
      </c>
      <c r="D143" s="1" t="s">
        <v>40</v>
      </c>
      <c r="E143" s="1" t="s">
        <v>25</v>
      </c>
      <c r="F143" s="1" t="s">
        <v>41</v>
      </c>
      <c r="G143" s="1">
        <v>85.0</v>
      </c>
      <c r="H143" s="1">
        <v>51.0</v>
      </c>
      <c r="I143" s="1">
        <v>49.0</v>
      </c>
      <c r="J143" s="1">
        <v>99.0</v>
      </c>
      <c r="K143" s="1">
        <v>79.0</v>
      </c>
      <c r="L143" s="1">
        <v>363.0</v>
      </c>
      <c r="M143" s="1">
        <v>72.6</v>
      </c>
      <c r="N143" s="1">
        <v>79.0</v>
      </c>
      <c r="O143" s="1" t="s">
        <v>21</v>
      </c>
    </row>
    <row r="144" ht="15.75" customHeight="1">
      <c r="A144" s="1" t="s">
        <v>290</v>
      </c>
      <c r="B144" s="1" t="s">
        <v>291</v>
      </c>
      <c r="C144" s="1" t="s">
        <v>17</v>
      </c>
      <c r="D144" s="1" t="s">
        <v>24</v>
      </c>
      <c r="E144" s="1" t="s">
        <v>19</v>
      </c>
      <c r="F144" s="1" t="s">
        <v>55</v>
      </c>
      <c r="G144" s="1">
        <v>77.0</v>
      </c>
      <c r="H144" s="1">
        <v>48.0</v>
      </c>
      <c r="I144" s="1">
        <v>82.0</v>
      </c>
      <c r="J144" s="1">
        <v>44.0</v>
      </c>
      <c r="K144" s="1">
        <v>74.0</v>
      </c>
      <c r="L144" s="1">
        <v>325.0</v>
      </c>
      <c r="M144" s="1">
        <v>65.0</v>
      </c>
      <c r="N144" s="1">
        <v>72.0</v>
      </c>
      <c r="O144" s="1" t="s">
        <v>21</v>
      </c>
    </row>
    <row r="145" ht="15.75" customHeight="1">
      <c r="A145" s="1" t="s">
        <v>292</v>
      </c>
      <c r="B145" s="1" t="s">
        <v>277</v>
      </c>
      <c r="C145" s="1" t="s">
        <v>32</v>
      </c>
      <c r="D145" s="1" t="s">
        <v>24</v>
      </c>
      <c r="E145" s="1" t="s">
        <v>25</v>
      </c>
      <c r="F145" s="1" t="s">
        <v>37</v>
      </c>
      <c r="G145" s="1">
        <v>75.0</v>
      </c>
      <c r="H145" s="1">
        <v>64.0</v>
      </c>
      <c r="I145" s="1">
        <v>69.0</v>
      </c>
      <c r="J145" s="1">
        <v>59.0</v>
      </c>
      <c r="K145" s="1">
        <v>62.0</v>
      </c>
      <c r="L145" s="1">
        <v>329.0</v>
      </c>
      <c r="M145" s="1">
        <v>65.8</v>
      </c>
      <c r="N145" s="1">
        <v>62.0</v>
      </c>
      <c r="O145" s="1" t="s">
        <v>21</v>
      </c>
    </row>
    <row r="146" ht="15.75" customHeight="1">
      <c r="A146" s="1" t="s">
        <v>293</v>
      </c>
      <c r="B146" s="1" t="s">
        <v>59</v>
      </c>
      <c r="C146" s="1" t="s">
        <v>32</v>
      </c>
      <c r="D146" s="1" t="s">
        <v>54</v>
      </c>
      <c r="E146" s="1" t="s">
        <v>25</v>
      </c>
      <c r="F146" s="1" t="s">
        <v>77</v>
      </c>
      <c r="G146" s="1">
        <v>56.0</v>
      </c>
      <c r="H146" s="1">
        <v>82.0</v>
      </c>
      <c r="I146" s="1">
        <v>81.0</v>
      </c>
      <c r="J146" s="1">
        <v>42.0</v>
      </c>
      <c r="K146" s="1">
        <v>51.0</v>
      </c>
      <c r="L146" s="1">
        <v>312.0</v>
      </c>
      <c r="M146" s="1">
        <v>62.4</v>
      </c>
      <c r="N146" s="1">
        <v>65.0</v>
      </c>
      <c r="O146" s="1" t="s">
        <v>21</v>
      </c>
    </row>
    <row r="147" ht="15.75" customHeight="1">
      <c r="A147" s="1" t="s">
        <v>294</v>
      </c>
      <c r="B147" s="1" t="s">
        <v>295</v>
      </c>
      <c r="C147" s="1" t="s">
        <v>17</v>
      </c>
      <c r="D147" s="1" t="s">
        <v>24</v>
      </c>
      <c r="E147" s="1" t="s">
        <v>19</v>
      </c>
      <c r="F147" s="1" t="s">
        <v>41</v>
      </c>
      <c r="G147" s="1">
        <v>100.0</v>
      </c>
      <c r="H147" s="1">
        <v>53.0</v>
      </c>
      <c r="I147" s="1">
        <v>73.0</v>
      </c>
      <c r="J147" s="1">
        <v>66.0</v>
      </c>
      <c r="K147" s="1">
        <v>77.0</v>
      </c>
      <c r="L147" s="1">
        <v>369.0</v>
      </c>
      <c r="M147" s="1">
        <v>73.8</v>
      </c>
      <c r="N147" s="1">
        <v>95.0</v>
      </c>
      <c r="O147" s="1" t="s">
        <v>21</v>
      </c>
    </row>
    <row r="148" ht="15.75" customHeight="1">
      <c r="A148" s="1" t="s">
        <v>296</v>
      </c>
      <c r="B148" s="1" t="s">
        <v>297</v>
      </c>
      <c r="C148" s="1" t="s">
        <v>32</v>
      </c>
      <c r="D148" s="1" t="s">
        <v>18</v>
      </c>
      <c r="E148" s="1" t="s">
        <v>47</v>
      </c>
      <c r="F148" s="1" t="s">
        <v>62</v>
      </c>
      <c r="G148" s="1">
        <v>62.0</v>
      </c>
      <c r="H148" s="1">
        <v>64.0</v>
      </c>
      <c r="I148" s="1">
        <v>83.0</v>
      </c>
      <c r="J148" s="1">
        <v>75.0</v>
      </c>
      <c r="K148" s="1">
        <v>57.0</v>
      </c>
      <c r="L148" s="1">
        <v>341.0</v>
      </c>
      <c r="M148" s="1">
        <v>68.2</v>
      </c>
      <c r="N148" s="1">
        <v>97.0</v>
      </c>
      <c r="O148" s="1" t="s">
        <v>21</v>
      </c>
    </row>
    <row r="149" ht="15.75" customHeight="1">
      <c r="A149" s="1" t="s">
        <v>298</v>
      </c>
      <c r="B149" s="1" t="s">
        <v>299</v>
      </c>
      <c r="C149" s="1" t="s">
        <v>17</v>
      </c>
      <c r="D149" s="1" t="s">
        <v>29</v>
      </c>
      <c r="E149" s="1" t="s">
        <v>47</v>
      </c>
      <c r="F149" s="1" t="s">
        <v>55</v>
      </c>
      <c r="G149" s="1">
        <v>98.0</v>
      </c>
      <c r="H149" s="1">
        <v>68.0</v>
      </c>
      <c r="I149" s="1">
        <v>53.0</v>
      </c>
      <c r="J149" s="1">
        <v>95.0</v>
      </c>
      <c r="K149" s="1">
        <v>68.0</v>
      </c>
      <c r="L149" s="1">
        <v>382.0</v>
      </c>
      <c r="M149" s="1">
        <v>76.4</v>
      </c>
      <c r="N149" s="1">
        <v>81.0</v>
      </c>
      <c r="O149" s="1" t="s">
        <v>21</v>
      </c>
    </row>
    <row r="150" ht="15.75" customHeight="1">
      <c r="A150" s="1" t="s">
        <v>300</v>
      </c>
      <c r="B150" s="1" t="s">
        <v>301</v>
      </c>
      <c r="C150" s="1" t="s">
        <v>32</v>
      </c>
      <c r="D150" s="1" t="s">
        <v>24</v>
      </c>
      <c r="E150" s="1" t="s">
        <v>19</v>
      </c>
      <c r="F150" s="1" t="s">
        <v>62</v>
      </c>
      <c r="G150" s="1">
        <v>88.0</v>
      </c>
      <c r="H150" s="1">
        <v>85.0</v>
      </c>
      <c r="I150" s="1">
        <v>72.0</v>
      </c>
      <c r="J150" s="1">
        <v>72.0</v>
      </c>
      <c r="K150" s="1">
        <v>78.0</v>
      </c>
      <c r="L150" s="1">
        <v>395.0</v>
      </c>
      <c r="M150" s="1">
        <v>79.0</v>
      </c>
      <c r="N150" s="1">
        <v>97.0</v>
      </c>
      <c r="O150" s="1" t="s">
        <v>21</v>
      </c>
    </row>
    <row r="151" ht="15.75" customHeight="1">
      <c r="A151" s="1" t="s">
        <v>302</v>
      </c>
      <c r="B151" s="1" t="s">
        <v>208</v>
      </c>
      <c r="C151" s="1" t="s">
        <v>32</v>
      </c>
      <c r="D151" s="1" t="s">
        <v>40</v>
      </c>
      <c r="E151" s="1" t="s">
        <v>19</v>
      </c>
      <c r="F151" s="1" t="s">
        <v>37</v>
      </c>
      <c r="G151" s="1">
        <v>77.0</v>
      </c>
      <c r="H151" s="1">
        <v>83.0</v>
      </c>
      <c r="I151" s="1">
        <v>52.0</v>
      </c>
      <c r="J151" s="1">
        <v>98.0</v>
      </c>
      <c r="K151" s="1">
        <v>40.0</v>
      </c>
      <c r="L151" s="1">
        <v>350.0</v>
      </c>
      <c r="M151" s="1">
        <v>70.0</v>
      </c>
      <c r="N151" s="1">
        <v>73.0</v>
      </c>
      <c r="O151" s="1" t="s">
        <v>21</v>
      </c>
    </row>
    <row r="152" ht="15.75" customHeight="1">
      <c r="A152" s="1" t="s">
        <v>303</v>
      </c>
      <c r="B152" s="1" t="s">
        <v>304</v>
      </c>
      <c r="C152" s="1" t="s">
        <v>17</v>
      </c>
      <c r="D152" s="1" t="s">
        <v>24</v>
      </c>
      <c r="E152" s="1" t="s">
        <v>47</v>
      </c>
      <c r="F152" s="1" t="s">
        <v>26</v>
      </c>
      <c r="G152" s="1">
        <v>96.0</v>
      </c>
      <c r="H152" s="1">
        <v>65.0</v>
      </c>
      <c r="I152" s="1">
        <v>76.0</v>
      </c>
      <c r="J152" s="1">
        <v>48.0</v>
      </c>
      <c r="K152" s="1">
        <v>57.0</v>
      </c>
      <c r="L152" s="1">
        <v>342.0</v>
      </c>
      <c r="M152" s="1">
        <v>68.4</v>
      </c>
      <c r="N152" s="1">
        <v>85.0</v>
      </c>
      <c r="O152" s="1" t="s">
        <v>21</v>
      </c>
    </row>
    <row r="153" ht="15.75" customHeight="1">
      <c r="A153" s="1" t="s">
        <v>305</v>
      </c>
      <c r="B153" s="1" t="s">
        <v>306</v>
      </c>
      <c r="C153" s="1" t="s">
        <v>32</v>
      </c>
      <c r="D153" s="1" t="s">
        <v>24</v>
      </c>
      <c r="E153" s="1" t="s">
        <v>19</v>
      </c>
      <c r="F153" s="1" t="s">
        <v>26</v>
      </c>
      <c r="G153" s="1">
        <v>70.0</v>
      </c>
      <c r="H153" s="1">
        <v>49.0</v>
      </c>
      <c r="I153" s="1">
        <v>75.0</v>
      </c>
      <c r="J153" s="1">
        <v>46.0</v>
      </c>
      <c r="K153" s="1">
        <v>93.0</v>
      </c>
      <c r="L153" s="1">
        <v>333.0</v>
      </c>
      <c r="M153" s="1">
        <v>66.6</v>
      </c>
      <c r="N153" s="1">
        <v>77.0</v>
      </c>
      <c r="O153" s="1" t="s">
        <v>21</v>
      </c>
    </row>
    <row r="154" ht="15.75" customHeight="1">
      <c r="A154" s="1" t="s">
        <v>307</v>
      </c>
      <c r="B154" s="1" t="s">
        <v>85</v>
      </c>
      <c r="C154" s="1" t="s">
        <v>32</v>
      </c>
      <c r="D154" s="1" t="s">
        <v>29</v>
      </c>
      <c r="E154" s="1" t="s">
        <v>19</v>
      </c>
      <c r="F154" s="1" t="s">
        <v>26</v>
      </c>
      <c r="G154" s="1">
        <v>92.0</v>
      </c>
      <c r="H154" s="1">
        <v>81.0</v>
      </c>
      <c r="I154" s="1">
        <v>54.0</v>
      </c>
      <c r="J154" s="1">
        <v>46.0</v>
      </c>
      <c r="K154" s="1">
        <v>62.0</v>
      </c>
      <c r="L154" s="1">
        <v>335.0</v>
      </c>
      <c r="M154" s="1">
        <v>67.0</v>
      </c>
      <c r="N154" s="1">
        <v>72.0</v>
      </c>
      <c r="O154" s="1" t="s">
        <v>21</v>
      </c>
    </row>
    <row r="155" ht="15.75" customHeight="1">
      <c r="A155" s="1" t="s">
        <v>308</v>
      </c>
      <c r="B155" s="1" t="s">
        <v>309</v>
      </c>
      <c r="C155" s="1" t="s">
        <v>17</v>
      </c>
      <c r="D155" s="1" t="s">
        <v>54</v>
      </c>
      <c r="E155" s="1" t="s">
        <v>25</v>
      </c>
      <c r="F155" s="1" t="s">
        <v>37</v>
      </c>
      <c r="G155" s="1">
        <v>91.0</v>
      </c>
      <c r="H155" s="1">
        <v>68.0</v>
      </c>
      <c r="I155" s="1">
        <v>87.0</v>
      </c>
      <c r="J155" s="1">
        <v>90.0</v>
      </c>
      <c r="K155" s="1">
        <v>65.0</v>
      </c>
      <c r="L155" s="1">
        <v>401.0</v>
      </c>
      <c r="M155" s="1">
        <v>80.2</v>
      </c>
      <c r="N155" s="1">
        <v>94.0</v>
      </c>
      <c r="O155" s="1" t="s">
        <v>21</v>
      </c>
    </row>
    <row r="156" ht="15.75" customHeight="1">
      <c r="A156" s="1" t="s">
        <v>310</v>
      </c>
      <c r="B156" s="1" t="s">
        <v>311</v>
      </c>
      <c r="C156" s="1" t="s">
        <v>32</v>
      </c>
      <c r="D156" s="1" t="s">
        <v>18</v>
      </c>
      <c r="E156" s="1" t="s">
        <v>25</v>
      </c>
      <c r="F156" s="1" t="s">
        <v>41</v>
      </c>
      <c r="G156" s="1">
        <v>76.0</v>
      </c>
      <c r="H156" s="1">
        <v>57.0</v>
      </c>
      <c r="I156" s="1">
        <v>85.0</v>
      </c>
      <c r="J156" s="1">
        <v>46.0</v>
      </c>
      <c r="K156" s="1">
        <v>84.0</v>
      </c>
      <c r="L156" s="1">
        <v>348.0</v>
      </c>
      <c r="M156" s="1">
        <v>69.6</v>
      </c>
      <c r="N156" s="1">
        <v>60.0</v>
      </c>
      <c r="O156" s="1" t="s">
        <v>21</v>
      </c>
    </row>
    <row r="157" ht="15.75" customHeight="1">
      <c r="A157" s="1" t="s">
        <v>312</v>
      </c>
      <c r="B157" s="1" t="s">
        <v>313</v>
      </c>
      <c r="C157" s="1" t="s">
        <v>17</v>
      </c>
      <c r="D157" s="1" t="s">
        <v>40</v>
      </c>
      <c r="E157" s="1" t="s">
        <v>19</v>
      </c>
      <c r="F157" s="1" t="s">
        <v>37</v>
      </c>
      <c r="G157" s="1">
        <v>49.0</v>
      </c>
      <c r="H157" s="1">
        <v>78.0</v>
      </c>
      <c r="I157" s="1">
        <v>49.0</v>
      </c>
      <c r="J157" s="1">
        <v>75.0</v>
      </c>
      <c r="K157" s="1">
        <v>40.0</v>
      </c>
      <c r="L157" s="1">
        <v>291.0</v>
      </c>
      <c r="M157" s="1">
        <v>58.2</v>
      </c>
      <c r="N157" s="1">
        <v>98.0</v>
      </c>
      <c r="O157" s="1" t="s">
        <v>21</v>
      </c>
    </row>
    <row r="158" ht="15.75" customHeight="1">
      <c r="A158" s="1" t="s">
        <v>314</v>
      </c>
      <c r="B158" s="1" t="s">
        <v>315</v>
      </c>
      <c r="C158" s="1" t="s">
        <v>32</v>
      </c>
      <c r="D158" s="1" t="s">
        <v>29</v>
      </c>
      <c r="E158" s="1" t="s">
        <v>47</v>
      </c>
      <c r="F158" s="1" t="s">
        <v>20</v>
      </c>
      <c r="G158" s="1">
        <v>50.0</v>
      </c>
      <c r="H158" s="1">
        <v>64.0</v>
      </c>
      <c r="I158" s="1">
        <v>59.0</v>
      </c>
      <c r="J158" s="1">
        <v>86.0</v>
      </c>
      <c r="K158" s="1">
        <v>52.0</v>
      </c>
      <c r="L158" s="1">
        <v>311.0</v>
      </c>
      <c r="M158" s="1">
        <v>62.2</v>
      </c>
      <c r="N158" s="1">
        <v>69.0</v>
      </c>
      <c r="O158" s="1" t="s">
        <v>21</v>
      </c>
    </row>
    <row r="159" ht="15.75" customHeight="1">
      <c r="A159" s="1" t="s">
        <v>316</v>
      </c>
      <c r="B159" s="1" t="s">
        <v>225</v>
      </c>
      <c r="C159" s="1" t="s">
        <v>17</v>
      </c>
      <c r="D159" s="1" t="s">
        <v>40</v>
      </c>
      <c r="E159" s="1" t="s">
        <v>19</v>
      </c>
      <c r="F159" s="1" t="s">
        <v>20</v>
      </c>
      <c r="G159" s="1">
        <v>49.0</v>
      </c>
      <c r="H159" s="1">
        <v>81.0</v>
      </c>
      <c r="I159" s="1">
        <v>70.0</v>
      </c>
      <c r="J159" s="1">
        <v>69.0</v>
      </c>
      <c r="K159" s="1">
        <v>85.0</v>
      </c>
      <c r="L159" s="1">
        <v>354.0</v>
      </c>
      <c r="M159" s="1">
        <v>70.8</v>
      </c>
      <c r="N159" s="1">
        <v>85.0</v>
      </c>
      <c r="O159" s="1" t="s">
        <v>21</v>
      </c>
    </row>
    <row r="160" ht="15.75" customHeight="1">
      <c r="A160" s="1" t="s">
        <v>317</v>
      </c>
      <c r="B160" s="1" t="s">
        <v>318</v>
      </c>
      <c r="C160" s="1" t="s">
        <v>32</v>
      </c>
      <c r="D160" s="1" t="s">
        <v>29</v>
      </c>
      <c r="E160" s="1" t="s">
        <v>47</v>
      </c>
      <c r="F160" s="1" t="s">
        <v>26</v>
      </c>
      <c r="G160" s="1">
        <v>95.0</v>
      </c>
      <c r="H160" s="1">
        <v>41.0</v>
      </c>
      <c r="I160" s="1">
        <v>49.0</v>
      </c>
      <c r="J160" s="1">
        <v>48.0</v>
      </c>
      <c r="K160" s="1">
        <v>51.0</v>
      </c>
      <c r="L160" s="1">
        <v>284.0</v>
      </c>
      <c r="M160" s="1">
        <v>56.8</v>
      </c>
      <c r="N160" s="1">
        <v>85.0</v>
      </c>
      <c r="O160" s="1" t="s">
        <v>21</v>
      </c>
    </row>
    <row r="161" ht="15.75" customHeight="1">
      <c r="A161" s="1" t="s">
        <v>319</v>
      </c>
      <c r="B161" s="1" t="s">
        <v>320</v>
      </c>
      <c r="C161" s="1" t="s">
        <v>32</v>
      </c>
      <c r="D161" s="1" t="s">
        <v>54</v>
      </c>
      <c r="E161" s="1" t="s">
        <v>19</v>
      </c>
      <c r="F161" s="1" t="s">
        <v>77</v>
      </c>
      <c r="G161" s="1">
        <v>63.0</v>
      </c>
      <c r="H161" s="1">
        <v>40.0</v>
      </c>
      <c r="I161" s="1">
        <v>98.0</v>
      </c>
      <c r="J161" s="1">
        <v>42.0</v>
      </c>
      <c r="K161" s="1">
        <v>92.0</v>
      </c>
      <c r="L161" s="1">
        <v>335.0</v>
      </c>
      <c r="M161" s="1">
        <v>67.0</v>
      </c>
      <c r="N161" s="1">
        <v>89.0</v>
      </c>
      <c r="O161" s="1" t="s">
        <v>21</v>
      </c>
    </row>
    <row r="162" ht="15.75" customHeight="1">
      <c r="A162" s="1" t="s">
        <v>321</v>
      </c>
      <c r="B162" s="1" t="s">
        <v>281</v>
      </c>
      <c r="C162" s="1" t="s">
        <v>32</v>
      </c>
      <c r="D162" s="1" t="s">
        <v>24</v>
      </c>
      <c r="E162" s="1" t="s">
        <v>19</v>
      </c>
      <c r="F162" s="1" t="s">
        <v>37</v>
      </c>
      <c r="G162" s="1">
        <v>52.0</v>
      </c>
      <c r="H162" s="1">
        <v>66.0</v>
      </c>
      <c r="I162" s="1">
        <v>75.0</v>
      </c>
      <c r="J162" s="1">
        <v>82.0</v>
      </c>
      <c r="K162" s="1">
        <v>66.0</v>
      </c>
      <c r="L162" s="1">
        <v>341.0</v>
      </c>
      <c r="M162" s="1">
        <v>68.2</v>
      </c>
      <c r="N162" s="1">
        <v>93.0</v>
      </c>
      <c r="O162" s="1" t="s">
        <v>21</v>
      </c>
    </row>
    <row r="163" ht="15.75" customHeight="1">
      <c r="A163" s="1" t="s">
        <v>322</v>
      </c>
      <c r="B163" s="1" t="s">
        <v>137</v>
      </c>
      <c r="C163" s="1" t="s">
        <v>17</v>
      </c>
      <c r="D163" s="1" t="s">
        <v>18</v>
      </c>
      <c r="E163" s="1" t="s">
        <v>25</v>
      </c>
      <c r="F163" s="1" t="s">
        <v>62</v>
      </c>
      <c r="G163" s="1">
        <v>54.0</v>
      </c>
      <c r="H163" s="1">
        <v>52.0</v>
      </c>
      <c r="I163" s="1">
        <v>70.0</v>
      </c>
      <c r="J163" s="1">
        <v>72.0</v>
      </c>
      <c r="K163" s="1">
        <v>92.0</v>
      </c>
      <c r="L163" s="1">
        <v>340.0</v>
      </c>
      <c r="M163" s="1">
        <v>68.0</v>
      </c>
      <c r="N163" s="1">
        <v>73.0</v>
      </c>
      <c r="O163" s="1" t="s">
        <v>21</v>
      </c>
    </row>
    <row r="164" ht="15.75" customHeight="1">
      <c r="A164" s="1" t="s">
        <v>323</v>
      </c>
      <c r="B164" s="1" t="s">
        <v>324</v>
      </c>
      <c r="C164" s="1" t="s">
        <v>17</v>
      </c>
      <c r="D164" s="1" t="s">
        <v>29</v>
      </c>
      <c r="E164" s="1" t="s">
        <v>47</v>
      </c>
      <c r="F164" s="1" t="s">
        <v>77</v>
      </c>
      <c r="G164" s="1">
        <v>77.0</v>
      </c>
      <c r="H164" s="1">
        <v>70.0</v>
      </c>
      <c r="I164" s="1">
        <v>51.0</v>
      </c>
      <c r="J164" s="1">
        <v>90.0</v>
      </c>
      <c r="K164" s="1">
        <v>61.0</v>
      </c>
      <c r="L164" s="1">
        <v>349.0</v>
      </c>
      <c r="M164" s="1">
        <v>69.8</v>
      </c>
      <c r="N164" s="1">
        <v>63.0</v>
      </c>
      <c r="O164" s="1" t="s">
        <v>21</v>
      </c>
    </row>
    <row r="165" ht="15.75" customHeight="1">
      <c r="A165" s="1" t="s">
        <v>325</v>
      </c>
      <c r="B165" s="1" t="s">
        <v>326</v>
      </c>
      <c r="C165" s="1" t="s">
        <v>17</v>
      </c>
      <c r="D165" s="1" t="s">
        <v>40</v>
      </c>
      <c r="E165" s="1" t="s">
        <v>25</v>
      </c>
      <c r="F165" s="1" t="s">
        <v>20</v>
      </c>
      <c r="G165" s="1">
        <v>78.0</v>
      </c>
      <c r="H165" s="1">
        <v>87.0</v>
      </c>
      <c r="I165" s="1">
        <v>95.0</v>
      </c>
      <c r="J165" s="1">
        <v>70.0</v>
      </c>
      <c r="K165" s="1">
        <v>93.0</v>
      </c>
      <c r="L165" s="1">
        <v>423.0</v>
      </c>
      <c r="M165" s="1">
        <v>84.6</v>
      </c>
      <c r="N165" s="1">
        <v>98.0</v>
      </c>
      <c r="O165" s="1" t="s">
        <v>21</v>
      </c>
    </row>
    <row r="166" ht="15.75" customHeight="1">
      <c r="A166" s="1" t="s">
        <v>327</v>
      </c>
      <c r="B166" s="1" t="s">
        <v>328</v>
      </c>
      <c r="C166" s="1" t="s">
        <v>17</v>
      </c>
      <c r="D166" s="1" t="s">
        <v>29</v>
      </c>
      <c r="E166" s="1" t="s">
        <v>25</v>
      </c>
      <c r="F166" s="1" t="s">
        <v>20</v>
      </c>
      <c r="G166" s="1">
        <v>42.0</v>
      </c>
      <c r="H166" s="1">
        <v>45.0</v>
      </c>
      <c r="I166" s="1">
        <v>54.0</v>
      </c>
      <c r="J166" s="1">
        <v>67.0</v>
      </c>
      <c r="K166" s="1">
        <v>56.0</v>
      </c>
      <c r="L166" s="1">
        <v>264.0</v>
      </c>
      <c r="M166" s="1">
        <v>52.8</v>
      </c>
      <c r="N166" s="1">
        <v>78.0</v>
      </c>
      <c r="O166" s="1" t="s">
        <v>21</v>
      </c>
    </row>
    <row r="167" ht="15.75" customHeight="1">
      <c r="A167" s="1" t="s">
        <v>329</v>
      </c>
      <c r="B167" s="1" t="s">
        <v>330</v>
      </c>
      <c r="C167" s="1" t="s">
        <v>17</v>
      </c>
      <c r="D167" s="1" t="s">
        <v>18</v>
      </c>
      <c r="E167" s="1" t="s">
        <v>47</v>
      </c>
      <c r="F167" s="1" t="s">
        <v>62</v>
      </c>
      <c r="G167" s="1">
        <v>41.0</v>
      </c>
      <c r="H167" s="1">
        <v>91.0</v>
      </c>
      <c r="I167" s="1">
        <v>89.0</v>
      </c>
      <c r="J167" s="1">
        <v>80.0</v>
      </c>
      <c r="K167" s="1">
        <v>57.0</v>
      </c>
      <c r="L167" s="1">
        <v>358.0</v>
      </c>
      <c r="M167" s="1">
        <v>71.6</v>
      </c>
      <c r="N167" s="1">
        <v>64.0</v>
      </c>
      <c r="O167" s="1" t="s">
        <v>21</v>
      </c>
    </row>
    <row r="168" ht="15.75" customHeight="1">
      <c r="A168" s="1" t="s">
        <v>331</v>
      </c>
      <c r="B168" s="1" t="s">
        <v>109</v>
      </c>
      <c r="C168" s="1" t="s">
        <v>17</v>
      </c>
      <c r="D168" s="1" t="s">
        <v>40</v>
      </c>
      <c r="E168" s="1" t="s">
        <v>47</v>
      </c>
      <c r="F168" s="1" t="s">
        <v>77</v>
      </c>
      <c r="G168" s="1">
        <v>47.0</v>
      </c>
      <c r="H168" s="1">
        <v>61.0</v>
      </c>
      <c r="I168" s="1">
        <v>44.0</v>
      </c>
      <c r="J168" s="1">
        <v>93.0</v>
      </c>
      <c r="K168" s="1">
        <v>41.0</v>
      </c>
      <c r="L168" s="1">
        <v>286.0</v>
      </c>
      <c r="M168" s="1">
        <v>57.2</v>
      </c>
      <c r="N168" s="1">
        <v>63.0</v>
      </c>
      <c r="O168" s="1" t="s">
        <v>21</v>
      </c>
    </row>
    <row r="169" ht="15.75" customHeight="1">
      <c r="A169" s="1" t="s">
        <v>332</v>
      </c>
      <c r="B169" s="1" t="s">
        <v>333</v>
      </c>
      <c r="C169" s="1" t="s">
        <v>32</v>
      </c>
      <c r="D169" s="1" t="s">
        <v>18</v>
      </c>
      <c r="E169" s="1" t="s">
        <v>47</v>
      </c>
      <c r="F169" s="1" t="s">
        <v>26</v>
      </c>
      <c r="G169" s="1">
        <v>83.0</v>
      </c>
      <c r="H169" s="1">
        <v>51.0</v>
      </c>
      <c r="I169" s="1">
        <v>71.0</v>
      </c>
      <c r="J169" s="1">
        <v>61.0</v>
      </c>
      <c r="K169" s="1">
        <v>68.0</v>
      </c>
      <c r="L169" s="1">
        <v>334.0</v>
      </c>
      <c r="M169" s="1">
        <v>66.8</v>
      </c>
      <c r="N169" s="1">
        <v>92.0</v>
      </c>
      <c r="O169" s="1" t="s">
        <v>21</v>
      </c>
    </row>
    <row r="170" ht="15.75" customHeight="1">
      <c r="A170" s="1" t="s">
        <v>334</v>
      </c>
      <c r="B170" s="1" t="s">
        <v>335</v>
      </c>
      <c r="C170" s="1" t="s">
        <v>17</v>
      </c>
      <c r="D170" s="1" t="s">
        <v>54</v>
      </c>
      <c r="E170" s="1" t="s">
        <v>47</v>
      </c>
      <c r="F170" s="1" t="s">
        <v>37</v>
      </c>
      <c r="G170" s="1">
        <v>63.0</v>
      </c>
      <c r="H170" s="1">
        <v>90.0</v>
      </c>
      <c r="I170" s="1">
        <v>52.0</v>
      </c>
      <c r="J170" s="1">
        <v>86.0</v>
      </c>
      <c r="K170" s="1">
        <v>91.0</v>
      </c>
      <c r="L170" s="1">
        <v>382.0</v>
      </c>
      <c r="M170" s="1">
        <v>76.4</v>
      </c>
      <c r="N170" s="1">
        <v>90.0</v>
      </c>
      <c r="O170" s="1" t="s">
        <v>21</v>
      </c>
    </row>
    <row r="171" ht="15.75" customHeight="1">
      <c r="A171" s="1" t="s">
        <v>336</v>
      </c>
      <c r="B171" s="1" t="s">
        <v>156</v>
      </c>
      <c r="C171" s="1" t="s">
        <v>17</v>
      </c>
      <c r="D171" s="1" t="s">
        <v>18</v>
      </c>
      <c r="E171" s="1" t="s">
        <v>47</v>
      </c>
      <c r="F171" s="1" t="s">
        <v>41</v>
      </c>
      <c r="G171" s="1">
        <v>86.0</v>
      </c>
      <c r="H171" s="1">
        <v>78.0</v>
      </c>
      <c r="I171" s="1">
        <v>48.0</v>
      </c>
      <c r="J171" s="1">
        <v>53.0</v>
      </c>
      <c r="K171" s="1">
        <v>80.0</v>
      </c>
      <c r="L171" s="1">
        <v>345.0</v>
      </c>
      <c r="M171" s="1">
        <v>69.0</v>
      </c>
      <c r="N171" s="1">
        <v>92.0</v>
      </c>
      <c r="O171" s="1" t="s">
        <v>21</v>
      </c>
    </row>
    <row r="172" ht="15.75" customHeight="1">
      <c r="A172" s="1" t="s">
        <v>337</v>
      </c>
      <c r="B172" s="1" t="s">
        <v>338</v>
      </c>
      <c r="C172" s="1" t="s">
        <v>32</v>
      </c>
      <c r="D172" s="1" t="s">
        <v>18</v>
      </c>
      <c r="E172" s="1" t="s">
        <v>47</v>
      </c>
      <c r="F172" s="1" t="s">
        <v>62</v>
      </c>
      <c r="G172" s="1">
        <v>56.0</v>
      </c>
      <c r="H172" s="1">
        <v>86.0</v>
      </c>
      <c r="I172" s="1">
        <v>51.0</v>
      </c>
      <c r="J172" s="1">
        <v>64.0</v>
      </c>
      <c r="K172" s="1">
        <v>92.0</v>
      </c>
      <c r="L172" s="1">
        <v>349.0</v>
      </c>
      <c r="M172" s="1">
        <v>69.8</v>
      </c>
      <c r="N172" s="1">
        <v>82.0</v>
      </c>
      <c r="O172" s="1" t="s">
        <v>21</v>
      </c>
    </row>
    <row r="173" ht="15.75" customHeight="1">
      <c r="A173" s="1" t="s">
        <v>339</v>
      </c>
      <c r="B173" s="1" t="s">
        <v>340</v>
      </c>
      <c r="C173" s="1" t="s">
        <v>32</v>
      </c>
      <c r="D173" s="1" t="s">
        <v>29</v>
      </c>
      <c r="E173" s="1" t="s">
        <v>25</v>
      </c>
      <c r="F173" s="1" t="s">
        <v>44</v>
      </c>
      <c r="G173" s="1">
        <v>90.0</v>
      </c>
      <c r="H173" s="1">
        <v>87.0</v>
      </c>
      <c r="I173" s="1">
        <v>61.0</v>
      </c>
      <c r="J173" s="1">
        <v>44.0</v>
      </c>
      <c r="K173" s="1">
        <v>83.0</v>
      </c>
      <c r="L173" s="1">
        <v>365.0</v>
      </c>
      <c r="M173" s="1">
        <v>73.0</v>
      </c>
      <c r="N173" s="1">
        <v>77.0</v>
      </c>
      <c r="O173" s="1" t="s">
        <v>21</v>
      </c>
    </row>
    <row r="174" ht="15.75" customHeight="1">
      <c r="A174" s="1" t="s">
        <v>341</v>
      </c>
      <c r="B174" s="1" t="s">
        <v>185</v>
      </c>
      <c r="C174" s="1" t="s">
        <v>17</v>
      </c>
      <c r="D174" s="1" t="s">
        <v>18</v>
      </c>
      <c r="E174" s="1" t="s">
        <v>19</v>
      </c>
      <c r="F174" s="1" t="s">
        <v>20</v>
      </c>
      <c r="G174" s="1">
        <v>67.0</v>
      </c>
      <c r="H174" s="1">
        <v>51.0</v>
      </c>
      <c r="I174" s="1">
        <v>77.0</v>
      </c>
      <c r="J174" s="1">
        <v>75.0</v>
      </c>
      <c r="K174" s="1">
        <v>51.0</v>
      </c>
      <c r="L174" s="1">
        <v>321.0</v>
      </c>
      <c r="M174" s="1">
        <v>64.2</v>
      </c>
      <c r="N174" s="1">
        <v>61.0</v>
      </c>
      <c r="O174" s="1" t="s">
        <v>21</v>
      </c>
    </row>
    <row r="175" ht="15.75" customHeight="1">
      <c r="A175" s="1" t="s">
        <v>342</v>
      </c>
      <c r="B175" s="1" t="s">
        <v>281</v>
      </c>
      <c r="C175" s="1" t="s">
        <v>32</v>
      </c>
      <c r="D175" s="1" t="s">
        <v>29</v>
      </c>
      <c r="E175" s="1" t="s">
        <v>47</v>
      </c>
      <c r="F175" s="1" t="s">
        <v>37</v>
      </c>
      <c r="G175" s="1">
        <v>88.0</v>
      </c>
      <c r="H175" s="1">
        <v>43.0</v>
      </c>
      <c r="I175" s="1">
        <v>51.0</v>
      </c>
      <c r="J175" s="1">
        <v>61.0</v>
      </c>
      <c r="K175" s="1">
        <v>100.0</v>
      </c>
      <c r="L175" s="1">
        <v>343.0</v>
      </c>
      <c r="M175" s="1">
        <v>68.6</v>
      </c>
      <c r="N175" s="1">
        <v>92.0</v>
      </c>
      <c r="O175" s="1" t="s">
        <v>21</v>
      </c>
    </row>
    <row r="176" ht="15.75" customHeight="1">
      <c r="A176" s="1" t="s">
        <v>343</v>
      </c>
      <c r="B176" s="1" t="s">
        <v>344</v>
      </c>
      <c r="C176" s="1" t="s">
        <v>32</v>
      </c>
      <c r="D176" s="1" t="s">
        <v>18</v>
      </c>
      <c r="E176" s="1" t="s">
        <v>25</v>
      </c>
      <c r="F176" s="1" t="s">
        <v>41</v>
      </c>
      <c r="G176" s="1">
        <v>88.0</v>
      </c>
      <c r="H176" s="1">
        <v>77.0</v>
      </c>
      <c r="I176" s="1">
        <v>88.0</v>
      </c>
      <c r="J176" s="1">
        <v>46.0</v>
      </c>
      <c r="K176" s="1">
        <v>53.0</v>
      </c>
      <c r="L176" s="1">
        <v>352.0</v>
      </c>
      <c r="M176" s="1">
        <v>70.4</v>
      </c>
      <c r="N176" s="1">
        <v>68.0</v>
      </c>
      <c r="O176" s="1" t="s">
        <v>21</v>
      </c>
    </row>
    <row r="177" ht="15.75" customHeight="1">
      <c r="A177" s="1" t="s">
        <v>345</v>
      </c>
      <c r="B177" s="1" t="s">
        <v>133</v>
      </c>
      <c r="C177" s="1" t="s">
        <v>17</v>
      </c>
      <c r="D177" s="1" t="s">
        <v>54</v>
      </c>
      <c r="E177" s="1" t="s">
        <v>25</v>
      </c>
      <c r="F177" s="1" t="s">
        <v>55</v>
      </c>
      <c r="G177" s="1">
        <v>93.0</v>
      </c>
      <c r="H177" s="1">
        <v>45.0</v>
      </c>
      <c r="I177" s="1">
        <v>87.0</v>
      </c>
      <c r="J177" s="1">
        <v>59.0</v>
      </c>
      <c r="K177" s="1">
        <v>69.0</v>
      </c>
      <c r="L177" s="1">
        <v>353.0</v>
      </c>
      <c r="M177" s="1">
        <v>70.6</v>
      </c>
      <c r="N177" s="1">
        <v>99.0</v>
      </c>
      <c r="O177" s="1" t="s">
        <v>21</v>
      </c>
    </row>
    <row r="178" ht="15.75" customHeight="1">
      <c r="A178" s="1" t="s">
        <v>346</v>
      </c>
      <c r="B178" s="1" t="s">
        <v>347</v>
      </c>
      <c r="C178" s="1" t="s">
        <v>32</v>
      </c>
      <c r="D178" s="1" t="s">
        <v>54</v>
      </c>
      <c r="E178" s="1" t="s">
        <v>25</v>
      </c>
      <c r="F178" s="1" t="s">
        <v>77</v>
      </c>
      <c r="G178" s="1">
        <v>59.0</v>
      </c>
      <c r="H178" s="1">
        <v>91.0</v>
      </c>
      <c r="I178" s="1">
        <v>63.0</v>
      </c>
      <c r="J178" s="1">
        <v>76.0</v>
      </c>
      <c r="K178" s="1">
        <v>100.0</v>
      </c>
      <c r="L178" s="1">
        <v>389.0</v>
      </c>
      <c r="M178" s="1">
        <v>77.8</v>
      </c>
      <c r="N178" s="1">
        <v>65.0</v>
      </c>
      <c r="O178" s="1" t="s">
        <v>21</v>
      </c>
    </row>
    <row r="179" ht="15.75" customHeight="1">
      <c r="A179" s="1" t="s">
        <v>348</v>
      </c>
      <c r="B179" s="1" t="s">
        <v>349</v>
      </c>
      <c r="C179" s="1" t="s">
        <v>17</v>
      </c>
      <c r="D179" s="1" t="s">
        <v>40</v>
      </c>
      <c r="E179" s="1" t="s">
        <v>47</v>
      </c>
      <c r="F179" s="1" t="s">
        <v>20</v>
      </c>
      <c r="G179" s="1">
        <v>88.0</v>
      </c>
      <c r="H179" s="1">
        <v>97.0</v>
      </c>
      <c r="I179" s="1">
        <v>56.0</v>
      </c>
      <c r="J179" s="1">
        <v>53.0</v>
      </c>
      <c r="K179" s="1">
        <v>72.0</v>
      </c>
      <c r="L179" s="1">
        <v>366.0</v>
      </c>
      <c r="M179" s="1">
        <v>73.2</v>
      </c>
      <c r="N179" s="1">
        <v>77.0</v>
      </c>
      <c r="O179" s="1" t="s">
        <v>21</v>
      </c>
    </row>
    <row r="180" ht="15.75" customHeight="1">
      <c r="A180" s="1" t="s">
        <v>350</v>
      </c>
      <c r="B180" s="1" t="s">
        <v>351</v>
      </c>
      <c r="C180" s="1" t="s">
        <v>32</v>
      </c>
      <c r="D180" s="1" t="s">
        <v>24</v>
      </c>
      <c r="E180" s="1" t="s">
        <v>19</v>
      </c>
      <c r="F180" s="1" t="s">
        <v>41</v>
      </c>
      <c r="G180" s="1">
        <v>86.0</v>
      </c>
      <c r="H180" s="1">
        <v>64.0</v>
      </c>
      <c r="I180" s="1">
        <v>82.0</v>
      </c>
      <c r="J180" s="1">
        <v>45.0</v>
      </c>
      <c r="K180" s="1">
        <v>57.0</v>
      </c>
      <c r="L180" s="1">
        <v>334.0</v>
      </c>
      <c r="M180" s="1">
        <v>66.8</v>
      </c>
      <c r="N180" s="1">
        <v>65.0</v>
      </c>
      <c r="O180" s="1" t="s">
        <v>21</v>
      </c>
    </row>
    <row r="181" ht="15.75" customHeight="1">
      <c r="A181" s="1" t="s">
        <v>352</v>
      </c>
      <c r="B181" s="1" t="s">
        <v>268</v>
      </c>
      <c r="C181" s="1" t="s">
        <v>17</v>
      </c>
      <c r="D181" s="1" t="s">
        <v>24</v>
      </c>
      <c r="E181" s="1" t="s">
        <v>47</v>
      </c>
      <c r="F181" s="1" t="s">
        <v>41</v>
      </c>
      <c r="G181" s="1">
        <v>78.0</v>
      </c>
      <c r="H181" s="1">
        <v>75.0</v>
      </c>
      <c r="I181" s="1">
        <v>41.0</v>
      </c>
      <c r="J181" s="1">
        <v>66.0</v>
      </c>
      <c r="K181" s="1">
        <v>54.0</v>
      </c>
      <c r="L181" s="1">
        <v>314.0</v>
      </c>
      <c r="M181" s="1">
        <v>62.8</v>
      </c>
      <c r="N181" s="1">
        <v>94.0</v>
      </c>
      <c r="O181" s="1" t="s">
        <v>21</v>
      </c>
    </row>
    <row r="182" ht="15.75" customHeight="1">
      <c r="A182" s="1" t="s">
        <v>353</v>
      </c>
      <c r="B182" s="1" t="s">
        <v>252</v>
      </c>
      <c r="C182" s="1" t="s">
        <v>32</v>
      </c>
      <c r="D182" s="1" t="s">
        <v>40</v>
      </c>
      <c r="E182" s="1" t="s">
        <v>47</v>
      </c>
      <c r="F182" s="1" t="s">
        <v>77</v>
      </c>
      <c r="G182" s="1">
        <v>93.0</v>
      </c>
      <c r="H182" s="1">
        <v>89.0</v>
      </c>
      <c r="I182" s="1">
        <v>86.0</v>
      </c>
      <c r="J182" s="1">
        <v>46.0</v>
      </c>
      <c r="K182" s="1">
        <v>65.0</v>
      </c>
      <c r="L182" s="1">
        <v>379.0</v>
      </c>
      <c r="M182" s="1">
        <v>75.8</v>
      </c>
      <c r="N182" s="1">
        <v>82.0</v>
      </c>
      <c r="O182" s="1" t="s">
        <v>21</v>
      </c>
    </row>
    <row r="183" ht="15.75" customHeight="1">
      <c r="A183" s="1" t="s">
        <v>354</v>
      </c>
      <c r="B183" s="1" t="s">
        <v>355</v>
      </c>
      <c r="C183" s="1" t="s">
        <v>17</v>
      </c>
      <c r="D183" s="1" t="s">
        <v>29</v>
      </c>
      <c r="E183" s="1" t="s">
        <v>25</v>
      </c>
      <c r="F183" s="1" t="s">
        <v>37</v>
      </c>
      <c r="G183" s="1">
        <v>47.0</v>
      </c>
      <c r="H183" s="1">
        <v>86.0</v>
      </c>
      <c r="I183" s="1">
        <v>95.0</v>
      </c>
      <c r="J183" s="1">
        <v>43.0</v>
      </c>
      <c r="K183" s="1">
        <v>51.0</v>
      </c>
      <c r="L183" s="1">
        <v>322.0</v>
      </c>
      <c r="M183" s="1">
        <v>64.4</v>
      </c>
      <c r="N183" s="1">
        <v>97.0</v>
      </c>
      <c r="O183" s="1" t="s">
        <v>21</v>
      </c>
    </row>
    <row r="184" ht="15.75" customHeight="1">
      <c r="A184" s="1" t="s">
        <v>356</v>
      </c>
      <c r="B184" s="1" t="s">
        <v>49</v>
      </c>
      <c r="C184" s="1" t="s">
        <v>17</v>
      </c>
      <c r="D184" s="1" t="s">
        <v>40</v>
      </c>
      <c r="E184" s="1" t="s">
        <v>19</v>
      </c>
      <c r="F184" s="1" t="s">
        <v>62</v>
      </c>
      <c r="G184" s="1">
        <v>94.0</v>
      </c>
      <c r="H184" s="1">
        <v>42.0</v>
      </c>
      <c r="I184" s="1">
        <v>75.0</v>
      </c>
      <c r="J184" s="1">
        <v>91.0</v>
      </c>
      <c r="K184" s="1">
        <v>68.0</v>
      </c>
      <c r="L184" s="1">
        <v>370.0</v>
      </c>
      <c r="M184" s="1">
        <v>74.0</v>
      </c>
      <c r="N184" s="1">
        <v>77.0</v>
      </c>
      <c r="O184" s="1" t="s">
        <v>21</v>
      </c>
    </row>
    <row r="185" ht="15.75" customHeight="1">
      <c r="A185" s="1" t="s">
        <v>357</v>
      </c>
      <c r="B185" s="1" t="s">
        <v>358</v>
      </c>
      <c r="C185" s="1" t="s">
        <v>32</v>
      </c>
      <c r="D185" s="1" t="s">
        <v>54</v>
      </c>
      <c r="E185" s="1" t="s">
        <v>19</v>
      </c>
      <c r="F185" s="1" t="s">
        <v>41</v>
      </c>
      <c r="G185" s="1">
        <v>100.0</v>
      </c>
      <c r="H185" s="1">
        <v>63.0</v>
      </c>
      <c r="I185" s="1">
        <v>71.0</v>
      </c>
      <c r="J185" s="1">
        <v>97.0</v>
      </c>
      <c r="K185" s="1">
        <v>69.0</v>
      </c>
      <c r="L185" s="1">
        <v>400.0</v>
      </c>
      <c r="M185" s="1">
        <v>80.0</v>
      </c>
      <c r="N185" s="1">
        <v>82.0</v>
      </c>
      <c r="O185" s="1" t="s">
        <v>21</v>
      </c>
    </row>
    <row r="186" ht="15.75" customHeight="1">
      <c r="A186" s="1" t="s">
        <v>359</v>
      </c>
      <c r="B186" s="1" t="s">
        <v>360</v>
      </c>
      <c r="C186" s="1" t="s">
        <v>32</v>
      </c>
      <c r="D186" s="1" t="s">
        <v>54</v>
      </c>
      <c r="E186" s="1" t="s">
        <v>19</v>
      </c>
      <c r="F186" s="1" t="s">
        <v>44</v>
      </c>
      <c r="G186" s="1">
        <v>73.0</v>
      </c>
      <c r="H186" s="1">
        <v>53.0</v>
      </c>
      <c r="I186" s="1">
        <v>73.0</v>
      </c>
      <c r="J186" s="1">
        <v>77.0</v>
      </c>
      <c r="K186" s="1">
        <v>83.0</v>
      </c>
      <c r="L186" s="1">
        <v>359.0</v>
      </c>
      <c r="M186" s="1">
        <v>71.8</v>
      </c>
      <c r="N186" s="1">
        <v>67.0</v>
      </c>
      <c r="O186" s="1" t="s">
        <v>21</v>
      </c>
    </row>
    <row r="187" ht="15.75" customHeight="1">
      <c r="A187" s="1" t="s">
        <v>361</v>
      </c>
      <c r="B187" s="1" t="s">
        <v>362</v>
      </c>
      <c r="C187" s="1" t="s">
        <v>32</v>
      </c>
      <c r="D187" s="1" t="s">
        <v>24</v>
      </c>
      <c r="E187" s="1" t="s">
        <v>19</v>
      </c>
      <c r="F187" s="1" t="s">
        <v>62</v>
      </c>
      <c r="G187" s="1">
        <v>43.0</v>
      </c>
      <c r="H187" s="1">
        <v>83.0</v>
      </c>
      <c r="I187" s="1">
        <v>62.0</v>
      </c>
      <c r="J187" s="1">
        <v>76.0</v>
      </c>
      <c r="K187" s="1">
        <v>65.0</v>
      </c>
      <c r="L187" s="1">
        <v>329.0</v>
      </c>
      <c r="M187" s="1">
        <v>65.8</v>
      </c>
      <c r="N187" s="1">
        <v>72.0</v>
      </c>
      <c r="O187" s="1" t="s">
        <v>21</v>
      </c>
    </row>
    <row r="188" ht="15.75" customHeight="1">
      <c r="A188" s="1" t="s">
        <v>363</v>
      </c>
      <c r="B188" s="1" t="s">
        <v>364</v>
      </c>
      <c r="C188" s="1" t="s">
        <v>17</v>
      </c>
      <c r="D188" s="1" t="s">
        <v>18</v>
      </c>
      <c r="E188" s="1" t="s">
        <v>25</v>
      </c>
      <c r="F188" s="1" t="s">
        <v>77</v>
      </c>
      <c r="G188" s="1">
        <v>44.0</v>
      </c>
      <c r="H188" s="1">
        <v>78.0</v>
      </c>
      <c r="I188" s="1">
        <v>90.0</v>
      </c>
      <c r="J188" s="1">
        <v>52.0</v>
      </c>
      <c r="K188" s="1">
        <v>90.0</v>
      </c>
      <c r="L188" s="1">
        <v>354.0</v>
      </c>
      <c r="M188" s="1">
        <v>70.8</v>
      </c>
      <c r="N188" s="1">
        <v>65.0</v>
      </c>
      <c r="O188" s="1" t="s">
        <v>21</v>
      </c>
    </row>
    <row r="189" ht="15.75" customHeight="1">
      <c r="A189" s="1" t="s">
        <v>365</v>
      </c>
      <c r="B189" s="1" t="s">
        <v>147</v>
      </c>
      <c r="C189" s="1" t="s">
        <v>32</v>
      </c>
      <c r="D189" s="1" t="s">
        <v>24</v>
      </c>
      <c r="E189" s="1" t="s">
        <v>25</v>
      </c>
      <c r="F189" s="1" t="s">
        <v>41</v>
      </c>
      <c r="G189" s="1">
        <v>80.0</v>
      </c>
      <c r="H189" s="1">
        <v>70.0</v>
      </c>
      <c r="I189" s="1">
        <v>50.0</v>
      </c>
      <c r="J189" s="1">
        <v>67.0</v>
      </c>
      <c r="K189" s="1">
        <v>91.0</v>
      </c>
      <c r="L189" s="1">
        <v>358.0</v>
      </c>
      <c r="M189" s="1">
        <v>71.6</v>
      </c>
      <c r="N189" s="1">
        <v>71.0</v>
      </c>
      <c r="O189" s="1" t="s">
        <v>21</v>
      </c>
    </row>
    <row r="190" ht="15.75" customHeight="1">
      <c r="A190" s="1" t="s">
        <v>366</v>
      </c>
      <c r="B190" s="1" t="s">
        <v>367</v>
      </c>
      <c r="C190" s="1" t="s">
        <v>32</v>
      </c>
      <c r="D190" s="1" t="s">
        <v>18</v>
      </c>
      <c r="E190" s="1" t="s">
        <v>19</v>
      </c>
      <c r="F190" s="1" t="s">
        <v>26</v>
      </c>
      <c r="G190" s="1">
        <v>63.0</v>
      </c>
      <c r="H190" s="1">
        <v>94.0</v>
      </c>
      <c r="I190" s="1">
        <v>46.0</v>
      </c>
      <c r="J190" s="1">
        <v>75.0</v>
      </c>
      <c r="K190" s="1">
        <v>86.0</v>
      </c>
      <c r="L190" s="1">
        <v>364.0</v>
      </c>
      <c r="M190" s="1">
        <v>72.8</v>
      </c>
      <c r="N190" s="1">
        <v>65.0</v>
      </c>
      <c r="O190" s="1" t="s">
        <v>21</v>
      </c>
    </row>
    <row r="191" ht="15.75" customHeight="1">
      <c r="A191" s="1" t="s">
        <v>368</v>
      </c>
      <c r="B191" s="1" t="s">
        <v>369</v>
      </c>
      <c r="C191" s="1" t="s">
        <v>32</v>
      </c>
      <c r="D191" s="1" t="s">
        <v>54</v>
      </c>
      <c r="E191" s="1" t="s">
        <v>19</v>
      </c>
      <c r="F191" s="1" t="s">
        <v>44</v>
      </c>
      <c r="G191" s="1">
        <v>52.0</v>
      </c>
      <c r="H191" s="1">
        <v>83.0</v>
      </c>
      <c r="I191" s="1">
        <v>45.0</v>
      </c>
      <c r="J191" s="1">
        <v>46.0</v>
      </c>
      <c r="K191" s="1">
        <v>63.0</v>
      </c>
      <c r="L191" s="1">
        <v>289.0</v>
      </c>
      <c r="M191" s="1">
        <v>57.8</v>
      </c>
      <c r="N191" s="1">
        <v>68.0</v>
      </c>
      <c r="O191" s="1" t="s">
        <v>21</v>
      </c>
    </row>
    <row r="192" ht="15.75" customHeight="1">
      <c r="A192" s="1" t="s">
        <v>370</v>
      </c>
      <c r="B192" s="1" t="s">
        <v>23</v>
      </c>
      <c r="C192" s="1" t="s">
        <v>17</v>
      </c>
      <c r="D192" s="1" t="s">
        <v>18</v>
      </c>
      <c r="E192" s="1" t="s">
        <v>19</v>
      </c>
      <c r="F192" s="1" t="s">
        <v>44</v>
      </c>
      <c r="G192" s="1">
        <v>64.0</v>
      </c>
      <c r="H192" s="1">
        <v>82.0</v>
      </c>
      <c r="I192" s="1">
        <v>70.0</v>
      </c>
      <c r="J192" s="1">
        <v>81.0</v>
      </c>
      <c r="K192" s="1">
        <v>86.0</v>
      </c>
      <c r="L192" s="1">
        <v>383.0</v>
      </c>
      <c r="M192" s="1">
        <v>76.6</v>
      </c>
      <c r="N192" s="1">
        <v>78.0</v>
      </c>
      <c r="O192" s="1" t="s">
        <v>21</v>
      </c>
    </row>
    <row r="193" ht="15.75" customHeight="1">
      <c r="A193" s="1" t="s">
        <v>371</v>
      </c>
      <c r="B193" s="1" t="s">
        <v>372</v>
      </c>
      <c r="C193" s="1" t="s">
        <v>32</v>
      </c>
      <c r="D193" s="1" t="s">
        <v>54</v>
      </c>
      <c r="E193" s="1" t="s">
        <v>25</v>
      </c>
      <c r="F193" s="1" t="s">
        <v>55</v>
      </c>
      <c r="G193" s="1">
        <v>81.0</v>
      </c>
      <c r="H193" s="1">
        <v>82.0</v>
      </c>
      <c r="I193" s="1">
        <v>42.0</v>
      </c>
      <c r="J193" s="1">
        <v>66.0</v>
      </c>
      <c r="K193" s="1">
        <v>86.0</v>
      </c>
      <c r="L193" s="1">
        <v>357.0</v>
      </c>
      <c r="M193" s="1">
        <v>71.4</v>
      </c>
      <c r="N193" s="1">
        <v>91.0</v>
      </c>
      <c r="O193" s="1" t="s">
        <v>21</v>
      </c>
    </row>
    <row r="194" ht="15.75" customHeight="1">
      <c r="A194" s="1" t="s">
        <v>373</v>
      </c>
      <c r="B194" s="1" t="s">
        <v>374</v>
      </c>
      <c r="C194" s="1" t="s">
        <v>17</v>
      </c>
      <c r="D194" s="1" t="s">
        <v>29</v>
      </c>
      <c r="E194" s="1" t="s">
        <v>25</v>
      </c>
      <c r="F194" s="1" t="s">
        <v>41</v>
      </c>
      <c r="G194" s="1">
        <v>48.0</v>
      </c>
      <c r="H194" s="1">
        <v>65.0</v>
      </c>
      <c r="I194" s="1">
        <v>72.0</v>
      </c>
      <c r="J194" s="1">
        <v>49.0</v>
      </c>
      <c r="K194" s="1">
        <v>62.0</v>
      </c>
      <c r="L194" s="1">
        <v>296.0</v>
      </c>
      <c r="M194" s="1">
        <v>59.2</v>
      </c>
      <c r="N194" s="1">
        <v>66.0</v>
      </c>
      <c r="O194" s="1" t="s">
        <v>21</v>
      </c>
    </row>
    <row r="195" ht="15.75" customHeight="1">
      <c r="A195" s="1" t="s">
        <v>375</v>
      </c>
      <c r="B195" s="1" t="s">
        <v>376</v>
      </c>
      <c r="C195" s="1" t="s">
        <v>17</v>
      </c>
      <c r="D195" s="1" t="s">
        <v>40</v>
      </c>
      <c r="E195" s="1" t="s">
        <v>19</v>
      </c>
      <c r="F195" s="1" t="s">
        <v>44</v>
      </c>
      <c r="G195" s="1">
        <v>94.0</v>
      </c>
      <c r="H195" s="1">
        <v>67.0</v>
      </c>
      <c r="I195" s="1">
        <v>77.0</v>
      </c>
      <c r="J195" s="1">
        <v>60.0</v>
      </c>
      <c r="K195" s="1">
        <v>85.0</v>
      </c>
      <c r="L195" s="1">
        <v>383.0</v>
      </c>
      <c r="M195" s="1">
        <v>76.6</v>
      </c>
      <c r="N195" s="1">
        <v>98.0</v>
      </c>
      <c r="O195" s="1" t="s">
        <v>21</v>
      </c>
    </row>
    <row r="196" ht="15.75" customHeight="1">
      <c r="A196" s="1" t="s">
        <v>377</v>
      </c>
      <c r="B196" s="1" t="s">
        <v>378</v>
      </c>
      <c r="C196" s="1" t="s">
        <v>32</v>
      </c>
      <c r="D196" s="1" t="s">
        <v>29</v>
      </c>
      <c r="E196" s="1" t="s">
        <v>25</v>
      </c>
      <c r="F196" s="1" t="s">
        <v>44</v>
      </c>
      <c r="G196" s="1">
        <v>46.0</v>
      </c>
      <c r="H196" s="1">
        <v>84.0</v>
      </c>
      <c r="I196" s="1">
        <v>72.0</v>
      </c>
      <c r="J196" s="1">
        <v>48.0</v>
      </c>
      <c r="K196" s="1">
        <v>70.0</v>
      </c>
      <c r="L196" s="1">
        <v>320.0</v>
      </c>
      <c r="M196" s="1">
        <v>64.0</v>
      </c>
      <c r="N196" s="1">
        <v>68.0</v>
      </c>
      <c r="O196" s="1" t="s">
        <v>21</v>
      </c>
    </row>
    <row r="197" ht="15.75" customHeight="1">
      <c r="A197" s="1" t="s">
        <v>379</v>
      </c>
      <c r="B197" s="1" t="s">
        <v>380</v>
      </c>
      <c r="C197" s="1" t="s">
        <v>17</v>
      </c>
      <c r="D197" s="1" t="s">
        <v>54</v>
      </c>
      <c r="E197" s="1" t="s">
        <v>47</v>
      </c>
      <c r="F197" s="1" t="s">
        <v>41</v>
      </c>
      <c r="G197" s="1">
        <v>84.0</v>
      </c>
      <c r="H197" s="1">
        <v>54.0</v>
      </c>
      <c r="I197" s="1">
        <v>54.0</v>
      </c>
      <c r="J197" s="1">
        <v>53.0</v>
      </c>
      <c r="K197" s="1">
        <v>46.0</v>
      </c>
      <c r="L197" s="1">
        <v>291.0</v>
      </c>
      <c r="M197" s="1">
        <v>58.2</v>
      </c>
      <c r="N197" s="1">
        <v>64.0</v>
      </c>
      <c r="O197" s="1" t="s">
        <v>21</v>
      </c>
    </row>
    <row r="198" ht="15.75" customHeight="1">
      <c r="A198" s="1" t="s">
        <v>381</v>
      </c>
      <c r="B198" s="1" t="s">
        <v>133</v>
      </c>
      <c r="C198" s="1" t="s">
        <v>32</v>
      </c>
      <c r="D198" s="1" t="s">
        <v>24</v>
      </c>
      <c r="E198" s="1" t="s">
        <v>47</v>
      </c>
      <c r="F198" s="1" t="s">
        <v>44</v>
      </c>
      <c r="G198" s="1">
        <v>73.0</v>
      </c>
      <c r="H198" s="1">
        <v>98.0</v>
      </c>
      <c r="I198" s="1">
        <v>57.0</v>
      </c>
      <c r="J198" s="1">
        <v>85.0</v>
      </c>
      <c r="K198" s="1">
        <v>79.0</v>
      </c>
      <c r="L198" s="1">
        <v>392.0</v>
      </c>
      <c r="M198" s="1">
        <v>78.4</v>
      </c>
      <c r="N198" s="1">
        <v>77.0</v>
      </c>
      <c r="O198" s="1" t="s">
        <v>21</v>
      </c>
    </row>
    <row r="199" ht="15.75" customHeight="1">
      <c r="A199" s="1" t="s">
        <v>382</v>
      </c>
      <c r="B199" s="1" t="s">
        <v>383</v>
      </c>
      <c r="C199" s="1" t="s">
        <v>17</v>
      </c>
      <c r="D199" s="1" t="s">
        <v>29</v>
      </c>
      <c r="E199" s="1" t="s">
        <v>19</v>
      </c>
      <c r="F199" s="1" t="s">
        <v>20</v>
      </c>
      <c r="G199" s="1">
        <v>100.0</v>
      </c>
      <c r="H199" s="1">
        <v>42.0</v>
      </c>
      <c r="I199" s="1">
        <v>93.0</v>
      </c>
      <c r="J199" s="1">
        <v>96.0</v>
      </c>
      <c r="K199" s="1">
        <v>40.0</v>
      </c>
      <c r="L199" s="1">
        <v>371.0</v>
      </c>
      <c r="M199" s="1">
        <v>74.2</v>
      </c>
      <c r="N199" s="1">
        <v>82.0</v>
      </c>
      <c r="O199" s="1" t="s">
        <v>21</v>
      </c>
    </row>
    <row r="200" ht="15.75" customHeight="1">
      <c r="A200" s="1" t="s">
        <v>384</v>
      </c>
      <c r="B200" s="1" t="s">
        <v>385</v>
      </c>
      <c r="C200" s="1" t="s">
        <v>32</v>
      </c>
      <c r="D200" s="1" t="s">
        <v>18</v>
      </c>
      <c r="E200" s="1" t="s">
        <v>19</v>
      </c>
      <c r="F200" s="1" t="s">
        <v>77</v>
      </c>
      <c r="G200" s="1">
        <v>82.0</v>
      </c>
      <c r="H200" s="1">
        <v>89.0</v>
      </c>
      <c r="I200" s="1">
        <v>48.0</v>
      </c>
      <c r="J200" s="1">
        <v>60.0</v>
      </c>
      <c r="K200" s="1">
        <v>59.0</v>
      </c>
      <c r="L200" s="1">
        <v>338.0</v>
      </c>
      <c r="M200" s="1">
        <v>67.6</v>
      </c>
      <c r="N200" s="1">
        <v>60.0</v>
      </c>
      <c r="O200" s="1" t="s">
        <v>21</v>
      </c>
    </row>
    <row r="201" ht="15.75" customHeight="1">
      <c r="A201" s="1" t="s">
        <v>386</v>
      </c>
      <c r="B201" s="1" t="s">
        <v>208</v>
      </c>
      <c r="C201" s="1" t="s">
        <v>17</v>
      </c>
      <c r="D201" s="1" t="s">
        <v>29</v>
      </c>
      <c r="E201" s="1" t="s">
        <v>19</v>
      </c>
      <c r="F201" s="1" t="s">
        <v>55</v>
      </c>
      <c r="G201" s="1">
        <v>55.0</v>
      </c>
      <c r="H201" s="1">
        <v>44.0</v>
      </c>
      <c r="I201" s="1">
        <v>83.0</v>
      </c>
      <c r="J201" s="1">
        <v>73.0</v>
      </c>
      <c r="K201" s="1">
        <v>71.0</v>
      </c>
      <c r="L201" s="1">
        <v>326.0</v>
      </c>
      <c r="M201" s="1">
        <v>65.2</v>
      </c>
      <c r="N201" s="1">
        <v>79.0</v>
      </c>
      <c r="O201" s="1" t="s">
        <v>21</v>
      </c>
    </row>
    <row r="202" ht="15.75" customHeight="1">
      <c r="A202" s="1" t="s">
        <v>387</v>
      </c>
      <c r="B202" s="1" t="s">
        <v>388</v>
      </c>
      <c r="C202" s="1" t="s">
        <v>32</v>
      </c>
      <c r="D202" s="1" t="s">
        <v>29</v>
      </c>
      <c r="E202" s="1" t="s">
        <v>25</v>
      </c>
      <c r="F202" s="1" t="s">
        <v>20</v>
      </c>
      <c r="G202" s="1">
        <v>76.0</v>
      </c>
      <c r="H202" s="1">
        <v>86.0</v>
      </c>
      <c r="I202" s="1">
        <v>94.0</v>
      </c>
      <c r="J202" s="1">
        <v>79.0</v>
      </c>
      <c r="K202" s="1">
        <v>64.0</v>
      </c>
      <c r="L202" s="1">
        <v>399.0</v>
      </c>
      <c r="M202" s="1">
        <v>79.8</v>
      </c>
      <c r="N202" s="1">
        <v>66.0</v>
      </c>
      <c r="O202" s="1" t="s">
        <v>21</v>
      </c>
    </row>
    <row r="203" ht="15.75" customHeight="1">
      <c r="A203" s="1" t="s">
        <v>389</v>
      </c>
      <c r="B203" s="1" t="s">
        <v>390</v>
      </c>
      <c r="C203" s="1" t="s">
        <v>17</v>
      </c>
      <c r="D203" s="1" t="s">
        <v>40</v>
      </c>
      <c r="E203" s="1" t="s">
        <v>25</v>
      </c>
      <c r="F203" s="1" t="s">
        <v>44</v>
      </c>
      <c r="G203" s="1">
        <v>78.0</v>
      </c>
      <c r="H203" s="1">
        <v>93.0</v>
      </c>
      <c r="I203" s="1">
        <v>98.0</v>
      </c>
      <c r="J203" s="1">
        <v>54.0</v>
      </c>
      <c r="K203" s="1">
        <v>87.0</v>
      </c>
      <c r="L203" s="1">
        <v>410.0</v>
      </c>
      <c r="M203" s="1">
        <v>82.0</v>
      </c>
      <c r="N203" s="1">
        <v>85.0</v>
      </c>
      <c r="O203" s="1" t="s">
        <v>21</v>
      </c>
    </row>
    <row r="204" ht="15.75" customHeight="1">
      <c r="A204" s="1" t="s">
        <v>391</v>
      </c>
      <c r="B204" s="1" t="s">
        <v>252</v>
      </c>
      <c r="C204" s="1" t="s">
        <v>32</v>
      </c>
      <c r="D204" s="1" t="s">
        <v>40</v>
      </c>
      <c r="E204" s="1" t="s">
        <v>47</v>
      </c>
      <c r="F204" s="1" t="s">
        <v>20</v>
      </c>
      <c r="G204" s="1">
        <v>54.0</v>
      </c>
      <c r="H204" s="1">
        <v>51.0</v>
      </c>
      <c r="I204" s="1">
        <v>67.0</v>
      </c>
      <c r="J204" s="1">
        <v>62.0</v>
      </c>
      <c r="K204" s="1">
        <v>83.0</v>
      </c>
      <c r="L204" s="1">
        <v>317.0</v>
      </c>
      <c r="M204" s="1">
        <v>63.4</v>
      </c>
      <c r="N204" s="1">
        <v>98.0</v>
      </c>
      <c r="O204" s="1" t="s">
        <v>21</v>
      </c>
    </row>
    <row r="205" ht="15.75" customHeight="1">
      <c r="A205" s="1" t="s">
        <v>392</v>
      </c>
      <c r="B205" s="1" t="s">
        <v>385</v>
      </c>
      <c r="C205" s="1" t="s">
        <v>17</v>
      </c>
      <c r="D205" s="1" t="s">
        <v>54</v>
      </c>
      <c r="E205" s="1" t="s">
        <v>47</v>
      </c>
      <c r="F205" s="1" t="s">
        <v>41</v>
      </c>
      <c r="G205" s="1">
        <v>77.0</v>
      </c>
      <c r="H205" s="1">
        <v>96.0</v>
      </c>
      <c r="I205" s="1">
        <v>98.0</v>
      </c>
      <c r="J205" s="1">
        <v>96.0</v>
      </c>
      <c r="K205" s="1">
        <v>58.0</v>
      </c>
      <c r="L205" s="1">
        <v>425.0</v>
      </c>
      <c r="M205" s="1">
        <v>85.0</v>
      </c>
      <c r="N205" s="1">
        <v>66.0</v>
      </c>
      <c r="O205" s="1" t="s">
        <v>21</v>
      </c>
    </row>
    <row r="206" ht="15.75" customHeight="1">
      <c r="A206" s="1" t="s">
        <v>393</v>
      </c>
      <c r="B206" s="1" t="s">
        <v>105</v>
      </c>
      <c r="C206" s="1" t="s">
        <v>32</v>
      </c>
      <c r="D206" s="1" t="s">
        <v>54</v>
      </c>
      <c r="E206" s="1" t="s">
        <v>47</v>
      </c>
      <c r="F206" s="1" t="s">
        <v>37</v>
      </c>
      <c r="G206" s="1">
        <v>53.0</v>
      </c>
      <c r="H206" s="1">
        <v>78.0</v>
      </c>
      <c r="I206" s="1">
        <v>53.0</v>
      </c>
      <c r="J206" s="1">
        <v>50.0</v>
      </c>
      <c r="K206" s="1">
        <v>44.0</v>
      </c>
      <c r="L206" s="1">
        <v>278.0</v>
      </c>
      <c r="M206" s="1">
        <v>55.6</v>
      </c>
      <c r="N206" s="1">
        <v>80.0</v>
      </c>
      <c r="O206" s="1" t="s">
        <v>21</v>
      </c>
    </row>
    <row r="207" ht="15.75" customHeight="1">
      <c r="A207" s="1" t="s">
        <v>394</v>
      </c>
      <c r="B207" s="1" t="s">
        <v>133</v>
      </c>
      <c r="C207" s="1" t="s">
        <v>32</v>
      </c>
      <c r="D207" s="1" t="s">
        <v>40</v>
      </c>
      <c r="E207" s="1" t="s">
        <v>47</v>
      </c>
      <c r="F207" s="1" t="s">
        <v>44</v>
      </c>
      <c r="G207" s="1">
        <v>82.0</v>
      </c>
      <c r="H207" s="1">
        <v>92.0</v>
      </c>
      <c r="I207" s="1">
        <v>57.0</v>
      </c>
      <c r="J207" s="1">
        <v>74.0</v>
      </c>
      <c r="K207" s="1">
        <v>73.0</v>
      </c>
      <c r="L207" s="1">
        <v>378.0</v>
      </c>
      <c r="M207" s="1">
        <v>75.6</v>
      </c>
      <c r="N207" s="1">
        <v>89.0</v>
      </c>
      <c r="O207" s="1" t="s">
        <v>21</v>
      </c>
    </row>
    <row r="208" ht="15.75" customHeight="1">
      <c r="A208" s="1" t="s">
        <v>395</v>
      </c>
      <c r="B208" s="1" t="s">
        <v>396</v>
      </c>
      <c r="C208" s="1" t="s">
        <v>32</v>
      </c>
      <c r="D208" s="1" t="s">
        <v>54</v>
      </c>
      <c r="E208" s="1" t="s">
        <v>47</v>
      </c>
      <c r="F208" s="1" t="s">
        <v>62</v>
      </c>
      <c r="G208" s="1">
        <v>43.0</v>
      </c>
      <c r="H208" s="1">
        <v>66.0</v>
      </c>
      <c r="I208" s="1">
        <v>58.0</v>
      </c>
      <c r="J208" s="1">
        <v>79.0</v>
      </c>
      <c r="K208" s="1">
        <v>93.0</v>
      </c>
      <c r="L208" s="1">
        <v>339.0</v>
      </c>
      <c r="M208" s="1">
        <v>67.8</v>
      </c>
      <c r="N208" s="1">
        <v>97.0</v>
      </c>
      <c r="O208" s="1" t="s">
        <v>21</v>
      </c>
    </row>
    <row r="209" ht="15.75" customHeight="1">
      <c r="A209" s="1" t="s">
        <v>397</v>
      </c>
      <c r="B209" s="1" t="s">
        <v>185</v>
      </c>
      <c r="C209" s="1" t="s">
        <v>32</v>
      </c>
      <c r="D209" s="1" t="s">
        <v>18</v>
      </c>
      <c r="E209" s="1" t="s">
        <v>25</v>
      </c>
      <c r="F209" s="1" t="s">
        <v>62</v>
      </c>
      <c r="G209" s="1">
        <v>77.0</v>
      </c>
      <c r="H209" s="1">
        <v>55.0</v>
      </c>
      <c r="I209" s="1">
        <v>79.0</v>
      </c>
      <c r="J209" s="1">
        <v>93.0</v>
      </c>
      <c r="K209" s="1">
        <v>68.0</v>
      </c>
      <c r="L209" s="1">
        <v>372.0</v>
      </c>
      <c r="M209" s="1">
        <v>74.4</v>
      </c>
      <c r="N209" s="1">
        <v>61.0</v>
      </c>
      <c r="O209" s="1" t="s">
        <v>21</v>
      </c>
    </row>
    <row r="210" ht="15.75" customHeight="1">
      <c r="A210" s="1" t="s">
        <v>398</v>
      </c>
      <c r="B210" s="1" t="s">
        <v>399</v>
      </c>
      <c r="C210" s="1" t="s">
        <v>32</v>
      </c>
      <c r="D210" s="1" t="s">
        <v>54</v>
      </c>
      <c r="E210" s="1" t="s">
        <v>25</v>
      </c>
      <c r="F210" s="1" t="s">
        <v>20</v>
      </c>
      <c r="G210" s="1">
        <v>76.0</v>
      </c>
      <c r="H210" s="1">
        <v>77.0</v>
      </c>
      <c r="I210" s="1">
        <v>96.0</v>
      </c>
      <c r="J210" s="1">
        <v>80.0</v>
      </c>
      <c r="K210" s="1">
        <v>64.0</v>
      </c>
      <c r="L210" s="1">
        <v>393.0</v>
      </c>
      <c r="M210" s="1">
        <v>78.6</v>
      </c>
      <c r="N210" s="1">
        <v>94.0</v>
      </c>
      <c r="O210" s="1" t="s">
        <v>21</v>
      </c>
    </row>
    <row r="211" ht="15.75" customHeight="1">
      <c r="A211" s="1" t="s">
        <v>400</v>
      </c>
      <c r="B211" s="1" t="s">
        <v>239</v>
      </c>
      <c r="C211" s="1" t="s">
        <v>17</v>
      </c>
      <c r="D211" s="1" t="s">
        <v>54</v>
      </c>
      <c r="E211" s="1" t="s">
        <v>25</v>
      </c>
      <c r="F211" s="1" t="s">
        <v>44</v>
      </c>
      <c r="G211" s="1">
        <v>54.0</v>
      </c>
      <c r="H211" s="1">
        <v>56.0</v>
      </c>
      <c r="I211" s="1">
        <v>62.0</v>
      </c>
      <c r="J211" s="1">
        <v>94.0</v>
      </c>
      <c r="K211" s="1">
        <v>68.0</v>
      </c>
      <c r="L211" s="1">
        <v>334.0</v>
      </c>
      <c r="M211" s="1">
        <v>66.8</v>
      </c>
      <c r="N211" s="1">
        <v>68.0</v>
      </c>
      <c r="O211" s="1" t="s">
        <v>21</v>
      </c>
    </row>
    <row r="212" ht="15.75" customHeight="1">
      <c r="A212" s="1" t="s">
        <v>401</v>
      </c>
      <c r="B212" s="1" t="s">
        <v>402</v>
      </c>
      <c r="C212" s="1" t="s">
        <v>17</v>
      </c>
      <c r="D212" s="1" t="s">
        <v>54</v>
      </c>
      <c r="E212" s="1" t="s">
        <v>19</v>
      </c>
      <c r="F212" s="1" t="s">
        <v>37</v>
      </c>
      <c r="G212" s="1">
        <v>45.0</v>
      </c>
      <c r="H212" s="1">
        <v>86.0</v>
      </c>
      <c r="I212" s="1">
        <v>65.0</v>
      </c>
      <c r="J212" s="1">
        <v>53.0</v>
      </c>
      <c r="K212" s="1">
        <v>98.0</v>
      </c>
      <c r="L212" s="1">
        <v>347.0</v>
      </c>
      <c r="M212" s="1">
        <v>69.4</v>
      </c>
      <c r="N212" s="1">
        <v>68.0</v>
      </c>
      <c r="O212" s="1" t="s">
        <v>21</v>
      </c>
    </row>
    <row r="213" ht="15.75" customHeight="1">
      <c r="A213" s="1" t="s">
        <v>403</v>
      </c>
      <c r="B213" s="1" t="s">
        <v>404</v>
      </c>
      <c r="C213" s="1" t="s">
        <v>17</v>
      </c>
      <c r="D213" s="1" t="s">
        <v>24</v>
      </c>
      <c r="E213" s="1" t="s">
        <v>25</v>
      </c>
      <c r="F213" s="1" t="s">
        <v>62</v>
      </c>
      <c r="G213" s="1">
        <v>95.0</v>
      </c>
      <c r="H213" s="1">
        <v>80.0</v>
      </c>
      <c r="I213" s="1">
        <v>52.0</v>
      </c>
      <c r="J213" s="1">
        <v>76.0</v>
      </c>
      <c r="K213" s="1">
        <v>76.0</v>
      </c>
      <c r="L213" s="1">
        <v>379.0</v>
      </c>
      <c r="M213" s="1">
        <v>75.8</v>
      </c>
      <c r="N213" s="1">
        <v>91.0</v>
      </c>
      <c r="O213" s="1" t="s">
        <v>21</v>
      </c>
    </row>
    <row r="214" ht="15.75" customHeight="1">
      <c r="A214" s="1" t="s">
        <v>405</v>
      </c>
      <c r="B214" s="1" t="s">
        <v>93</v>
      </c>
      <c r="C214" s="1" t="s">
        <v>32</v>
      </c>
      <c r="D214" s="1" t="s">
        <v>40</v>
      </c>
      <c r="E214" s="1" t="s">
        <v>47</v>
      </c>
      <c r="F214" s="1" t="s">
        <v>44</v>
      </c>
      <c r="G214" s="1">
        <v>71.0</v>
      </c>
      <c r="H214" s="1">
        <v>89.0</v>
      </c>
      <c r="I214" s="1">
        <v>79.0</v>
      </c>
      <c r="J214" s="1">
        <v>45.0</v>
      </c>
      <c r="K214" s="1">
        <v>77.0</v>
      </c>
      <c r="L214" s="1">
        <v>361.0</v>
      </c>
      <c r="M214" s="1">
        <v>72.2</v>
      </c>
      <c r="N214" s="1">
        <v>71.0</v>
      </c>
      <c r="O214" s="1" t="s">
        <v>21</v>
      </c>
    </row>
    <row r="215" ht="15.75" customHeight="1">
      <c r="A215" s="1" t="s">
        <v>406</v>
      </c>
      <c r="B215" s="1" t="s">
        <v>191</v>
      </c>
      <c r="C215" s="1" t="s">
        <v>17</v>
      </c>
      <c r="D215" s="1" t="s">
        <v>18</v>
      </c>
      <c r="E215" s="1" t="s">
        <v>25</v>
      </c>
      <c r="F215" s="1" t="s">
        <v>20</v>
      </c>
      <c r="G215" s="1">
        <v>49.0</v>
      </c>
      <c r="H215" s="1">
        <v>45.0</v>
      </c>
      <c r="I215" s="1">
        <v>64.0</v>
      </c>
      <c r="J215" s="1">
        <v>75.0</v>
      </c>
      <c r="K215" s="1">
        <v>68.0</v>
      </c>
      <c r="L215" s="1">
        <v>301.0</v>
      </c>
      <c r="M215" s="1">
        <v>60.2</v>
      </c>
      <c r="N215" s="1">
        <v>88.0</v>
      </c>
      <c r="O215" s="1" t="s">
        <v>21</v>
      </c>
    </row>
    <row r="216" ht="15.75" customHeight="1">
      <c r="A216" s="1" t="s">
        <v>407</v>
      </c>
      <c r="B216" s="1" t="s">
        <v>408</v>
      </c>
      <c r="C216" s="1" t="s">
        <v>32</v>
      </c>
      <c r="D216" s="1" t="s">
        <v>18</v>
      </c>
      <c r="E216" s="1" t="s">
        <v>25</v>
      </c>
      <c r="F216" s="1" t="s">
        <v>20</v>
      </c>
      <c r="G216" s="1">
        <v>50.0</v>
      </c>
      <c r="H216" s="1">
        <v>68.0</v>
      </c>
      <c r="I216" s="1">
        <v>69.0</v>
      </c>
      <c r="J216" s="1">
        <v>62.0</v>
      </c>
      <c r="K216" s="1">
        <v>42.0</v>
      </c>
      <c r="L216" s="1">
        <v>291.0</v>
      </c>
      <c r="M216" s="1">
        <v>58.2</v>
      </c>
      <c r="N216" s="1">
        <v>69.0</v>
      </c>
      <c r="O216" s="1" t="s">
        <v>21</v>
      </c>
    </row>
    <row r="217" ht="15.75" customHeight="1">
      <c r="A217" s="1" t="s">
        <v>409</v>
      </c>
      <c r="B217" s="1" t="s">
        <v>378</v>
      </c>
      <c r="C217" s="1" t="s">
        <v>17</v>
      </c>
      <c r="D217" s="1" t="s">
        <v>18</v>
      </c>
      <c r="E217" s="1" t="s">
        <v>47</v>
      </c>
      <c r="F217" s="1" t="s">
        <v>20</v>
      </c>
      <c r="G217" s="1">
        <v>91.0</v>
      </c>
      <c r="H217" s="1">
        <v>78.0</v>
      </c>
      <c r="I217" s="1">
        <v>90.0</v>
      </c>
      <c r="J217" s="1">
        <v>68.0</v>
      </c>
      <c r="K217" s="1">
        <v>57.0</v>
      </c>
      <c r="L217" s="1">
        <v>384.0</v>
      </c>
      <c r="M217" s="1">
        <v>76.8</v>
      </c>
      <c r="N217" s="1">
        <v>99.0</v>
      </c>
      <c r="O217" s="1" t="s">
        <v>21</v>
      </c>
    </row>
    <row r="218" ht="15.75" customHeight="1">
      <c r="A218" s="1" t="s">
        <v>410</v>
      </c>
      <c r="B218" s="1" t="s">
        <v>51</v>
      </c>
      <c r="C218" s="1" t="s">
        <v>32</v>
      </c>
      <c r="D218" s="1" t="s">
        <v>18</v>
      </c>
      <c r="E218" s="1" t="s">
        <v>47</v>
      </c>
      <c r="F218" s="1" t="s">
        <v>26</v>
      </c>
      <c r="G218" s="1">
        <v>96.0</v>
      </c>
      <c r="H218" s="1">
        <v>46.0</v>
      </c>
      <c r="I218" s="1">
        <v>58.0</v>
      </c>
      <c r="J218" s="1">
        <v>56.0</v>
      </c>
      <c r="K218" s="1">
        <v>50.0</v>
      </c>
      <c r="L218" s="1">
        <v>306.0</v>
      </c>
      <c r="M218" s="1">
        <v>61.2</v>
      </c>
      <c r="N218" s="1">
        <v>94.0</v>
      </c>
      <c r="O218" s="1" t="s">
        <v>21</v>
      </c>
    </row>
    <row r="219" ht="15.75" customHeight="1">
      <c r="A219" s="1" t="s">
        <v>411</v>
      </c>
      <c r="B219" s="1" t="s">
        <v>333</v>
      </c>
      <c r="C219" s="1" t="s">
        <v>32</v>
      </c>
      <c r="D219" s="1" t="s">
        <v>54</v>
      </c>
      <c r="E219" s="1" t="s">
        <v>47</v>
      </c>
      <c r="F219" s="1" t="s">
        <v>44</v>
      </c>
      <c r="G219" s="1">
        <v>78.0</v>
      </c>
      <c r="H219" s="1">
        <v>60.0</v>
      </c>
      <c r="I219" s="1">
        <v>45.0</v>
      </c>
      <c r="J219" s="1">
        <v>77.0</v>
      </c>
      <c r="K219" s="1">
        <v>53.0</v>
      </c>
      <c r="L219" s="1">
        <v>313.0</v>
      </c>
      <c r="M219" s="1">
        <v>62.6</v>
      </c>
      <c r="N219" s="1">
        <v>65.0</v>
      </c>
      <c r="O219" s="1" t="s">
        <v>21</v>
      </c>
    </row>
    <row r="220" ht="15.75" customHeight="1">
      <c r="A220" s="1" t="s">
        <v>412</v>
      </c>
      <c r="B220" s="1" t="s">
        <v>399</v>
      </c>
      <c r="C220" s="1" t="s">
        <v>17</v>
      </c>
      <c r="D220" s="1" t="s">
        <v>40</v>
      </c>
      <c r="E220" s="1" t="s">
        <v>19</v>
      </c>
      <c r="F220" s="1" t="s">
        <v>44</v>
      </c>
      <c r="G220" s="1">
        <v>85.0</v>
      </c>
      <c r="H220" s="1">
        <v>51.0</v>
      </c>
      <c r="I220" s="1">
        <v>52.0</v>
      </c>
      <c r="J220" s="1">
        <v>73.0</v>
      </c>
      <c r="K220" s="1">
        <v>94.0</v>
      </c>
      <c r="L220" s="1">
        <v>355.0</v>
      </c>
      <c r="M220" s="1">
        <v>71.0</v>
      </c>
      <c r="N220" s="1">
        <v>69.0</v>
      </c>
      <c r="O220" s="1" t="s">
        <v>21</v>
      </c>
    </row>
    <row r="221" ht="15.75" customHeight="1">
      <c r="A221" s="1" t="s">
        <v>413</v>
      </c>
      <c r="B221" s="1" t="s">
        <v>117</v>
      </c>
      <c r="C221" s="1" t="s">
        <v>17</v>
      </c>
      <c r="D221" s="1" t="s">
        <v>40</v>
      </c>
      <c r="E221" s="1" t="s">
        <v>25</v>
      </c>
      <c r="F221" s="1" t="s">
        <v>20</v>
      </c>
      <c r="G221" s="1">
        <v>67.0</v>
      </c>
      <c r="H221" s="1">
        <v>43.0</v>
      </c>
      <c r="I221" s="1">
        <v>90.0</v>
      </c>
      <c r="J221" s="1">
        <v>81.0</v>
      </c>
      <c r="K221" s="1">
        <v>67.0</v>
      </c>
      <c r="L221" s="1">
        <v>348.0</v>
      </c>
      <c r="M221" s="1">
        <v>69.6</v>
      </c>
      <c r="N221" s="1">
        <v>64.0</v>
      </c>
      <c r="O221" s="1" t="s">
        <v>21</v>
      </c>
    </row>
    <row r="222" ht="15.75" customHeight="1">
      <c r="A222" s="1" t="s">
        <v>414</v>
      </c>
      <c r="B222" s="1" t="s">
        <v>268</v>
      </c>
      <c r="C222" s="1" t="s">
        <v>32</v>
      </c>
      <c r="D222" s="1" t="s">
        <v>54</v>
      </c>
      <c r="E222" s="1" t="s">
        <v>19</v>
      </c>
      <c r="F222" s="1" t="s">
        <v>37</v>
      </c>
      <c r="G222" s="1">
        <v>53.0</v>
      </c>
      <c r="H222" s="1">
        <v>86.0</v>
      </c>
      <c r="I222" s="1">
        <v>61.0</v>
      </c>
      <c r="J222" s="1">
        <v>45.0</v>
      </c>
      <c r="K222" s="1">
        <v>89.0</v>
      </c>
      <c r="L222" s="1">
        <v>334.0</v>
      </c>
      <c r="M222" s="1">
        <v>66.8</v>
      </c>
      <c r="N222" s="1">
        <v>88.0</v>
      </c>
      <c r="O222" s="1" t="s">
        <v>21</v>
      </c>
    </row>
    <row r="223" ht="15.75" customHeight="1">
      <c r="A223" s="1" t="s">
        <v>415</v>
      </c>
      <c r="B223" s="1" t="s">
        <v>121</v>
      </c>
      <c r="C223" s="1" t="s">
        <v>32</v>
      </c>
      <c r="D223" s="1" t="s">
        <v>24</v>
      </c>
      <c r="E223" s="1" t="s">
        <v>25</v>
      </c>
      <c r="F223" s="1" t="s">
        <v>20</v>
      </c>
      <c r="G223" s="1">
        <v>59.0</v>
      </c>
      <c r="H223" s="1">
        <v>67.0</v>
      </c>
      <c r="I223" s="1">
        <v>54.0</v>
      </c>
      <c r="J223" s="1">
        <v>66.0</v>
      </c>
      <c r="K223" s="1">
        <v>86.0</v>
      </c>
      <c r="L223" s="1">
        <v>332.0</v>
      </c>
      <c r="M223" s="1">
        <v>66.4</v>
      </c>
      <c r="N223" s="1">
        <v>97.0</v>
      </c>
      <c r="O223" s="1" t="s">
        <v>21</v>
      </c>
    </row>
    <row r="224" ht="15.75" customHeight="1">
      <c r="A224" s="1" t="s">
        <v>416</v>
      </c>
      <c r="B224" s="1" t="s">
        <v>417</v>
      </c>
      <c r="C224" s="1" t="s">
        <v>17</v>
      </c>
      <c r="D224" s="1" t="s">
        <v>29</v>
      </c>
      <c r="E224" s="1" t="s">
        <v>19</v>
      </c>
      <c r="F224" s="1" t="s">
        <v>37</v>
      </c>
      <c r="G224" s="1">
        <v>58.0</v>
      </c>
      <c r="H224" s="1">
        <v>80.0</v>
      </c>
      <c r="I224" s="1">
        <v>69.0</v>
      </c>
      <c r="J224" s="1">
        <v>56.0</v>
      </c>
      <c r="K224" s="1">
        <v>63.0</v>
      </c>
      <c r="L224" s="1">
        <v>326.0</v>
      </c>
      <c r="M224" s="1">
        <v>65.2</v>
      </c>
      <c r="N224" s="1">
        <v>97.0</v>
      </c>
      <c r="O224" s="1" t="s">
        <v>21</v>
      </c>
    </row>
    <row r="225" ht="15.75" customHeight="1">
      <c r="A225" s="1" t="s">
        <v>418</v>
      </c>
      <c r="B225" s="1" t="s">
        <v>419</v>
      </c>
      <c r="C225" s="1" t="s">
        <v>32</v>
      </c>
      <c r="D225" s="1" t="s">
        <v>24</v>
      </c>
      <c r="E225" s="1" t="s">
        <v>19</v>
      </c>
      <c r="F225" s="1" t="s">
        <v>41</v>
      </c>
      <c r="G225" s="1">
        <v>96.0</v>
      </c>
      <c r="H225" s="1">
        <v>62.0</v>
      </c>
      <c r="I225" s="1">
        <v>73.0</v>
      </c>
      <c r="J225" s="1">
        <v>68.0</v>
      </c>
      <c r="K225" s="1">
        <v>99.0</v>
      </c>
      <c r="L225" s="1">
        <v>398.0</v>
      </c>
      <c r="M225" s="1">
        <v>79.6</v>
      </c>
      <c r="N225" s="1">
        <v>62.0</v>
      </c>
      <c r="O225" s="1" t="s">
        <v>21</v>
      </c>
    </row>
    <row r="226" ht="15.75" customHeight="1">
      <c r="A226" s="1" t="s">
        <v>420</v>
      </c>
      <c r="B226" s="1" t="s">
        <v>204</v>
      </c>
      <c r="C226" s="1" t="s">
        <v>32</v>
      </c>
      <c r="D226" s="1" t="s">
        <v>54</v>
      </c>
      <c r="E226" s="1" t="s">
        <v>47</v>
      </c>
      <c r="F226" s="1" t="s">
        <v>41</v>
      </c>
      <c r="G226" s="1">
        <v>42.0</v>
      </c>
      <c r="H226" s="1">
        <v>64.0</v>
      </c>
      <c r="I226" s="1">
        <v>94.0</v>
      </c>
      <c r="J226" s="1">
        <v>49.0</v>
      </c>
      <c r="K226" s="1">
        <v>49.0</v>
      </c>
      <c r="L226" s="1">
        <v>298.0</v>
      </c>
      <c r="M226" s="1">
        <v>59.6</v>
      </c>
      <c r="N226" s="1">
        <v>76.0</v>
      </c>
      <c r="O226" s="1" t="s">
        <v>21</v>
      </c>
    </row>
    <row r="227" ht="15.75" customHeight="1">
      <c r="A227" s="1" t="s">
        <v>421</v>
      </c>
      <c r="B227" s="1" t="s">
        <v>422</v>
      </c>
      <c r="C227" s="1" t="s">
        <v>32</v>
      </c>
      <c r="D227" s="1" t="s">
        <v>40</v>
      </c>
      <c r="E227" s="1" t="s">
        <v>25</v>
      </c>
      <c r="F227" s="1" t="s">
        <v>44</v>
      </c>
      <c r="G227" s="1">
        <v>67.0</v>
      </c>
      <c r="H227" s="1">
        <v>56.0</v>
      </c>
      <c r="I227" s="1">
        <v>78.0</v>
      </c>
      <c r="J227" s="1">
        <v>81.0</v>
      </c>
      <c r="K227" s="1">
        <v>80.0</v>
      </c>
      <c r="L227" s="1">
        <v>362.0</v>
      </c>
      <c r="M227" s="1">
        <v>72.4</v>
      </c>
      <c r="N227" s="1">
        <v>75.0</v>
      </c>
      <c r="O227" s="1" t="s">
        <v>21</v>
      </c>
    </row>
    <row r="228" ht="15.75" customHeight="1">
      <c r="A228" s="1" t="s">
        <v>423</v>
      </c>
      <c r="B228" s="1" t="s">
        <v>424</v>
      </c>
      <c r="C228" s="1" t="s">
        <v>32</v>
      </c>
      <c r="D228" s="1" t="s">
        <v>18</v>
      </c>
      <c r="E228" s="1" t="s">
        <v>19</v>
      </c>
      <c r="F228" s="1" t="s">
        <v>26</v>
      </c>
      <c r="G228" s="1">
        <v>99.0</v>
      </c>
      <c r="H228" s="1">
        <v>52.0</v>
      </c>
      <c r="I228" s="1">
        <v>89.0</v>
      </c>
      <c r="J228" s="1">
        <v>80.0</v>
      </c>
      <c r="K228" s="1">
        <v>82.0</v>
      </c>
      <c r="L228" s="1">
        <v>402.0</v>
      </c>
      <c r="M228" s="1">
        <v>80.4</v>
      </c>
      <c r="N228" s="1">
        <v>66.0</v>
      </c>
      <c r="O228" s="1" t="s">
        <v>21</v>
      </c>
    </row>
    <row r="229" ht="15.75" customHeight="1">
      <c r="A229" s="1" t="s">
        <v>425</v>
      </c>
      <c r="B229" s="1" t="s">
        <v>127</v>
      </c>
      <c r="C229" s="1" t="s">
        <v>17</v>
      </c>
      <c r="D229" s="1" t="s">
        <v>40</v>
      </c>
      <c r="E229" s="1" t="s">
        <v>47</v>
      </c>
      <c r="F229" s="1" t="s">
        <v>37</v>
      </c>
      <c r="G229" s="1">
        <v>55.0</v>
      </c>
      <c r="H229" s="1">
        <v>62.0</v>
      </c>
      <c r="I229" s="1">
        <v>79.0</v>
      </c>
      <c r="J229" s="1">
        <v>93.0</v>
      </c>
      <c r="K229" s="1">
        <v>66.0</v>
      </c>
      <c r="L229" s="1">
        <v>355.0</v>
      </c>
      <c r="M229" s="1">
        <v>71.0</v>
      </c>
      <c r="N229" s="1">
        <v>91.0</v>
      </c>
      <c r="O229" s="1" t="s">
        <v>21</v>
      </c>
    </row>
    <row r="230" ht="15.75" customHeight="1">
      <c r="A230" s="1" t="s">
        <v>426</v>
      </c>
      <c r="B230" s="1" t="s">
        <v>427</v>
      </c>
      <c r="C230" s="1" t="s">
        <v>32</v>
      </c>
      <c r="D230" s="1" t="s">
        <v>24</v>
      </c>
      <c r="E230" s="1" t="s">
        <v>25</v>
      </c>
      <c r="F230" s="1" t="s">
        <v>44</v>
      </c>
      <c r="G230" s="1">
        <v>44.0</v>
      </c>
      <c r="H230" s="1">
        <v>100.0</v>
      </c>
      <c r="I230" s="1">
        <v>97.0</v>
      </c>
      <c r="J230" s="1">
        <v>49.0</v>
      </c>
      <c r="K230" s="1">
        <v>54.0</v>
      </c>
      <c r="L230" s="1">
        <v>344.0</v>
      </c>
      <c r="M230" s="1">
        <v>68.8</v>
      </c>
      <c r="N230" s="1">
        <v>72.0</v>
      </c>
      <c r="O230" s="1" t="s">
        <v>21</v>
      </c>
    </row>
    <row r="231" ht="15.75" customHeight="1">
      <c r="A231" s="1" t="s">
        <v>428</v>
      </c>
      <c r="B231" s="1" t="s">
        <v>429</v>
      </c>
      <c r="C231" s="1" t="s">
        <v>17</v>
      </c>
      <c r="D231" s="1" t="s">
        <v>40</v>
      </c>
      <c r="E231" s="1" t="s">
        <v>47</v>
      </c>
      <c r="F231" s="1" t="s">
        <v>55</v>
      </c>
      <c r="G231" s="1">
        <v>71.0</v>
      </c>
      <c r="H231" s="1">
        <v>86.0</v>
      </c>
      <c r="I231" s="1">
        <v>61.0</v>
      </c>
      <c r="J231" s="1">
        <v>83.0</v>
      </c>
      <c r="K231" s="1">
        <v>57.0</v>
      </c>
      <c r="L231" s="1">
        <v>358.0</v>
      </c>
      <c r="M231" s="1">
        <v>71.6</v>
      </c>
      <c r="N231" s="1">
        <v>84.0</v>
      </c>
      <c r="O231" s="1" t="s">
        <v>21</v>
      </c>
    </row>
    <row r="232" ht="15.75" customHeight="1">
      <c r="A232" s="1" t="s">
        <v>430</v>
      </c>
      <c r="B232" s="1" t="s">
        <v>103</v>
      </c>
      <c r="C232" s="1" t="s">
        <v>17</v>
      </c>
      <c r="D232" s="1" t="s">
        <v>29</v>
      </c>
      <c r="E232" s="1" t="s">
        <v>19</v>
      </c>
      <c r="F232" s="1" t="s">
        <v>37</v>
      </c>
      <c r="G232" s="1">
        <v>83.0</v>
      </c>
      <c r="H232" s="1">
        <v>94.0</v>
      </c>
      <c r="I232" s="1">
        <v>91.0</v>
      </c>
      <c r="J232" s="1">
        <v>44.0</v>
      </c>
      <c r="K232" s="1">
        <v>76.0</v>
      </c>
      <c r="L232" s="1">
        <v>388.0</v>
      </c>
      <c r="M232" s="1">
        <v>77.6</v>
      </c>
      <c r="N232" s="1">
        <v>84.0</v>
      </c>
      <c r="O232" s="1" t="s">
        <v>21</v>
      </c>
    </row>
    <row r="233" ht="15.75" customHeight="1">
      <c r="A233" s="1" t="s">
        <v>431</v>
      </c>
      <c r="B233" s="1" t="s">
        <v>16</v>
      </c>
      <c r="C233" s="1" t="s">
        <v>32</v>
      </c>
      <c r="D233" s="1" t="s">
        <v>24</v>
      </c>
      <c r="E233" s="1" t="s">
        <v>47</v>
      </c>
      <c r="F233" s="1" t="s">
        <v>20</v>
      </c>
      <c r="G233" s="1">
        <v>88.0</v>
      </c>
      <c r="H233" s="1">
        <v>94.0</v>
      </c>
      <c r="I233" s="1">
        <v>84.0</v>
      </c>
      <c r="J233" s="1">
        <v>76.0</v>
      </c>
      <c r="K233" s="1">
        <v>95.0</v>
      </c>
      <c r="L233" s="1">
        <v>437.0</v>
      </c>
      <c r="M233" s="1">
        <v>87.4</v>
      </c>
      <c r="N233" s="1">
        <v>62.0</v>
      </c>
      <c r="O233" s="1" t="s">
        <v>21</v>
      </c>
    </row>
    <row r="234" ht="15.75" customHeight="1">
      <c r="A234" s="1" t="s">
        <v>432</v>
      </c>
      <c r="B234" s="1" t="s">
        <v>149</v>
      </c>
      <c r="C234" s="1" t="s">
        <v>32</v>
      </c>
      <c r="D234" s="1" t="s">
        <v>24</v>
      </c>
      <c r="E234" s="1" t="s">
        <v>19</v>
      </c>
      <c r="F234" s="1" t="s">
        <v>77</v>
      </c>
      <c r="G234" s="1">
        <v>69.0</v>
      </c>
      <c r="H234" s="1">
        <v>90.0</v>
      </c>
      <c r="I234" s="1">
        <v>46.0</v>
      </c>
      <c r="J234" s="1">
        <v>40.0</v>
      </c>
      <c r="K234" s="1">
        <v>81.0</v>
      </c>
      <c r="L234" s="1">
        <v>326.0</v>
      </c>
      <c r="M234" s="1">
        <v>65.2</v>
      </c>
      <c r="N234" s="1">
        <v>70.0</v>
      </c>
      <c r="O234" s="1" t="s">
        <v>21</v>
      </c>
    </row>
    <row r="235" ht="15.75" customHeight="1">
      <c r="A235" s="1" t="s">
        <v>433</v>
      </c>
      <c r="B235" s="1" t="s">
        <v>434</v>
      </c>
      <c r="C235" s="1" t="s">
        <v>17</v>
      </c>
      <c r="D235" s="1" t="s">
        <v>24</v>
      </c>
      <c r="E235" s="1" t="s">
        <v>47</v>
      </c>
      <c r="F235" s="1" t="s">
        <v>62</v>
      </c>
      <c r="G235" s="1">
        <v>47.0</v>
      </c>
      <c r="H235" s="1">
        <v>46.0</v>
      </c>
      <c r="I235" s="1">
        <v>92.0</v>
      </c>
      <c r="J235" s="1">
        <v>53.0</v>
      </c>
      <c r="K235" s="1">
        <v>91.0</v>
      </c>
      <c r="L235" s="1">
        <v>329.0</v>
      </c>
      <c r="M235" s="1">
        <v>65.8</v>
      </c>
      <c r="N235" s="1">
        <v>76.0</v>
      </c>
      <c r="O235" s="1" t="s">
        <v>21</v>
      </c>
    </row>
    <row r="236" ht="15.75" customHeight="1">
      <c r="A236" s="1" t="s">
        <v>435</v>
      </c>
      <c r="B236" s="1" t="s">
        <v>436</v>
      </c>
      <c r="C236" s="1" t="s">
        <v>32</v>
      </c>
      <c r="D236" s="1" t="s">
        <v>24</v>
      </c>
      <c r="E236" s="1" t="s">
        <v>19</v>
      </c>
      <c r="F236" s="1" t="s">
        <v>37</v>
      </c>
      <c r="G236" s="1">
        <v>91.0</v>
      </c>
      <c r="H236" s="1">
        <v>41.0</v>
      </c>
      <c r="I236" s="1">
        <v>44.0</v>
      </c>
      <c r="J236" s="1">
        <v>78.0</v>
      </c>
      <c r="K236" s="1">
        <v>46.0</v>
      </c>
      <c r="L236" s="1">
        <v>300.0</v>
      </c>
      <c r="M236" s="1">
        <v>60.0</v>
      </c>
      <c r="N236" s="1">
        <v>89.0</v>
      </c>
      <c r="O236" s="1" t="s">
        <v>21</v>
      </c>
    </row>
    <row r="237" ht="15.75" customHeight="1">
      <c r="A237" s="1" t="s">
        <v>437</v>
      </c>
      <c r="B237" s="1" t="s">
        <v>344</v>
      </c>
      <c r="C237" s="1" t="s">
        <v>17</v>
      </c>
      <c r="D237" s="1" t="s">
        <v>40</v>
      </c>
      <c r="E237" s="1" t="s">
        <v>47</v>
      </c>
      <c r="F237" s="1" t="s">
        <v>26</v>
      </c>
      <c r="G237" s="1">
        <v>78.0</v>
      </c>
      <c r="H237" s="1">
        <v>95.0</v>
      </c>
      <c r="I237" s="1">
        <v>52.0</v>
      </c>
      <c r="J237" s="1">
        <v>85.0</v>
      </c>
      <c r="K237" s="1">
        <v>53.0</v>
      </c>
      <c r="L237" s="1">
        <v>363.0</v>
      </c>
      <c r="M237" s="1">
        <v>72.6</v>
      </c>
      <c r="N237" s="1">
        <v>88.0</v>
      </c>
      <c r="O237" s="1" t="s">
        <v>21</v>
      </c>
    </row>
    <row r="238" ht="15.75" customHeight="1">
      <c r="A238" s="1" t="s">
        <v>438</v>
      </c>
      <c r="B238" s="1" t="s">
        <v>388</v>
      </c>
      <c r="C238" s="1" t="s">
        <v>17</v>
      </c>
      <c r="D238" s="1" t="s">
        <v>24</v>
      </c>
      <c r="E238" s="1" t="s">
        <v>47</v>
      </c>
      <c r="F238" s="1" t="s">
        <v>20</v>
      </c>
      <c r="G238" s="1">
        <v>80.0</v>
      </c>
      <c r="H238" s="1">
        <v>43.0</v>
      </c>
      <c r="I238" s="1">
        <v>96.0</v>
      </c>
      <c r="J238" s="1">
        <v>74.0</v>
      </c>
      <c r="K238" s="1">
        <v>49.0</v>
      </c>
      <c r="L238" s="1">
        <v>342.0</v>
      </c>
      <c r="M238" s="1">
        <v>68.4</v>
      </c>
      <c r="N238" s="1">
        <v>78.0</v>
      </c>
      <c r="O238" s="1" t="s">
        <v>21</v>
      </c>
    </row>
    <row r="239" ht="15.75" customHeight="1">
      <c r="A239" s="1" t="s">
        <v>439</v>
      </c>
      <c r="B239" s="1" t="s">
        <v>440</v>
      </c>
      <c r="C239" s="1" t="s">
        <v>17</v>
      </c>
      <c r="D239" s="1" t="s">
        <v>18</v>
      </c>
      <c r="E239" s="1" t="s">
        <v>47</v>
      </c>
      <c r="F239" s="1" t="s">
        <v>55</v>
      </c>
      <c r="G239" s="1">
        <v>48.0</v>
      </c>
      <c r="H239" s="1">
        <v>50.0</v>
      </c>
      <c r="I239" s="1">
        <v>67.0</v>
      </c>
      <c r="J239" s="1">
        <v>91.0</v>
      </c>
      <c r="K239" s="1">
        <v>52.0</v>
      </c>
      <c r="L239" s="1">
        <v>308.0</v>
      </c>
      <c r="M239" s="1">
        <v>61.6</v>
      </c>
      <c r="N239" s="1">
        <v>97.0</v>
      </c>
      <c r="O239" s="1" t="s">
        <v>21</v>
      </c>
    </row>
    <row r="240" ht="15.75" customHeight="1">
      <c r="A240" s="1" t="s">
        <v>441</v>
      </c>
      <c r="B240" s="1" t="s">
        <v>442</v>
      </c>
      <c r="C240" s="1" t="s">
        <v>17</v>
      </c>
      <c r="D240" s="1" t="s">
        <v>29</v>
      </c>
      <c r="E240" s="1" t="s">
        <v>19</v>
      </c>
      <c r="F240" s="1" t="s">
        <v>20</v>
      </c>
      <c r="G240" s="1">
        <v>92.0</v>
      </c>
      <c r="H240" s="1">
        <v>54.0</v>
      </c>
      <c r="I240" s="1">
        <v>81.0</v>
      </c>
      <c r="J240" s="1">
        <v>65.0</v>
      </c>
      <c r="K240" s="1">
        <v>51.0</v>
      </c>
      <c r="L240" s="1">
        <v>343.0</v>
      </c>
      <c r="M240" s="1">
        <v>68.6</v>
      </c>
      <c r="N240" s="1">
        <v>71.0</v>
      </c>
      <c r="O240" s="1" t="s">
        <v>21</v>
      </c>
    </row>
    <row r="241" ht="15.75" customHeight="1">
      <c r="A241" s="1" t="s">
        <v>443</v>
      </c>
      <c r="B241" s="1" t="s">
        <v>193</v>
      </c>
      <c r="C241" s="1" t="s">
        <v>32</v>
      </c>
      <c r="D241" s="1" t="s">
        <v>24</v>
      </c>
      <c r="E241" s="1" t="s">
        <v>25</v>
      </c>
      <c r="F241" s="1" t="s">
        <v>37</v>
      </c>
      <c r="G241" s="1">
        <v>95.0</v>
      </c>
      <c r="H241" s="1">
        <v>94.0</v>
      </c>
      <c r="I241" s="1">
        <v>62.0</v>
      </c>
      <c r="J241" s="1">
        <v>59.0</v>
      </c>
      <c r="K241" s="1">
        <v>53.0</v>
      </c>
      <c r="L241" s="1">
        <v>363.0</v>
      </c>
      <c r="M241" s="1">
        <v>72.6</v>
      </c>
      <c r="N241" s="1">
        <v>77.0</v>
      </c>
      <c r="O241" s="1" t="s">
        <v>21</v>
      </c>
    </row>
    <row r="242" ht="15.75" customHeight="1">
      <c r="A242" s="1" t="s">
        <v>444</v>
      </c>
      <c r="B242" s="1" t="s">
        <v>324</v>
      </c>
      <c r="C242" s="1" t="s">
        <v>32</v>
      </c>
      <c r="D242" s="1" t="s">
        <v>29</v>
      </c>
      <c r="E242" s="1" t="s">
        <v>47</v>
      </c>
      <c r="F242" s="1" t="s">
        <v>77</v>
      </c>
      <c r="G242" s="1">
        <v>45.0</v>
      </c>
      <c r="H242" s="1">
        <v>84.0</v>
      </c>
      <c r="I242" s="1">
        <v>82.0</v>
      </c>
      <c r="J242" s="1">
        <v>92.0</v>
      </c>
      <c r="K242" s="1">
        <v>93.0</v>
      </c>
      <c r="L242" s="1">
        <v>396.0</v>
      </c>
      <c r="M242" s="1">
        <v>79.2</v>
      </c>
      <c r="N242" s="1">
        <v>87.0</v>
      </c>
      <c r="O242" s="1" t="s">
        <v>21</v>
      </c>
    </row>
    <row r="243" ht="15.75" customHeight="1">
      <c r="A243" s="1" t="s">
        <v>445</v>
      </c>
      <c r="B243" s="1" t="s">
        <v>295</v>
      </c>
      <c r="C243" s="1" t="s">
        <v>32</v>
      </c>
      <c r="D243" s="1" t="s">
        <v>54</v>
      </c>
      <c r="E243" s="1" t="s">
        <v>47</v>
      </c>
      <c r="F243" s="1" t="s">
        <v>41</v>
      </c>
      <c r="G243" s="1">
        <v>48.0</v>
      </c>
      <c r="H243" s="1">
        <v>77.0</v>
      </c>
      <c r="I243" s="1">
        <v>90.0</v>
      </c>
      <c r="J243" s="1">
        <v>88.0</v>
      </c>
      <c r="K243" s="1">
        <v>70.0</v>
      </c>
      <c r="L243" s="1">
        <v>373.0</v>
      </c>
      <c r="M243" s="1">
        <v>74.6</v>
      </c>
      <c r="N243" s="1">
        <v>72.0</v>
      </c>
      <c r="O243" s="1" t="s">
        <v>21</v>
      </c>
    </row>
    <row r="244" ht="15.75" customHeight="1">
      <c r="A244" s="1" t="s">
        <v>446</v>
      </c>
      <c r="B244" s="1" t="s">
        <v>447</v>
      </c>
      <c r="C244" s="1" t="s">
        <v>32</v>
      </c>
      <c r="D244" s="1" t="s">
        <v>29</v>
      </c>
      <c r="E244" s="1" t="s">
        <v>47</v>
      </c>
      <c r="F244" s="1" t="s">
        <v>26</v>
      </c>
      <c r="G244" s="1">
        <v>94.0</v>
      </c>
      <c r="H244" s="1">
        <v>68.0</v>
      </c>
      <c r="I244" s="1">
        <v>42.0</v>
      </c>
      <c r="J244" s="1">
        <v>97.0</v>
      </c>
      <c r="K244" s="1">
        <v>76.0</v>
      </c>
      <c r="L244" s="1">
        <v>377.0</v>
      </c>
      <c r="M244" s="1">
        <v>75.4</v>
      </c>
      <c r="N244" s="1">
        <v>90.0</v>
      </c>
      <c r="O244" s="1" t="s">
        <v>21</v>
      </c>
    </row>
    <row r="245" ht="15.75" customHeight="1">
      <c r="A245" s="1" t="s">
        <v>448</v>
      </c>
      <c r="B245" s="1" t="s">
        <v>64</v>
      </c>
      <c r="C245" s="1" t="s">
        <v>32</v>
      </c>
      <c r="D245" s="1" t="s">
        <v>40</v>
      </c>
      <c r="E245" s="1" t="s">
        <v>19</v>
      </c>
      <c r="F245" s="1" t="s">
        <v>20</v>
      </c>
      <c r="G245" s="1">
        <v>40.0</v>
      </c>
      <c r="H245" s="1">
        <v>64.0</v>
      </c>
      <c r="I245" s="1">
        <v>73.0</v>
      </c>
      <c r="J245" s="1">
        <v>45.0</v>
      </c>
      <c r="K245" s="1">
        <v>48.0</v>
      </c>
      <c r="L245" s="1">
        <v>270.0</v>
      </c>
      <c r="M245" s="1">
        <v>54.0</v>
      </c>
      <c r="N245" s="1">
        <v>76.0</v>
      </c>
      <c r="O245" s="1" t="s">
        <v>21</v>
      </c>
    </row>
    <row r="246" ht="15.75" customHeight="1">
      <c r="A246" s="1" t="s">
        <v>449</v>
      </c>
      <c r="B246" s="1" t="s">
        <v>450</v>
      </c>
      <c r="C246" s="1" t="s">
        <v>17</v>
      </c>
      <c r="D246" s="1" t="s">
        <v>18</v>
      </c>
      <c r="E246" s="1" t="s">
        <v>25</v>
      </c>
      <c r="F246" s="1" t="s">
        <v>26</v>
      </c>
      <c r="G246" s="1">
        <v>52.0</v>
      </c>
      <c r="H246" s="1">
        <v>64.0</v>
      </c>
      <c r="I246" s="1">
        <v>78.0</v>
      </c>
      <c r="J246" s="1">
        <v>81.0</v>
      </c>
      <c r="K246" s="1">
        <v>71.0</v>
      </c>
      <c r="L246" s="1">
        <v>346.0</v>
      </c>
      <c r="M246" s="1">
        <v>69.2</v>
      </c>
      <c r="N246" s="1">
        <v>100.0</v>
      </c>
      <c r="O246" s="1" t="s">
        <v>21</v>
      </c>
    </row>
    <row r="247" ht="15.75" customHeight="1">
      <c r="A247" s="1" t="s">
        <v>451</v>
      </c>
      <c r="B247" s="1" t="s">
        <v>149</v>
      </c>
      <c r="C247" s="1" t="s">
        <v>17</v>
      </c>
      <c r="D247" s="1" t="s">
        <v>24</v>
      </c>
      <c r="E247" s="1" t="s">
        <v>47</v>
      </c>
      <c r="F247" s="1" t="s">
        <v>55</v>
      </c>
      <c r="G247" s="1">
        <v>58.0</v>
      </c>
      <c r="H247" s="1">
        <v>91.0</v>
      </c>
      <c r="I247" s="1">
        <v>47.0</v>
      </c>
      <c r="J247" s="1">
        <v>98.0</v>
      </c>
      <c r="K247" s="1">
        <v>50.0</v>
      </c>
      <c r="L247" s="1">
        <v>344.0</v>
      </c>
      <c r="M247" s="1">
        <v>68.8</v>
      </c>
      <c r="N247" s="1">
        <v>73.0</v>
      </c>
      <c r="O247" s="1" t="s">
        <v>21</v>
      </c>
    </row>
    <row r="248" ht="15.75" customHeight="1">
      <c r="A248" s="1" t="s">
        <v>452</v>
      </c>
      <c r="B248" s="1" t="s">
        <v>105</v>
      </c>
      <c r="C248" s="1" t="s">
        <v>32</v>
      </c>
      <c r="D248" s="1" t="s">
        <v>29</v>
      </c>
      <c r="E248" s="1" t="s">
        <v>25</v>
      </c>
      <c r="F248" s="1" t="s">
        <v>62</v>
      </c>
      <c r="G248" s="1">
        <v>67.0</v>
      </c>
      <c r="H248" s="1">
        <v>69.0</v>
      </c>
      <c r="I248" s="1">
        <v>91.0</v>
      </c>
      <c r="J248" s="1">
        <v>61.0</v>
      </c>
      <c r="K248" s="1">
        <v>85.0</v>
      </c>
      <c r="L248" s="1">
        <v>373.0</v>
      </c>
      <c r="M248" s="1">
        <v>74.6</v>
      </c>
      <c r="N248" s="1">
        <v>62.0</v>
      </c>
      <c r="O248" s="1" t="s">
        <v>21</v>
      </c>
    </row>
    <row r="249" ht="15.75" customHeight="1">
      <c r="A249" s="1" t="s">
        <v>453</v>
      </c>
      <c r="B249" s="1" t="s">
        <v>43</v>
      </c>
      <c r="C249" s="1" t="s">
        <v>17</v>
      </c>
      <c r="D249" s="1" t="s">
        <v>54</v>
      </c>
      <c r="E249" s="1" t="s">
        <v>25</v>
      </c>
      <c r="F249" s="1" t="s">
        <v>26</v>
      </c>
      <c r="G249" s="1">
        <v>62.0</v>
      </c>
      <c r="H249" s="1">
        <v>90.0</v>
      </c>
      <c r="I249" s="1">
        <v>66.0</v>
      </c>
      <c r="J249" s="1">
        <v>42.0</v>
      </c>
      <c r="K249" s="1">
        <v>70.0</v>
      </c>
      <c r="L249" s="1">
        <v>330.0</v>
      </c>
      <c r="M249" s="1">
        <v>66.0</v>
      </c>
      <c r="N249" s="1">
        <v>79.0</v>
      </c>
      <c r="O249" s="1" t="s">
        <v>21</v>
      </c>
    </row>
    <row r="250" ht="15.75" customHeight="1">
      <c r="A250" s="1" t="s">
        <v>454</v>
      </c>
      <c r="B250" s="1" t="s">
        <v>455</v>
      </c>
      <c r="C250" s="1" t="s">
        <v>17</v>
      </c>
      <c r="D250" s="1" t="s">
        <v>54</v>
      </c>
      <c r="E250" s="1" t="s">
        <v>25</v>
      </c>
      <c r="F250" s="1" t="s">
        <v>41</v>
      </c>
      <c r="G250" s="1">
        <v>70.0</v>
      </c>
      <c r="H250" s="1">
        <v>76.0</v>
      </c>
      <c r="I250" s="1">
        <v>67.0</v>
      </c>
      <c r="J250" s="1">
        <v>64.0</v>
      </c>
      <c r="K250" s="1">
        <v>50.0</v>
      </c>
      <c r="L250" s="1">
        <v>327.0</v>
      </c>
      <c r="M250" s="1">
        <v>65.4</v>
      </c>
      <c r="N250" s="1">
        <v>72.0</v>
      </c>
      <c r="O250" s="1" t="s">
        <v>21</v>
      </c>
    </row>
    <row r="251" ht="15.75" customHeight="1">
      <c r="A251" s="1" t="s">
        <v>456</v>
      </c>
      <c r="B251" s="1" t="s">
        <v>115</v>
      </c>
      <c r="C251" s="1" t="s">
        <v>32</v>
      </c>
      <c r="D251" s="1" t="s">
        <v>54</v>
      </c>
      <c r="E251" s="1" t="s">
        <v>19</v>
      </c>
      <c r="F251" s="1" t="s">
        <v>44</v>
      </c>
      <c r="G251" s="1">
        <v>98.0</v>
      </c>
      <c r="H251" s="1">
        <v>89.0</v>
      </c>
      <c r="I251" s="1">
        <v>44.0</v>
      </c>
      <c r="J251" s="1">
        <v>59.0</v>
      </c>
      <c r="K251" s="1">
        <v>98.0</v>
      </c>
      <c r="L251" s="1">
        <v>388.0</v>
      </c>
      <c r="M251" s="1">
        <v>77.6</v>
      </c>
      <c r="N251" s="1">
        <v>74.0</v>
      </c>
      <c r="O251" s="1" t="s">
        <v>21</v>
      </c>
    </row>
    <row r="252" ht="15.75" customHeight="1">
      <c r="A252" s="1" t="s">
        <v>457</v>
      </c>
      <c r="B252" s="1" t="s">
        <v>320</v>
      </c>
      <c r="C252" s="1" t="s">
        <v>32</v>
      </c>
      <c r="D252" s="1" t="s">
        <v>18</v>
      </c>
      <c r="E252" s="1" t="s">
        <v>47</v>
      </c>
      <c r="F252" s="1" t="s">
        <v>41</v>
      </c>
      <c r="G252" s="1">
        <v>92.0</v>
      </c>
      <c r="H252" s="1">
        <v>92.0</v>
      </c>
      <c r="I252" s="1">
        <v>94.0</v>
      </c>
      <c r="J252" s="1">
        <v>52.0</v>
      </c>
      <c r="K252" s="1">
        <v>68.0</v>
      </c>
      <c r="L252" s="1">
        <v>398.0</v>
      </c>
      <c r="M252" s="1">
        <v>79.6</v>
      </c>
      <c r="N252" s="1">
        <v>67.0</v>
      </c>
      <c r="O252" s="1" t="s">
        <v>21</v>
      </c>
    </row>
    <row r="253" ht="15.75" customHeight="1">
      <c r="A253" s="1" t="s">
        <v>458</v>
      </c>
      <c r="B253" s="1" t="s">
        <v>459</v>
      </c>
      <c r="C253" s="1" t="s">
        <v>17</v>
      </c>
      <c r="D253" s="1" t="s">
        <v>29</v>
      </c>
      <c r="E253" s="1" t="s">
        <v>47</v>
      </c>
      <c r="F253" s="1" t="s">
        <v>44</v>
      </c>
      <c r="G253" s="1">
        <v>71.0</v>
      </c>
      <c r="H253" s="1">
        <v>72.0</v>
      </c>
      <c r="I253" s="1">
        <v>94.0</v>
      </c>
      <c r="J253" s="1">
        <v>82.0</v>
      </c>
      <c r="K253" s="1">
        <v>40.0</v>
      </c>
      <c r="L253" s="1">
        <v>359.0</v>
      </c>
      <c r="M253" s="1">
        <v>71.8</v>
      </c>
      <c r="N253" s="1">
        <v>75.0</v>
      </c>
      <c r="O253" s="1" t="s">
        <v>21</v>
      </c>
    </row>
    <row r="254" ht="15.75" customHeight="1">
      <c r="A254" s="1" t="s">
        <v>460</v>
      </c>
      <c r="B254" s="1" t="s">
        <v>461</v>
      </c>
      <c r="C254" s="1" t="s">
        <v>32</v>
      </c>
      <c r="D254" s="1" t="s">
        <v>18</v>
      </c>
      <c r="E254" s="1" t="s">
        <v>25</v>
      </c>
      <c r="F254" s="1" t="s">
        <v>41</v>
      </c>
      <c r="G254" s="1">
        <v>96.0</v>
      </c>
      <c r="H254" s="1">
        <v>95.0</v>
      </c>
      <c r="I254" s="1">
        <v>64.0</v>
      </c>
      <c r="J254" s="1">
        <v>90.0</v>
      </c>
      <c r="K254" s="1">
        <v>50.0</v>
      </c>
      <c r="L254" s="1">
        <v>395.0</v>
      </c>
      <c r="M254" s="1">
        <v>79.0</v>
      </c>
      <c r="N254" s="1">
        <v>75.0</v>
      </c>
      <c r="O254" s="1" t="s">
        <v>21</v>
      </c>
    </row>
    <row r="255" ht="15.75" customHeight="1">
      <c r="A255" s="1" t="s">
        <v>462</v>
      </c>
      <c r="B255" s="1" t="s">
        <v>463</v>
      </c>
      <c r="C255" s="1" t="s">
        <v>32</v>
      </c>
      <c r="D255" s="1" t="s">
        <v>18</v>
      </c>
      <c r="E255" s="1" t="s">
        <v>25</v>
      </c>
      <c r="F255" s="1" t="s">
        <v>26</v>
      </c>
      <c r="G255" s="1">
        <v>76.0</v>
      </c>
      <c r="H255" s="1">
        <v>52.0</v>
      </c>
      <c r="I255" s="1">
        <v>64.0</v>
      </c>
      <c r="J255" s="1">
        <v>82.0</v>
      </c>
      <c r="K255" s="1">
        <v>100.0</v>
      </c>
      <c r="L255" s="1">
        <v>374.0</v>
      </c>
      <c r="M255" s="1">
        <v>74.8</v>
      </c>
      <c r="N255" s="1">
        <v>75.0</v>
      </c>
      <c r="O255" s="1" t="s">
        <v>21</v>
      </c>
    </row>
    <row r="256" ht="15.75" customHeight="1">
      <c r="A256" s="1" t="s">
        <v>464</v>
      </c>
      <c r="B256" s="1" t="s">
        <v>374</v>
      </c>
      <c r="C256" s="1" t="s">
        <v>17</v>
      </c>
      <c r="D256" s="1" t="s">
        <v>29</v>
      </c>
      <c r="E256" s="1" t="s">
        <v>47</v>
      </c>
      <c r="F256" s="1" t="s">
        <v>41</v>
      </c>
      <c r="G256" s="1">
        <v>80.0</v>
      </c>
      <c r="H256" s="1">
        <v>63.0</v>
      </c>
      <c r="I256" s="1">
        <v>50.0</v>
      </c>
      <c r="J256" s="1">
        <v>59.0</v>
      </c>
      <c r="K256" s="1">
        <v>73.0</v>
      </c>
      <c r="L256" s="1">
        <v>325.0</v>
      </c>
      <c r="M256" s="1">
        <v>65.0</v>
      </c>
      <c r="N256" s="1">
        <v>65.0</v>
      </c>
      <c r="O256" s="1" t="s">
        <v>21</v>
      </c>
    </row>
    <row r="257" ht="15.75" customHeight="1">
      <c r="A257" s="1" t="s">
        <v>465</v>
      </c>
      <c r="B257" s="1" t="s">
        <v>313</v>
      </c>
      <c r="C257" s="1" t="s">
        <v>17</v>
      </c>
      <c r="D257" s="1" t="s">
        <v>40</v>
      </c>
      <c r="E257" s="1" t="s">
        <v>19</v>
      </c>
      <c r="F257" s="1" t="s">
        <v>26</v>
      </c>
      <c r="G257" s="1">
        <v>43.0</v>
      </c>
      <c r="H257" s="1">
        <v>70.0</v>
      </c>
      <c r="I257" s="1">
        <v>60.0</v>
      </c>
      <c r="J257" s="1">
        <v>66.0</v>
      </c>
      <c r="K257" s="1">
        <v>66.0</v>
      </c>
      <c r="L257" s="1">
        <v>305.0</v>
      </c>
      <c r="M257" s="1">
        <v>61.0</v>
      </c>
      <c r="N257" s="1">
        <v>96.0</v>
      </c>
      <c r="O257" s="1" t="s">
        <v>21</v>
      </c>
    </row>
    <row r="258" ht="15.75" customHeight="1">
      <c r="A258" s="1" t="s">
        <v>466</v>
      </c>
      <c r="B258" s="1" t="s">
        <v>467</v>
      </c>
      <c r="C258" s="1" t="s">
        <v>17</v>
      </c>
      <c r="D258" s="1" t="s">
        <v>54</v>
      </c>
      <c r="E258" s="1" t="s">
        <v>25</v>
      </c>
      <c r="F258" s="1" t="s">
        <v>41</v>
      </c>
      <c r="G258" s="1">
        <v>74.0</v>
      </c>
      <c r="H258" s="1">
        <v>90.0</v>
      </c>
      <c r="I258" s="1">
        <v>83.0</v>
      </c>
      <c r="J258" s="1">
        <v>73.0</v>
      </c>
      <c r="K258" s="1">
        <v>41.0</v>
      </c>
      <c r="L258" s="1">
        <v>361.0</v>
      </c>
      <c r="M258" s="1">
        <v>72.2</v>
      </c>
      <c r="N258" s="1">
        <v>84.0</v>
      </c>
      <c r="O258" s="1" t="s">
        <v>21</v>
      </c>
    </row>
    <row r="259" ht="15.75" customHeight="1">
      <c r="A259" s="1" t="s">
        <v>468</v>
      </c>
      <c r="B259" s="1" t="s">
        <v>244</v>
      </c>
      <c r="C259" s="1" t="s">
        <v>17</v>
      </c>
      <c r="D259" s="1" t="s">
        <v>40</v>
      </c>
      <c r="E259" s="1" t="s">
        <v>25</v>
      </c>
      <c r="F259" s="1" t="s">
        <v>55</v>
      </c>
      <c r="G259" s="1">
        <v>41.0</v>
      </c>
      <c r="H259" s="1">
        <v>90.0</v>
      </c>
      <c r="I259" s="1">
        <v>96.0</v>
      </c>
      <c r="J259" s="1">
        <v>49.0</v>
      </c>
      <c r="K259" s="1">
        <v>66.0</v>
      </c>
      <c r="L259" s="1">
        <v>342.0</v>
      </c>
      <c r="M259" s="1">
        <v>68.4</v>
      </c>
      <c r="N259" s="1">
        <v>100.0</v>
      </c>
      <c r="O259" s="1" t="s">
        <v>21</v>
      </c>
    </row>
    <row r="260" ht="15.75" customHeight="1">
      <c r="A260" s="1" t="s">
        <v>469</v>
      </c>
      <c r="B260" s="1" t="s">
        <v>299</v>
      </c>
      <c r="C260" s="1" t="s">
        <v>32</v>
      </c>
      <c r="D260" s="1" t="s">
        <v>54</v>
      </c>
      <c r="E260" s="1" t="s">
        <v>25</v>
      </c>
      <c r="F260" s="1" t="s">
        <v>41</v>
      </c>
      <c r="G260" s="1">
        <v>83.0</v>
      </c>
      <c r="H260" s="1">
        <v>76.0</v>
      </c>
      <c r="I260" s="1">
        <v>92.0</v>
      </c>
      <c r="J260" s="1">
        <v>54.0</v>
      </c>
      <c r="K260" s="1">
        <v>56.0</v>
      </c>
      <c r="L260" s="1">
        <v>361.0</v>
      </c>
      <c r="M260" s="1">
        <v>72.2</v>
      </c>
      <c r="N260" s="1">
        <v>94.0</v>
      </c>
      <c r="O260" s="1" t="s">
        <v>21</v>
      </c>
    </row>
    <row r="261" ht="15.75" customHeight="1">
      <c r="A261" s="1" t="s">
        <v>470</v>
      </c>
      <c r="B261" s="1" t="s">
        <v>471</v>
      </c>
      <c r="C261" s="1" t="s">
        <v>32</v>
      </c>
      <c r="D261" s="1" t="s">
        <v>40</v>
      </c>
      <c r="E261" s="1" t="s">
        <v>47</v>
      </c>
      <c r="F261" s="1" t="s">
        <v>37</v>
      </c>
      <c r="G261" s="1">
        <v>59.0</v>
      </c>
      <c r="H261" s="1">
        <v>69.0</v>
      </c>
      <c r="I261" s="1">
        <v>44.0</v>
      </c>
      <c r="J261" s="1">
        <v>81.0</v>
      </c>
      <c r="K261" s="1">
        <v>89.0</v>
      </c>
      <c r="L261" s="1">
        <v>342.0</v>
      </c>
      <c r="M261" s="1">
        <v>68.4</v>
      </c>
      <c r="N261" s="1">
        <v>69.0</v>
      </c>
      <c r="O261" s="1" t="s">
        <v>21</v>
      </c>
    </row>
    <row r="262" ht="15.75" customHeight="1">
      <c r="A262" s="1" t="s">
        <v>472</v>
      </c>
      <c r="B262" s="1" t="s">
        <v>390</v>
      </c>
      <c r="C262" s="1" t="s">
        <v>17</v>
      </c>
      <c r="D262" s="1" t="s">
        <v>29</v>
      </c>
      <c r="E262" s="1" t="s">
        <v>25</v>
      </c>
      <c r="F262" s="1" t="s">
        <v>77</v>
      </c>
      <c r="G262" s="1">
        <v>73.0</v>
      </c>
      <c r="H262" s="1">
        <v>40.0</v>
      </c>
      <c r="I262" s="1">
        <v>66.0</v>
      </c>
      <c r="J262" s="1">
        <v>73.0</v>
      </c>
      <c r="K262" s="1">
        <v>55.0</v>
      </c>
      <c r="L262" s="1">
        <v>307.0</v>
      </c>
      <c r="M262" s="1">
        <v>61.4</v>
      </c>
      <c r="N262" s="1">
        <v>92.0</v>
      </c>
      <c r="O262" s="1" t="s">
        <v>21</v>
      </c>
    </row>
    <row r="263" ht="15.75" customHeight="1">
      <c r="A263" s="1" t="s">
        <v>473</v>
      </c>
      <c r="B263" s="1" t="s">
        <v>89</v>
      </c>
      <c r="C263" s="1" t="s">
        <v>32</v>
      </c>
      <c r="D263" s="1" t="s">
        <v>54</v>
      </c>
      <c r="E263" s="1" t="s">
        <v>47</v>
      </c>
      <c r="F263" s="1" t="s">
        <v>62</v>
      </c>
      <c r="G263" s="1">
        <v>73.0</v>
      </c>
      <c r="H263" s="1">
        <v>85.0</v>
      </c>
      <c r="I263" s="1">
        <v>53.0</v>
      </c>
      <c r="J263" s="1">
        <v>94.0</v>
      </c>
      <c r="K263" s="1">
        <v>66.0</v>
      </c>
      <c r="L263" s="1">
        <v>371.0</v>
      </c>
      <c r="M263" s="1">
        <v>74.2</v>
      </c>
      <c r="N263" s="1">
        <v>85.0</v>
      </c>
      <c r="O263" s="1" t="s">
        <v>21</v>
      </c>
    </row>
    <row r="264" ht="15.75" customHeight="1">
      <c r="A264" s="1" t="s">
        <v>474</v>
      </c>
      <c r="B264" s="1" t="s">
        <v>475</v>
      </c>
      <c r="C264" s="1" t="s">
        <v>32</v>
      </c>
      <c r="D264" s="1" t="s">
        <v>54</v>
      </c>
      <c r="E264" s="1" t="s">
        <v>47</v>
      </c>
      <c r="F264" s="1" t="s">
        <v>41</v>
      </c>
      <c r="G264" s="1">
        <v>78.0</v>
      </c>
      <c r="H264" s="1">
        <v>73.0</v>
      </c>
      <c r="I264" s="1">
        <v>47.0</v>
      </c>
      <c r="J264" s="1">
        <v>62.0</v>
      </c>
      <c r="K264" s="1">
        <v>78.0</v>
      </c>
      <c r="L264" s="1">
        <v>338.0</v>
      </c>
      <c r="M264" s="1">
        <v>67.6</v>
      </c>
      <c r="N264" s="1">
        <v>83.0</v>
      </c>
      <c r="O264" s="1" t="s">
        <v>21</v>
      </c>
    </row>
    <row r="265" ht="15.75" customHeight="1">
      <c r="A265" s="1" t="s">
        <v>476</v>
      </c>
      <c r="B265" s="1" t="s">
        <v>107</v>
      </c>
      <c r="C265" s="1" t="s">
        <v>32</v>
      </c>
      <c r="D265" s="1" t="s">
        <v>24</v>
      </c>
      <c r="E265" s="1" t="s">
        <v>25</v>
      </c>
      <c r="F265" s="1" t="s">
        <v>20</v>
      </c>
      <c r="G265" s="1">
        <v>100.0</v>
      </c>
      <c r="H265" s="1">
        <v>95.0</v>
      </c>
      <c r="I265" s="1">
        <v>90.0</v>
      </c>
      <c r="J265" s="1">
        <v>49.0</v>
      </c>
      <c r="K265" s="1">
        <v>50.0</v>
      </c>
      <c r="L265" s="1">
        <v>384.0</v>
      </c>
      <c r="M265" s="1">
        <v>76.8</v>
      </c>
      <c r="N265" s="1">
        <v>70.0</v>
      </c>
      <c r="O265" s="1" t="s">
        <v>21</v>
      </c>
    </row>
    <row r="266" ht="15.75" customHeight="1">
      <c r="A266" s="1" t="s">
        <v>477</v>
      </c>
      <c r="B266" s="1" t="s">
        <v>351</v>
      </c>
      <c r="C266" s="1" t="s">
        <v>32</v>
      </c>
      <c r="D266" s="1" t="s">
        <v>24</v>
      </c>
      <c r="E266" s="1" t="s">
        <v>25</v>
      </c>
      <c r="F266" s="1" t="s">
        <v>26</v>
      </c>
      <c r="G266" s="1">
        <v>74.0</v>
      </c>
      <c r="H266" s="1">
        <v>81.0</v>
      </c>
      <c r="I266" s="1">
        <v>79.0</v>
      </c>
      <c r="J266" s="1">
        <v>88.0</v>
      </c>
      <c r="K266" s="1">
        <v>82.0</v>
      </c>
      <c r="L266" s="1">
        <v>404.0</v>
      </c>
      <c r="M266" s="1">
        <v>80.8</v>
      </c>
      <c r="N266" s="1">
        <v>78.0</v>
      </c>
      <c r="O266" s="1" t="s">
        <v>21</v>
      </c>
    </row>
    <row r="267" ht="15.75" customHeight="1">
      <c r="A267" s="1" t="s">
        <v>478</v>
      </c>
      <c r="B267" s="1" t="s">
        <v>324</v>
      </c>
      <c r="C267" s="1" t="s">
        <v>32</v>
      </c>
      <c r="D267" s="1" t="s">
        <v>40</v>
      </c>
      <c r="E267" s="1" t="s">
        <v>19</v>
      </c>
      <c r="F267" s="1" t="s">
        <v>26</v>
      </c>
      <c r="G267" s="1">
        <v>46.0</v>
      </c>
      <c r="H267" s="1">
        <v>71.0</v>
      </c>
      <c r="I267" s="1">
        <v>71.0</v>
      </c>
      <c r="J267" s="1">
        <v>84.0</v>
      </c>
      <c r="K267" s="1">
        <v>87.0</v>
      </c>
      <c r="L267" s="1">
        <v>359.0</v>
      </c>
      <c r="M267" s="1">
        <v>71.8</v>
      </c>
      <c r="N267" s="1">
        <v>84.0</v>
      </c>
      <c r="O267" s="1" t="s">
        <v>21</v>
      </c>
    </row>
    <row r="268" ht="15.75" customHeight="1">
      <c r="A268" s="1" t="s">
        <v>479</v>
      </c>
      <c r="B268" s="1" t="s">
        <v>326</v>
      </c>
      <c r="C268" s="1" t="s">
        <v>32</v>
      </c>
      <c r="D268" s="1" t="s">
        <v>24</v>
      </c>
      <c r="E268" s="1" t="s">
        <v>47</v>
      </c>
      <c r="F268" s="1" t="s">
        <v>26</v>
      </c>
      <c r="G268" s="1">
        <v>40.0</v>
      </c>
      <c r="H268" s="1">
        <v>45.0</v>
      </c>
      <c r="I268" s="1">
        <v>74.0</v>
      </c>
      <c r="J268" s="1">
        <v>98.0</v>
      </c>
      <c r="K268" s="1">
        <v>55.0</v>
      </c>
      <c r="L268" s="1">
        <v>312.0</v>
      </c>
      <c r="M268" s="1">
        <v>62.4</v>
      </c>
      <c r="N268" s="1">
        <v>95.0</v>
      </c>
      <c r="O268" s="1" t="s">
        <v>21</v>
      </c>
    </row>
    <row r="269" ht="15.75" customHeight="1">
      <c r="A269" s="1" t="s">
        <v>480</v>
      </c>
      <c r="B269" s="1" t="s">
        <v>408</v>
      </c>
      <c r="C269" s="1" t="s">
        <v>17</v>
      </c>
      <c r="D269" s="1" t="s">
        <v>24</v>
      </c>
      <c r="E269" s="1" t="s">
        <v>25</v>
      </c>
      <c r="F269" s="1" t="s">
        <v>41</v>
      </c>
      <c r="G269" s="1">
        <v>71.0</v>
      </c>
      <c r="H269" s="1">
        <v>55.0</v>
      </c>
      <c r="I269" s="1">
        <v>89.0</v>
      </c>
      <c r="J269" s="1">
        <v>54.0</v>
      </c>
      <c r="K269" s="1">
        <v>70.0</v>
      </c>
      <c r="L269" s="1">
        <v>339.0</v>
      </c>
      <c r="M269" s="1">
        <v>67.8</v>
      </c>
      <c r="N269" s="1">
        <v>92.0</v>
      </c>
      <c r="O269" s="1" t="s">
        <v>21</v>
      </c>
    </row>
    <row r="270" ht="15.75" customHeight="1">
      <c r="A270" s="1" t="s">
        <v>481</v>
      </c>
      <c r="B270" s="1" t="s">
        <v>333</v>
      </c>
      <c r="C270" s="1" t="s">
        <v>17</v>
      </c>
      <c r="D270" s="1" t="s">
        <v>18</v>
      </c>
      <c r="E270" s="1" t="s">
        <v>47</v>
      </c>
      <c r="F270" s="1" t="s">
        <v>20</v>
      </c>
      <c r="G270" s="1">
        <v>91.0</v>
      </c>
      <c r="H270" s="1">
        <v>98.0</v>
      </c>
      <c r="I270" s="1">
        <v>55.0</v>
      </c>
      <c r="J270" s="1">
        <v>70.0</v>
      </c>
      <c r="K270" s="1">
        <v>87.0</v>
      </c>
      <c r="L270" s="1">
        <v>401.0</v>
      </c>
      <c r="M270" s="1">
        <v>80.2</v>
      </c>
      <c r="N270" s="1">
        <v>62.0</v>
      </c>
      <c r="O270" s="1" t="s">
        <v>21</v>
      </c>
    </row>
    <row r="271" ht="15.75" customHeight="1">
      <c r="A271" s="1" t="s">
        <v>482</v>
      </c>
      <c r="B271" s="1" t="s">
        <v>131</v>
      </c>
      <c r="C271" s="1" t="s">
        <v>17</v>
      </c>
      <c r="D271" s="1" t="s">
        <v>24</v>
      </c>
      <c r="E271" s="1" t="s">
        <v>19</v>
      </c>
      <c r="F271" s="1" t="s">
        <v>20</v>
      </c>
      <c r="G271" s="1">
        <v>89.0</v>
      </c>
      <c r="H271" s="1">
        <v>62.0</v>
      </c>
      <c r="I271" s="1">
        <v>46.0</v>
      </c>
      <c r="J271" s="1">
        <v>50.0</v>
      </c>
      <c r="K271" s="1">
        <v>52.0</v>
      </c>
      <c r="L271" s="1">
        <v>299.0</v>
      </c>
      <c r="M271" s="1">
        <v>59.8</v>
      </c>
      <c r="N271" s="1">
        <v>77.0</v>
      </c>
      <c r="O271" s="1" t="s">
        <v>21</v>
      </c>
    </row>
    <row r="272" ht="15.75" customHeight="1">
      <c r="A272" s="1" t="s">
        <v>483</v>
      </c>
      <c r="B272" s="1" t="s">
        <v>107</v>
      </c>
      <c r="C272" s="1" t="s">
        <v>32</v>
      </c>
      <c r="D272" s="1" t="s">
        <v>18</v>
      </c>
      <c r="E272" s="1" t="s">
        <v>47</v>
      </c>
      <c r="F272" s="1" t="s">
        <v>55</v>
      </c>
      <c r="G272" s="1">
        <v>100.0</v>
      </c>
      <c r="H272" s="1">
        <v>45.0</v>
      </c>
      <c r="I272" s="1">
        <v>81.0</v>
      </c>
      <c r="J272" s="1">
        <v>98.0</v>
      </c>
      <c r="K272" s="1">
        <v>69.0</v>
      </c>
      <c r="L272" s="1">
        <v>393.0</v>
      </c>
      <c r="M272" s="1">
        <v>78.6</v>
      </c>
      <c r="N272" s="1">
        <v>84.0</v>
      </c>
      <c r="O272" s="1" t="s">
        <v>21</v>
      </c>
    </row>
    <row r="273" ht="15.75" customHeight="1">
      <c r="A273" s="1" t="s">
        <v>484</v>
      </c>
      <c r="B273" s="1" t="s">
        <v>252</v>
      </c>
      <c r="C273" s="1" t="s">
        <v>32</v>
      </c>
      <c r="D273" s="1" t="s">
        <v>18</v>
      </c>
      <c r="E273" s="1" t="s">
        <v>19</v>
      </c>
      <c r="F273" s="1" t="s">
        <v>20</v>
      </c>
      <c r="G273" s="1">
        <v>87.0</v>
      </c>
      <c r="H273" s="1">
        <v>51.0</v>
      </c>
      <c r="I273" s="1">
        <v>80.0</v>
      </c>
      <c r="J273" s="1">
        <v>63.0</v>
      </c>
      <c r="K273" s="1">
        <v>43.0</v>
      </c>
      <c r="L273" s="1">
        <v>324.0</v>
      </c>
      <c r="M273" s="1">
        <v>64.8</v>
      </c>
      <c r="N273" s="1">
        <v>84.0</v>
      </c>
      <c r="O273" s="1" t="s">
        <v>21</v>
      </c>
    </row>
    <row r="274" ht="15.75" customHeight="1">
      <c r="A274" s="1" t="s">
        <v>485</v>
      </c>
      <c r="B274" s="1" t="s">
        <v>388</v>
      </c>
      <c r="C274" s="1" t="s">
        <v>17</v>
      </c>
      <c r="D274" s="1" t="s">
        <v>18</v>
      </c>
      <c r="E274" s="1" t="s">
        <v>25</v>
      </c>
      <c r="F274" s="1" t="s">
        <v>41</v>
      </c>
      <c r="G274" s="1">
        <v>96.0</v>
      </c>
      <c r="H274" s="1">
        <v>63.0</v>
      </c>
      <c r="I274" s="1">
        <v>76.0</v>
      </c>
      <c r="J274" s="1">
        <v>91.0</v>
      </c>
      <c r="K274" s="1">
        <v>42.0</v>
      </c>
      <c r="L274" s="1">
        <v>368.0</v>
      </c>
      <c r="M274" s="1">
        <v>73.6</v>
      </c>
      <c r="N274" s="1">
        <v>87.0</v>
      </c>
      <c r="O274" s="1" t="s">
        <v>21</v>
      </c>
    </row>
    <row r="275" ht="15.75" customHeight="1">
      <c r="A275" s="1" t="s">
        <v>486</v>
      </c>
      <c r="B275" s="1" t="s">
        <v>137</v>
      </c>
      <c r="C275" s="1" t="s">
        <v>32</v>
      </c>
      <c r="D275" s="1" t="s">
        <v>54</v>
      </c>
      <c r="E275" s="1" t="s">
        <v>47</v>
      </c>
      <c r="F275" s="1" t="s">
        <v>41</v>
      </c>
      <c r="G275" s="1">
        <v>96.0</v>
      </c>
      <c r="H275" s="1">
        <v>78.0</v>
      </c>
      <c r="I275" s="1">
        <v>66.0</v>
      </c>
      <c r="J275" s="1">
        <v>59.0</v>
      </c>
      <c r="K275" s="1">
        <v>46.0</v>
      </c>
      <c r="L275" s="1">
        <v>345.0</v>
      </c>
      <c r="M275" s="1">
        <v>69.0</v>
      </c>
      <c r="N275" s="1">
        <v>71.0</v>
      </c>
      <c r="O275" s="1" t="s">
        <v>21</v>
      </c>
    </row>
    <row r="276" ht="15.75" customHeight="1">
      <c r="A276" s="1" t="s">
        <v>487</v>
      </c>
      <c r="B276" s="1" t="s">
        <v>488</v>
      </c>
      <c r="C276" s="1" t="s">
        <v>17</v>
      </c>
      <c r="D276" s="1" t="s">
        <v>54</v>
      </c>
      <c r="E276" s="1" t="s">
        <v>47</v>
      </c>
      <c r="F276" s="1" t="s">
        <v>55</v>
      </c>
      <c r="G276" s="1">
        <v>49.0</v>
      </c>
      <c r="H276" s="1">
        <v>84.0</v>
      </c>
      <c r="I276" s="1">
        <v>70.0</v>
      </c>
      <c r="J276" s="1">
        <v>62.0</v>
      </c>
      <c r="K276" s="1">
        <v>96.0</v>
      </c>
      <c r="L276" s="1">
        <v>361.0</v>
      </c>
      <c r="M276" s="1">
        <v>72.2</v>
      </c>
      <c r="N276" s="1">
        <v>75.0</v>
      </c>
      <c r="O276" s="1" t="s">
        <v>21</v>
      </c>
    </row>
    <row r="277" ht="15.75" customHeight="1">
      <c r="A277" s="1" t="s">
        <v>489</v>
      </c>
      <c r="B277" s="1" t="s">
        <v>109</v>
      </c>
      <c r="C277" s="1" t="s">
        <v>32</v>
      </c>
      <c r="D277" s="1" t="s">
        <v>29</v>
      </c>
      <c r="E277" s="1" t="s">
        <v>47</v>
      </c>
      <c r="F277" s="1" t="s">
        <v>55</v>
      </c>
      <c r="G277" s="1">
        <v>85.0</v>
      </c>
      <c r="H277" s="1">
        <v>93.0</v>
      </c>
      <c r="I277" s="1">
        <v>51.0</v>
      </c>
      <c r="J277" s="1">
        <v>48.0</v>
      </c>
      <c r="K277" s="1">
        <v>51.0</v>
      </c>
      <c r="L277" s="1">
        <v>328.0</v>
      </c>
      <c r="M277" s="1">
        <v>65.6</v>
      </c>
      <c r="N277" s="1">
        <v>91.0</v>
      </c>
      <c r="O277" s="1" t="s">
        <v>21</v>
      </c>
    </row>
    <row r="278" ht="15.75" customHeight="1">
      <c r="A278" s="1" t="s">
        <v>490</v>
      </c>
      <c r="B278" s="1" t="s">
        <v>147</v>
      </c>
      <c r="C278" s="1" t="s">
        <v>17</v>
      </c>
      <c r="D278" s="1" t="s">
        <v>29</v>
      </c>
      <c r="E278" s="1" t="s">
        <v>19</v>
      </c>
      <c r="F278" s="1" t="s">
        <v>41</v>
      </c>
      <c r="G278" s="1">
        <v>85.0</v>
      </c>
      <c r="H278" s="1">
        <v>46.0</v>
      </c>
      <c r="I278" s="1">
        <v>72.0</v>
      </c>
      <c r="J278" s="1">
        <v>53.0</v>
      </c>
      <c r="K278" s="1">
        <v>64.0</v>
      </c>
      <c r="L278" s="1">
        <v>320.0</v>
      </c>
      <c r="M278" s="1">
        <v>64.0</v>
      </c>
      <c r="N278" s="1">
        <v>64.0</v>
      </c>
      <c r="O278" s="1" t="s">
        <v>21</v>
      </c>
    </row>
    <row r="279" ht="15.75" customHeight="1">
      <c r="A279" s="1" t="s">
        <v>491</v>
      </c>
      <c r="B279" s="1" t="s">
        <v>318</v>
      </c>
      <c r="C279" s="1" t="s">
        <v>32</v>
      </c>
      <c r="D279" s="1" t="s">
        <v>24</v>
      </c>
      <c r="E279" s="1" t="s">
        <v>19</v>
      </c>
      <c r="F279" s="1" t="s">
        <v>26</v>
      </c>
      <c r="G279" s="1">
        <v>78.0</v>
      </c>
      <c r="H279" s="1">
        <v>64.0</v>
      </c>
      <c r="I279" s="1">
        <v>59.0</v>
      </c>
      <c r="J279" s="1">
        <v>87.0</v>
      </c>
      <c r="K279" s="1">
        <v>94.0</v>
      </c>
      <c r="L279" s="1">
        <v>382.0</v>
      </c>
      <c r="M279" s="1">
        <v>76.4</v>
      </c>
      <c r="N279" s="1">
        <v>95.0</v>
      </c>
      <c r="O279" s="1" t="s">
        <v>21</v>
      </c>
    </row>
    <row r="280" ht="15.75" customHeight="1">
      <c r="A280" s="1" t="s">
        <v>492</v>
      </c>
      <c r="B280" s="1" t="s">
        <v>28</v>
      </c>
      <c r="C280" s="1" t="s">
        <v>17</v>
      </c>
      <c r="D280" s="1" t="s">
        <v>29</v>
      </c>
      <c r="E280" s="1" t="s">
        <v>25</v>
      </c>
      <c r="F280" s="1" t="s">
        <v>55</v>
      </c>
      <c r="G280" s="1">
        <v>99.0</v>
      </c>
      <c r="H280" s="1">
        <v>100.0</v>
      </c>
      <c r="I280" s="1">
        <v>67.0</v>
      </c>
      <c r="J280" s="1">
        <v>75.0</v>
      </c>
      <c r="K280" s="1">
        <v>43.0</v>
      </c>
      <c r="L280" s="1">
        <v>384.0</v>
      </c>
      <c r="M280" s="1">
        <v>76.8</v>
      </c>
      <c r="N280" s="1">
        <v>91.0</v>
      </c>
      <c r="O280" s="1" t="s">
        <v>21</v>
      </c>
    </row>
    <row r="281" ht="15.75" customHeight="1">
      <c r="A281" s="1" t="s">
        <v>493</v>
      </c>
      <c r="B281" s="1" t="s">
        <v>402</v>
      </c>
      <c r="C281" s="1" t="s">
        <v>17</v>
      </c>
      <c r="D281" s="1" t="s">
        <v>54</v>
      </c>
      <c r="E281" s="1" t="s">
        <v>47</v>
      </c>
      <c r="F281" s="1" t="s">
        <v>62</v>
      </c>
      <c r="G281" s="1">
        <v>42.0</v>
      </c>
      <c r="H281" s="1">
        <v>67.0</v>
      </c>
      <c r="I281" s="1">
        <v>92.0</v>
      </c>
      <c r="J281" s="1">
        <v>53.0</v>
      </c>
      <c r="K281" s="1">
        <v>55.0</v>
      </c>
      <c r="L281" s="1">
        <v>309.0</v>
      </c>
      <c r="M281" s="1">
        <v>61.8</v>
      </c>
      <c r="N281" s="1">
        <v>100.0</v>
      </c>
      <c r="O281" s="1" t="s">
        <v>21</v>
      </c>
    </row>
    <row r="282" ht="15.75" customHeight="1">
      <c r="A282" s="1" t="s">
        <v>494</v>
      </c>
      <c r="B282" s="1" t="s">
        <v>495</v>
      </c>
      <c r="C282" s="1" t="s">
        <v>17</v>
      </c>
      <c r="D282" s="1" t="s">
        <v>40</v>
      </c>
      <c r="E282" s="1" t="s">
        <v>19</v>
      </c>
      <c r="F282" s="1" t="s">
        <v>44</v>
      </c>
      <c r="G282" s="1">
        <v>94.0</v>
      </c>
      <c r="H282" s="1">
        <v>49.0</v>
      </c>
      <c r="I282" s="1">
        <v>50.0</v>
      </c>
      <c r="J282" s="1">
        <v>98.0</v>
      </c>
      <c r="K282" s="1">
        <v>47.0</v>
      </c>
      <c r="L282" s="1">
        <v>338.0</v>
      </c>
      <c r="M282" s="1">
        <v>67.6</v>
      </c>
      <c r="N282" s="1">
        <v>91.0</v>
      </c>
      <c r="O282" s="1" t="s">
        <v>21</v>
      </c>
    </row>
    <row r="283" ht="15.75" customHeight="1">
      <c r="A283" s="1" t="s">
        <v>496</v>
      </c>
      <c r="B283" s="1" t="s">
        <v>497</v>
      </c>
      <c r="C283" s="1" t="s">
        <v>32</v>
      </c>
      <c r="D283" s="1" t="s">
        <v>18</v>
      </c>
      <c r="E283" s="1" t="s">
        <v>19</v>
      </c>
      <c r="F283" s="1" t="s">
        <v>41</v>
      </c>
      <c r="G283" s="1">
        <v>53.0</v>
      </c>
      <c r="H283" s="1">
        <v>86.0</v>
      </c>
      <c r="I283" s="1">
        <v>84.0</v>
      </c>
      <c r="J283" s="1">
        <v>54.0</v>
      </c>
      <c r="K283" s="1">
        <v>73.0</v>
      </c>
      <c r="L283" s="1">
        <v>350.0</v>
      </c>
      <c r="M283" s="1">
        <v>70.0</v>
      </c>
      <c r="N283" s="1">
        <v>72.0</v>
      </c>
      <c r="O283" s="1" t="s">
        <v>21</v>
      </c>
    </row>
    <row r="284" ht="15.75" customHeight="1">
      <c r="A284" s="1" t="s">
        <v>498</v>
      </c>
      <c r="B284" s="1" t="s">
        <v>427</v>
      </c>
      <c r="C284" s="1" t="s">
        <v>17</v>
      </c>
      <c r="D284" s="1" t="s">
        <v>40</v>
      </c>
      <c r="E284" s="1" t="s">
        <v>47</v>
      </c>
      <c r="F284" s="1" t="s">
        <v>44</v>
      </c>
      <c r="G284" s="1">
        <v>64.0</v>
      </c>
      <c r="H284" s="1">
        <v>69.0</v>
      </c>
      <c r="I284" s="1">
        <v>47.0</v>
      </c>
      <c r="J284" s="1">
        <v>55.0</v>
      </c>
      <c r="K284" s="1">
        <v>56.0</v>
      </c>
      <c r="L284" s="1">
        <v>291.0</v>
      </c>
      <c r="M284" s="1">
        <v>58.2</v>
      </c>
      <c r="N284" s="1">
        <v>96.0</v>
      </c>
      <c r="O284" s="1" t="s">
        <v>21</v>
      </c>
    </row>
    <row r="285" ht="15.75" customHeight="1">
      <c r="A285" s="1" t="s">
        <v>499</v>
      </c>
      <c r="B285" s="1" t="s">
        <v>93</v>
      </c>
      <c r="C285" s="1" t="s">
        <v>17</v>
      </c>
      <c r="D285" s="1" t="s">
        <v>29</v>
      </c>
      <c r="E285" s="1" t="s">
        <v>47</v>
      </c>
      <c r="F285" s="1" t="s">
        <v>26</v>
      </c>
      <c r="G285" s="1">
        <v>100.0</v>
      </c>
      <c r="H285" s="1">
        <v>51.0</v>
      </c>
      <c r="I285" s="1">
        <v>70.0</v>
      </c>
      <c r="J285" s="1">
        <v>93.0</v>
      </c>
      <c r="K285" s="1">
        <v>56.0</v>
      </c>
      <c r="L285" s="1">
        <v>370.0</v>
      </c>
      <c r="M285" s="1">
        <v>74.0</v>
      </c>
      <c r="N285" s="1">
        <v>77.0</v>
      </c>
      <c r="O285" s="1" t="s">
        <v>21</v>
      </c>
    </row>
    <row r="286" ht="15.75" customHeight="1">
      <c r="A286" s="1" t="s">
        <v>500</v>
      </c>
      <c r="B286" s="1" t="s">
        <v>233</v>
      </c>
      <c r="C286" s="1" t="s">
        <v>17</v>
      </c>
      <c r="D286" s="1" t="s">
        <v>29</v>
      </c>
      <c r="E286" s="1" t="s">
        <v>19</v>
      </c>
      <c r="F286" s="1" t="s">
        <v>55</v>
      </c>
      <c r="G286" s="1">
        <v>76.0</v>
      </c>
      <c r="H286" s="1">
        <v>83.0</v>
      </c>
      <c r="I286" s="1">
        <v>43.0</v>
      </c>
      <c r="J286" s="1">
        <v>43.0</v>
      </c>
      <c r="K286" s="1">
        <v>79.0</v>
      </c>
      <c r="L286" s="1">
        <v>324.0</v>
      </c>
      <c r="M286" s="1">
        <v>64.8</v>
      </c>
      <c r="N286" s="1">
        <v>90.0</v>
      </c>
      <c r="O286" s="1" t="s">
        <v>21</v>
      </c>
    </row>
    <row r="287" ht="15.75" customHeight="1">
      <c r="A287" s="1" t="s">
        <v>501</v>
      </c>
      <c r="B287" s="1" t="s">
        <v>502</v>
      </c>
      <c r="C287" s="1" t="s">
        <v>17</v>
      </c>
      <c r="D287" s="1" t="s">
        <v>54</v>
      </c>
      <c r="E287" s="1" t="s">
        <v>25</v>
      </c>
      <c r="F287" s="1" t="s">
        <v>44</v>
      </c>
      <c r="G287" s="1">
        <v>52.0</v>
      </c>
      <c r="H287" s="1">
        <v>93.0</v>
      </c>
      <c r="I287" s="1">
        <v>56.0</v>
      </c>
      <c r="J287" s="1">
        <v>70.0</v>
      </c>
      <c r="K287" s="1">
        <v>84.0</v>
      </c>
      <c r="L287" s="1">
        <v>355.0</v>
      </c>
      <c r="M287" s="1">
        <v>71.0</v>
      </c>
      <c r="N287" s="1">
        <v>94.0</v>
      </c>
      <c r="O287" s="1" t="s">
        <v>21</v>
      </c>
    </row>
    <row r="288" ht="15.75" customHeight="1">
      <c r="A288" s="1" t="s">
        <v>503</v>
      </c>
      <c r="B288" s="1" t="s">
        <v>261</v>
      </c>
      <c r="C288" s="1" t="s">
        <v>32</v>
      </c>
      <c r="D288" s="1" t="s">
        <v>18</v>
      </c>
      <c r="E288" s="1" t="s">
        <v>19</v>
      </c>
      <c r="F288" s="1" t="s">
        <v>62</v>
      </c>
      <c r="G288" s="1">
        <v>48.0</v>
      </c>
      <c r="H288" s="1">
        <v>99.0</v>
      </c>
      <c r="I288" s="1">
        <v>78.0</v>
      </c>
      <c r="J288" s="1">
        <v>83.0</v>
      </c>
      <c r="K288" s="1">
        <v>52.0</v>
      </c>
      <c r="L288" s="1">
        <v>360.0</v>
      </c>
      <c r="M288" s="1">
        <v>72.0</v>
      </c>
      <c r="N288" s="1">
        <v>72.0</v>
      </c>
      <c r="O288" s="1" t="s">
        <v>21</v>
      </c>
    </row>
    <row r="289" ht="15.75" customHeight="1">
      <c r="A289" s="1" t="s">
        <v>504</v>
      </c>
      <c r="B289" s="1" t="s">
        <v>505</v>
      </c>
      <c r="C289" s="1" t="s">
        <v>32</v>
      </c>
      <c r="D289" s="1" t="s">
        <v>29</v>
      </c>
      <c r="E289" s="1" t="s">
        <v>47</v>
      </c>
      <c r="F289" s="1" t="s">
        <v>55</v>
      </c>
      <c r="G289" s="1">
        <v>48.0</v>
      </c>
      <c r="H289" s="1">
        <v>96.0</v>
      </c>
      <c r="I289" s="1">
        <v>77.0</v>
      </c>
      <c r="J289" s="1">
        <v>91.0</v>
      </c>
      <c r="K289" s="1">
        <v>93.0</v>
      </c>
      <c r="L289" s="1">
        <v>405.0</v>
      </c>
      <c r="M289" s="1">
        <v>81.0</v>
      </c>
      <c r="N289" s="1">
        <v>68.0</v>
      </c>
      <c r="O289" s="1" t="s">
        <v>21</v>
      </c>
    </row>
    <row r="290" ht="15.75" customHeight="1">
      <c r="A290" s="1" t="s">
        <v>506</v>
      </c>
      <c r="B290" s="1" t="s">
        <v>64</v>
      </c>
      <c r="C290" s="1" t="s">
        <v>32</v>
      </c>
      <c r="D290" s="1" t="s">
        <v>40</v>
      </c>
      <c r="E290" s="1" t="s">
        <v>25</v>
      </c>
      <c r="F290" s="1" t="s">
        <v>44</v>
      </c>
      <c r="G290" s="1">
        <v>73.0</v>
      </c>
      <c r="H290" s="1">
        <v>63.0</v>
      </c>
      <c r="I290" s="1">
        <v>62.0</v>
      </c>
      <c r="J290" s="1">
        <v>54.0</v>
      </c>
      <c r="K290" s="1">
        <v>93.0</v>
      </c>
      <c r="L290" s="1">
        <v>345.0</v>
      </c>
      <c r="M290" s="1">
        <v>69.0</v>
      </c>
      <c r="N290" s="1">
        <v>94.0</v>
      </c>
      <c r="O290" s="1" t="s">
        <v>21</v>
      </c>
    </row>
    <row r="291" ht="15.75" customHeight="1">
      <c r="A291" s="1" t="s">
        <v>507</v>
      </c>
      <c r="B291" s="1" t="s">
        <v>508</v>
      </c>
      <c r="C291" s="1" t="s">
        <v>32</v>
      </c>
      <c r="D291" s="1" t="s">
        <v>24</v>
      </c>
      <c r="E291" s="1" t="s">
        <v>25</v>
      </c>
      <c r="F291" s="1" t="s">
        <v>41</v>
      </c>
      <c r="G291" s="1">
        <v>94.0</v>
      </c>
      <c r="H291" s="1">
        <v>77.0</v>
      </c>
      <c r="I291" s="1">
        <v>72.0</v>
      </c>
      <c r="J291" s="1">
        <v>59.0</v>
      </c>
      <c r="K291" s="1">
        <v>61.0</v>
      </c>
      <c r="L291" s="1">
        <v>363.0</v>
      </c>
      <c r="M291" s="1">
        <v>72.6</v>
      </c>
      <c r="N291" s="1">
        <v>93.0</v>
      </c>
      <c r="O291" s="1" t="s">
        <v>21</v>
      </c>
    </row>
    <row r="292" ht="15.75" customHeight="1">
      <c r="A292" s="1" t="s">
        <v>509</v>
      </c>
      <c r="B292" s="1" t="s">
        <v>279</v>
      </c>
      <c r="C292" s="1" t="s">
        <v>32</v>
      </c>
      <c r="D292" s="1" t="s">
        <v>54</v>
      </c>
      <c r="E292" s="1" t="s">
        <v>25</v>
      </c>
      <c r="F292" s="1" t="s">
        <v>77</v>
      </c>
      <c r="G292" s="1">
        <v>71.0</v>
      </c>
      <c r="H292" s="1">
        <v>42.0</v>
      </c>
      <c r="I292" s="1">
        <v>67.0</v>
      </c>
      <c r="J292" s="1">
        <v>64.0</v>
      </c>
      <c r="K292" s="1">
        <v>58.0</v>
      </c>
      <c r="L292" s="1">
        <v>302.0</v>
      </c>
      <c r="M292" s="1">
        <v>60.4</v>
      </c>
      <c r="N292" s="1">
        <v>79.0</v>
      </c>
      <c r="O292" s="1" t="s">
        <v>21</v>
      </c>
    </row>
    <row r="293" ht="15.75" customHeight="1">
      <c r="A293" s="1" t="s">
        <v>510</v>
      </c>
      <c r="B293" s="1" t="s">
        <v>181</v>
      </c>
      <c r="C293" s="1" t="s">
        <v>17</v>
      </c>
      <c r="D293" s="1" t="s">
        <v>54</v>
      </c>
      <c r="E293" s="1" t="s">
        <v>19</v>
      </c>
      <c r="F293" s="1" t="s">
        <v>62</v>
      </c>
      <c r="G293" s="1">
        <v>42.0</v>
      </c>
      <c r="H293" s="1">
        <v>50.0</v>
      </c>
      <c r="I293" s="1">
        <v>81.0</v>
      </c>
      <c r="J293" s="1">
        <v>68.0</v>
      </c>
      <c r="K293" s="1">
        <v>41.0</v>
      </c>
      <c r="L293" s="1">
        <v>282.0</v>
      </c>
      <c r="M293" s="1">
        <v>56.4</v>
      </c>
      <c r="N293" s="1">
        <v>85.0</v>
      </c>
      <c r="O293" s="1" t="s">
        <v>21</v>
      </c>
    </row>
    <row r="294" ht="15.75" customHeight="1">
      <c r="A294" s="1" t="s">
        <v>511</v>
      </c>
      <c r="B294" s="1" t="s">
        <v>447</v>
      </c>
      <c r="C294" s="1" t="s">
        <v>17</v>
      </c>
      <c r="D294" s="1" t="s">
        <v>54</v>
      </c>
      <c r="E294" s="1" t="s">
        <v>25</v>
      </c>
      <c r="F294" s="1" t="s">
        <v>55</v>
      </c>
      <c r="G294" s="1">
        <v>76.0</v>
      </c>
      <c r="H294" s="1">
        <v>42.0</v>
      </c>
      <c r="I294" s="1">
        <v>41.0</v>
      </c>
      <c r="J294" s="1">
        <v>62.0</v>
      </c>
      <c r="K294" s="1">
        <v>93.0</v>
      </c>
      <c r="L294" s="1">
        <v>314.0</v>
      </c>
      <c r="M294" s="1">
        <v>62.8</v>
      </c>
      <c r="N294" s="1">
        <v>91.0</v>
      </c>
      <c r="O294" s="1" t="s">
        <v>21</v>
      </c>
    </row>
    <row r="295" ht="15.75" customHeight="1">
      <c r="A295" s="1" t="s">
        <v>512</v>
      </c>
      <c r="B295" s="1" t="s">
        <v>163</v>
      </c>
      <c r="C295" s="1" t="s">
        <v>17</v>
      </c>
      <c r="D295" s="1" t="s">
        <v>18</v>
      </c>
      <c r="E295" s="1" t="s">
        <v>19</v>
      </c>
      <c r="F295" s="1" t="s">
        <v>55</v>
      </c>
      <c r="G295" s="1">
        <v>66.0</v>
      </c>
      <c r="H295" s="1">
        <v>55.0</v>
      </c>
      <c r="I295" s="1">
        <v>45.0</v>
      </c>
      <c r="J295" s="1">
        <v>91.0</v>
      </c>
      <c r="K295" s="1">
        <v>76.0</v>
      </c>
      <c r="L295" s="1">
        <v>333.0</v>
      </c>
      <c r="M295" s="1">
        <v>66.6</v>
      </c>
      <c r="N295" s="1">
        <v>79.0</v>
      </c>
      <c r="O295" s="1" t="s">
        <v>21</v>
      </c>
    </row>
    <row r="296" ht="15.75" customHeight="1">
      <c r="A296" s="1" t="s">
        <v>513</v>
      </c>
      <c r="B296" s="1" t="s">
        <v>514</v>
      </c>
      <c r="C296" s="1" t="s">
        <v>17</v>
      </c>
      <c r="D296" s="1" t="s">
        <v>24</v>
      </c>
      <c r="E296" s="1" t="s">
        <v>47</v>
      </c>
      <c r="F296" s="1" t="s">
        <v>26</v>
      </c>
      <c r="G296" s="1">
        <v>84.0</v>
      </c>
      <c r="H296" s="1">
        <v>88.0</v>
      </c>
      <c r="I296" s="1">
        <v>63.0</v>
      </c>
      <c r="J296" s="1">
        <v>95.0</v>
      </c>
      <c r="K296" s="1">
        <v>63.0</v>
      </c>
      <c r="L296" s="1">
        <v>393.0</v>
      </c>
      <c r="M296" s="1">
        <v>78.6</v>
      </c>
      <c r="N296" s="1">
        <v>100.0</v>
      </c>
      <c r="O296" s="1" t="s">
        <v>21</v>
      </c>
    </row>
    <row r="297" ht="15.75" customHeight="1">
      <c r="A297" s="1" t="s">
        <v>515</v>
      </c>
      <c r="B297" s="1" t="s">
        <v>516</v>
      </c>
      <c r="C297" s="1" t="s">
        <v>17</v>
      </c>
      <c r="D297" s="1" t="s">
        <v>54</v>
      </c>
      <c r="E297" s="1" t="s">
        <v>25</v>
      </c>
      <c r="F297" s="1" t="s">
        <v>77</v>
      </c>
      <c r="G297" s="1">
        <v>93.0</v>
      </c>
      <c r="H297" s="1">
        <v>43.0</v>
      </c>
      <c r="I297" s="1">
        <v>98.0</v>
      </c>
      <c r="J297" s="1">
        <v>59.0</v>
      </c>
      <c r="K297" s="1">
        <v>63.0</v>
      </c>
      <c r="L297" s="1">
        <v>356.0</v>
      </c>
      <c r="M297" s="1">
        <v>71.2</v>
      </c>
      <c r="N297" s="1">
        <v>98.0</v>
      </c>
      <c r="O297" s="1" t="s">
        <v>21</v>
      </c>
    </row>
    <row r="298" ht="15.75" customHeight="1">
      <c r="A298" s="1" t="s">
        <v>517</v>
      </c>
      <c r="B298" s="1" t="s">
        <v>518</v>
      </c>
      <c r="C298" s="1" t="s">
        <v>17</v>
      </c>
      <c r="D298" s="1" t="s">
        <v>54</v>
      </c>
      <c r="E298" s="1" t="s">
        <v>47</v>
      </c>
      <c r="F298" s="1" t="s">
        <v>26</v>
      </c>
      <c r="G298" s="1">
        <v>85.0</v>
      </c>
      <c r="H298" s="1">
        <v>97.0</v>
      </c>
      <c r="I298" s="1">
        <v>80.0</v>
      </c>
      <c r="J298" s="1">
        <v>75.0</v>
      </c>
      <c r="K298" s="1">
        <v>58.0</v>
      </c>
      <c r="L298" s="1">
        <v>395.0</v>
      </c>
      <c r="M298" s="1">
        <v>79.0</v>
      </c>
      <c r="N298" s="1">
        <v>96.0</v>
      </c>
      <c r="O298" s="1" t="s">
        <v>21</v>
      </c>
    </row>
    <row r="299" ht="15.75" customHeight="1">
      <c r="A299" s="1" t="s">
        <v>519</v>
      </c>
      <c r="B299" s="1" t="s">
        <v>246</v>
      </c>
      <c r="C299" s="1" t="s">
        <v>17</v>
      </c>
      <c r="D299" s="1" t="s">
        <v>29</v>
      </c>
      <c r="E299" s="1" t="s">
        <v>47</v>
      </c>
      <c r="F299" s="1" t="s">
        <v>37</v>
      </c>
      <c r="G299" s="1">
        <v>89.0</v>
      </c>
      <c r="H299" s="1">
        <v>61.0</v>
      </c>
      <c r="I299" s="1">
        <v>42.0</v>
      </c>
      <c r="J299" s="1">
        <v>74.0</v>
      </c>
      <c r="K299" s="1">
        <v>69.0</v>
      </c>
      <c r="L299" s="1">
        <v>335.0</v>
      </c>
      <c r="M299" s="1">
        <v>67.0</v>
      </c>
      <c r="N299" s="1">
        <v>77.0</v>
      </c>
      <c r="O299" s="1" t="s">
        <v>21</v>
      </c>
    </row>
    <row r="300" ht="15.75" customHeight="1">
      <c r="A300" s="1" t="s">
        <v>520</v>
      </c>
      <c r="B300" s="1" t="s">
        <v>521</v>
      </c>
      <c r="C300" s="1" t="s">
        <v>17</v>
      </c>
      <c r="D300" s="1" t="s">
        <v>24</v>
      </c>
      <c r="E300" s="1" t="s">
        <v>47</v>
      </c>
      <c r="F300" s="1" t="s">
        <v>62</v>
      </c>
      <c r="G300" s="1">
        <v>56.0</v>
      </c>
      <c r="H300" s="1">
        <v>100.0</v>
      </c>
      <c r="I300" s="1">
        <v>59.0</v>
      </c>
      <c r="J300" s="1">
        <v>56.0</v>
      </c>
      <c r="K300" s="1">
        <v>65.0</v>
      </c>
      <c r="L300" s="1">
        <v>336.0</v>
      </c>
      <c r="M300" s="1">
        <v>67.2</v>
      </c>
      <c r="N300" s="1">
        <v>89.0</v>
      </c>
      <c r="O300" s="1" t="s">
        <v>21</v>
      </c>
    </row>
    <row r="301" ht="15.75" customHeight="1">
      <c r="A301" s="1" t="s">
        <v>522</v>
      </c>
      <c r="B301" s="1" t="s">
        <v>523</v>
      </c>
      <c r="C301" s="1" t="s">
        <v>32</v>
      </c>
      <c r="D301" s="1" t="s">
        <v>18</v>
      </c>
      <c r="E301" s="1" t="s">
        <v>19</v>
      </c>
      <c r="F301" s="1" t="s">
        <v>26</v>
      </c>
      <c r="G301" s="1">
        <v>52.0</v>
      </c>
      <c r="H301" s="1">
        <v>96.0</v>
      </c>
      <c r="I301" s="1">
        <v>47.0</v>
      </c>
      <c r="J301" s="1">
        <v>80.0</v>
      </c>
      <c r="K301" s="1">
        <v>64.0</v>
      </c>
      <c r="L301" s="1">
        <v>339.0</v>
      </c>
      <c r="M301" s="1">
        <v>67.8</v>
      </c>
      <c r="N301" s="1">
        <v>95.0</v>
      </c>
      <c r="O301" s="1" t="s">
        <v>21</v>
      </c>
    </row>
    <row r="302" ht="15.75" customHeight="1">
      <c r="A302" s="1" t="s">
        <v>524</v>
      </c>
      <c r="B302" s="1" t="s">
        <v>256</v>
      </c>
      <c r="C302" s="1" t="s">
        <v>32</v>
      </c>
      <c r="D302" s="1" t="s">
        <v>24</v>
      </c>
      <c r="E302" s="1" t="s">
        <v>47</v>
      </c>
      <c r="F302" s="1" t="s">
        <v>20</v>
      </c>
      <c r="G302" s="1">
        <v>55.0</v>
      </c>
      <c r="H302" s="1">
        <v>83.0</v>
      </c>
      <c r="I302" s="1">
        <v>80.0</v>
      </c>
      <c r="J302" s="1">
        <v>64.0</v>
      </c>
      <c r="K302" s="1">
        <v>64.0</v>
      </c>
      <c r="L302" s="1">
        <v>346.0</v>
      </c>
      <c r="M302" s="1">
        <v>69.2</v>
      </c>
      <c r="N302" s="1">
        <v>60.0</v>
      </c>
      <c r="O302" s="1" t="s">
        <v>21</v>
      </c>
    </row>
    <row r="303" ht="15.75" customHeight="1">
      <c r="A303" s="1" t="s">
        <v>525</v>
      </c>
      <c r="B303" s="1" t="s">
        <v>526</v>
      </c>
      <c r="C303" s="1" t="s">
        <v>17</v>
      </c>
      <c r="D303" s="1" t="s">
        <v>18</v>
      </c>
      <c r="E303" s="1" t="s">
        <v>25</v>
      </c>
      <c r="F303" s="1" t="s">
        <v>55</v>
      </c>
      <c r="G303" s="1">
        <v>97.0</v>
      </c>
      <c r="H303" s="1">
        <v>52.0</v>
      </c>
      <c r="I303" s="1">
        <v>98.0</v>
      </c>
      <c r="J303" s="1">
        <v>78.0</v>
      </c>
      <c r="K303" s="1">
        <v>63.0</v>
      </c>
      <c r="L303" s="1">
        <v>388.0</v>
      </c>
      <c r="M303" s="1">
        <v>77.6</v>
      </c>
      <c r="N303" s="1">
        <v>70.0</v>
      </c>
      <c r="O303" s="1" t="s">
        <v>21</v>
      </c>
    </row>
    <row r="304" ht="15.75" customHeight="1">
      <c r="A304" s="1" t="s">
        <v>527</v>
      </c>
      <c r="B304" s="1" t="s">
        <v>390</v>
      </c>
      <c r="C304" s="1" t="s">
        <v>17</v>
      </c>
      <c r="D304" s="1" t="s">
        <v>29</v>
      </c>
      <c r="E304" s="1" t="s">
        <v>25</v>
      </c>
      <c r="F304" s="1" t="s">
        <v>44</v>
      </c>
      <c r="G304" s="1">
        <v>41.0</v>
      </c>
      <c r="H304" s="1">
        <v>69.0</v>
      </c>
      <c r="I304" s="1">
        <v>58.0</v>
      </c>
      <c r="J304" s="1">
        <v>81.0</v>
      </c>
      <c r="K304" s="1">
        <v>53.0</v>
      </c>
      <c r="L304" s="1">
        <v>302.0</v>
      </c>
      <c r="M304" s="1">
        <v>60.4</v>
      </c>
      <c r="N304" s="1">
        <v>86.0</v>
      </c>
      <c r="O304" s="1" t="s">
        <v>21</v>
      </c>
    </row>
    <row r="305" ht="15.75" customHeight="1">
      <c r="A305" s="1" t="s">
        <v>528</v>
      </c>
      <c r="B305" s="1" t="s">
        <v>340</v>
      </c>
      <c r="C305" s="1" t="s">
        <v>32</v>
      </c>
      <c r="D305" s="1" t="s">
        <v>18</v>
      </c>
      <c r="E305" s="1" t="s">
        <v>19</v>
      </c>
      <c r="F305" s="1" t="s">
        <v>55</v>
      </c>
      <c r="G305" s="1">
        <v>53.0</v>
      </c>
      <c r="H305" s="1">
        <v>90.0</v>
      </c>
      <c r="I305" s="1">
        <v>91.0</v>
      </c>
      <c r="J305" s="1">
        <v>94.0</v>
      </c>
      <c r="K305" s="1">
        <v>80.0</v>
      </c>
      <c r="L305" s="1">
        <v>408.0</v>
      </c>
      <c r="M305" s="1">
        <v>81.6</v>
      </c>
      <c r="N305" s="1">
        <v>86.0</v>
      </c>
      <c r="O305" s="1" t="s">
        <v>21</v>
      </c>
    </row>
    <row r="306" ht="15.75" customHeight="1">
      <c r="A306" s="1" t="s">
        <v>529</v>
      </c>
      <c r="B306" s="1" t="s">
        <v>530</v>
      </c>
      <c r="C306" s="1" t="s">
        <v>32</v>
      </c>
      <c r="D306" s="1" t="s">
        <v>40</v>
      </c>
      <c r="E306" s="1" t="s">
        <v>25</v>
      </c>
      <c r="F306" s="1" t="s">
        <v>55</v>
      </c>
      <c r="G306" s="1">
        <v>69.0</v>
      </c>
      <c r="H306" s="1">
        <v>78.0</v>
      </c>
      <c r="I306" s="1">
        <v>64.0</v>
      </c>
      <c r="J306" s="1">
        <v>43.0</v>
      </c>
      <c r="K306" s="1">
        <v>52.0</v>
      </c>
      <c r="L306" s="1">
        <v>306.0</v>
      </c>
      <c r="M306" s="1">
        <v>61.2</v>
      </c>
      <c r="N306" s="1">
        <v>60.0</v>
      </c>
      <c r="O306" s="1" t="s">
        <v>21</v>
      </c>
    </row>
    <row r="307" ht="15.75" customHeight="1">
      <c r="A307" s="1" t="s">
        <v>531</v>
      </c>
      <c r="B307" s="1" t="s">
        <v>372</v>
      </c>
      <c r="C307" s="1" t="s">
        <v>32</v>
      </c>
      <c r="D307" s="1" t="s">
        <v>29</v>
      </c>
      <c r="E307" s="1" t="s">
        <v>47</v>
      </c>
      <c r="F307" s="1" t="s">
        <v>62</v>
      </c>
      <c r="G307" s="1">
        <v>69.0</v>
      </c>
      <c r="H307" s="1">
        <v>61.0</v>
      </c>
      <c r="I307" s="1">
        <v>74.0</v>
      </c>
      <c r="J307" s="1">
        <v>42.0</v>
      </c>
      <c r="K307" s="1">
        <v>94.0</v>
      </c>
      <c r="L307" s="1">
        <v>340.0</v>
      </c>
      <c r="M307" s="1">
        <v>68.0</v>
      </c>
      <c r="N307" s="1">
        <v>88.0</v>
      </c>
      <c r="O307" s="1" t="s">
        <v>21</v>
      </c>
    </row>
    <row r="308" ht="15.75" customHeight="1">
      <c r="A308" s="1" t="s">
        <v>532</v>
      </c>
      <c r="B308" s="1" t="s">
        <v>156</v>
      </c>
      <c r="C308" s="1" t="s">
        <v>32</v>
      </c>
      <c r="D308" s="1" t="s">
        <v>54</v>
      </c>
      <c r="E308" s="1" t="s">
        <v>47</v>
      </c>
      <c r="F308" s="1" t="s">
        <v>77</v>
      </c>
      <c r="G308" s="1">
        <v>59.0</v>
      </c>
      <c r="H308" s="1">
        <v>63.0</v>
      </c>
      <c r="I308" s="1">
        <v>80.0</v>
      </c>
      <c r="J308" s="1">
        <v>89.0</v>
      </c>
      <c r="K308" s="1">
        <v>90.0</v>
      </c>
      <c r="L308" s="1">
        <v>381.0</v>
      </c>
      <c r="M308" s="1">
        <v>76.2</v>
      </c>
      <c r="N308" s="1">
        <v>94.0</v>
      </c>
      <c r="O308" s="1" t="s">
        <v>21</v>
      </c>
    </row>
    <row r="309" ht="15.75" customHeight="1">
      <c r="A309" s="1" t="s">
        <v>533</v>
      </c>
      <c r="B309" s="1" t="s">
        <v>534</v>
      </c>
      <c r="C309" s="1" t="s">
        <v>17</v>
      </c>
      <c r="D309" s="1" t="s">
        <v>40</v>
      </c>
      <c r="E309" s="1" t="s">
        <v>19</v>
      </c>
      <c r="F309" s="1" t="s">
        <v>55</v>
      </c>
      <c r="G309" s="1">
        <v>93.0</v>
      </c>
      <c r="H309" s="1">
        <v>84.0</v>
      </c>
      <c r="I309" s="1">
        <v>63.0</v>
      </c>
      <c r="J309" s="1">
        <v>80.0</v>
      </c>
      <c r="K309" s="1">
        <v>76.0</v>
      </c>
      <c r="L309" s="1">
        <v>396.0</v>
      </c>
      <c r="M309" s="1">
        <v>79.2</v>
      </c>
      <c r="N309" s="1">
        <v>93.0</v>
      </c>
      <c r="O309" s="1" t="s">
        <v>21</v>
      </c>
    </row>
    <row r="310" ht="15.75" customHeight="1">
      <c r="A310" s="1" t="s">
        <v>535</v>
      </c>
      <c r="B310" s="1" t="s">
        <v>83</v>
      </c>
      <c r="C310" s="1" t="s">
        <v>32</v>
      </c>
      <c r="D310" s="1" t="s">
        <v>40</v>
      </c>
      <c r="E310" s="1" t="s">
        <v>25</v>
      </c>
      <c r="F310" s="1" t="s">
        <v>77</v>
      </c>
      <c r="G310" s="1">
        <v>98.0</v>
      </c>
      <c r="H310" s="1">
        <v>44.0</v>
      </c>
      <c r="I310" s="1">
        <v>94.0</v>
      </c>
      <c r="J310" s="1">
        <v>88.0</v>
      </c>
      <c r="K310" s="1">
        <v>59.0</v>
      </c>
      <c r="L310" s="1">
        <v>383.0</v>
      </c>
      <c r="M310" s="1">
        <v>76.6</v>
      </c>
      <c r="N310" s="1">
        <v>90.0</v>
      </c>
      <c r="O310" s="1" t="s">
        <v>21</v>
      </c>
    </row>
    <row r="311" ht="15.75" customHeight="1">
      <c r="A311" s="1" t="s">
        <v>536</v>
      </c>
      <c r="B311" s="1" t="s">
        <v>537</v>
      </c>
      <c r="C311" s="1" t="s">
        <v>17</v>
      </c>
      <c r="D311" s="1" t="s">
        <v>18</v>
      </c>
      <c r="E311" s="1" t="s">
        <v>19</v>
      </c>
      <c r="F311" s="1" t="s">
        <v>20</v>
      </c>
      <c r="G311" s="1">
        <v>71.0</v>
      </c>
      <c r="H311" s="1">
        <v>97.0</v>
      </c>
      <c r="I311" s="1">
        <v>89.0</v>
      </c>
      <c r="J311" s="1">
        <v>60.0</v>
      </c>
      <c r="K311" s="1">
        <v>84.0</v>
      </c>
      <c r="L311" s="1">
        <v>401.0</v>
      </c>
      <c r="M311" s="1">
        <v>80.2</v>
      </c>
      <c r="N311" s="1">
        <v>68.0</v>
      </c>
      <c r="O311" s="1" t="s">
        <v>21</v>
      </c>
    </row>
    <row r="312" ht="15.75" customHeight="1">
      <c r="A312" s="1" t="s">
        <v>538</v>
      </c>
      <c r="B312" s="1" t="s">
        <v>539</v>
      </c>
      <c r="C312" s="1" t="s">
        <v>32</v>
      </c>
      <c r="D312" s="1" t="s">
        <v>40</v>
      </c>
      <c r="E312" s="1" t="s">
        <v>19</v>
      </c>
      <c r="F312" s="1" t="s">
        <v>37</v>
      </c>
      <c r="G312" s="1">
        <v>49.0</v>
      </c>
      <c r="H312" s="1">
        <v>43.0</v>
      </c>
      <c r="I312" s="1">
        <v>55.0</v>
      </c>
      <c r="J312" s="1">
        <v>68.0</v>
      </c>
      <c r="K312" s="1">
        <v>52.0</v>
      </c>
      <c r="L312" s="1">
        <v>267.0</v>
      </c>
      <c r="M312" s="1">
        <v>53.4</v>
      </c>
      <c r="N312" s="1">
        <v>84.0</v>
      </c>
      <c r="O312" s="1" t="s">
        <v>21</v>
      </c>
    </row>
    <row r="313" ht="15.75" customHeight="1">
      <c r="A313" s="1" t="s">
        <v>540</v>
      </c>
      <c r="B313" s="1" t="s">
        <v>495</v>
      </c>
      <c r="C313" s="1" t="s">
        <v>32</v>
      </c>
      <c r="D313" s="1" t="s">
        <v>24</v>
      </c>
      <c r="E313" s="1" t="s">
        <v>47</v>
      </c>
      <c r="F313" s="1" t="s">
        <v>26</v>
      </c>
      <c r="G313" s="1">
        <v>80.0</v>
      </c>
      <c r="H313" s="1">
        <v>100.0</v>
      </c>
      <c r="I313" s="1">
        <v>92.0</v>
      </c>
      <c r="J313" s="1">
        <v>46.0</v>
      </c>
      <c r="K313" s="1">
        <v>87.0</v>
      </c>
      <c r="L313" s="1">
        <v>405.0</v>
      </c>
      <c r="M313" s="1">
        <v>81.0</v>
      </c>
      <c r="N313" s="1">
        <v>75.0</v>
      </c>
      <c r="O313" s="1" t="s">
        <v>21</v>
      </c>
    </row>
    <row r="314" ht="15.75" customHeight="1">
      <c r="A314" s="1" t="s">
        <v>541</v>
      </c>
      <c r="B314" s="1" t="s">
        <v>270</v>
      </c>
      <c r="C314" s="1" t="s">
        <v>32</v>
      </c>
      <c r="D314" s="1" t="s">
        <v>24</v>
      </c>
      <c r="E314" s="1" t="s">
        <v>47</v>
      </c>
      <c r="F314" s="1" t="s">
        <v>77</v>
      </c>
      <c r="G314" s="1">
        <v>94.0</v>
      </c>
      <c r="H314" s="1">
        <v>67.0</v>
      </c>
      <c r="I314" s="1">
        <v>41.0</v>
      </c>
      <c r="J314" s="1">
        <v>48.0</v>
      </c>
      <c r="K314" s="1">
        <v>45.0</v>
      </c>
      <c r="L314" s="1">
        <v>295.0</v>
      </c>
      <c r="M314" s="1">
        <v>59.0</v>
      </c>
      <c r="N314" s="1">
        <v>91.0</v>
      </c>
      <c r="O314" s="1" t="s">
        <v>21</v>
      </c>
    </row>
    <row r="315" ht="15.75" customHeight="1">
      <c r="A315" s="1" t="s">
        <v>542</v>
      </c>
      <c r="B315" s="1" t="s">
        <v>471</v>
      </c>
      <c r="C315" s="1" t="s">
        <v>32</v>
      </c>
      <c r="D315" s="1" t="s">
        <v>18</v>
      </c>
      <c r="E315" s="1" t="s">
        <v>25</v>
      </c>
      <c r="F315" s="1" t="s">
        <v>44</v>
      </c>
      <c r="G315" s="1">
        <v>80.0</v>
      </c>
      <c r="H315" s="1">
        <v>96.0</v>
      </c>
      <c r="I315" s="1">
        <v>49.0</v>
      </c>
      <c r="J315" s="1">
        <v>98.0</v>
      </c>
      <c r="K315" s="1">
        <v>97.0</v>
      </c>
      <c r="L315" s="1">
        <v>420.0</v>
      </c>
      <c r="M315" s="1">
        <v>84.0</v>
      </c>
      <c r="N315" s="1">
        <v>85.0</v>
      </c>
      <c r="O315" s="1" t="s">
        <v>21</v>
      </c>
    </row>
    <row r="316" ht="15.75" customHeight="1">
      <c r="A316" s="1" t="s">
        <v>543</v>
      </c>
      <c r="B316" s="1" t="s">
        <v>206</v>
      </c>
      <c r="C316" s="1" t="s">
        <v>32</v>
      </c>
      <c r="D316" s="1" t="s">
        <v>40</v>
      </c>
      <c r="E316" s="1" t="s">
        <v>25</v>
      </c>
      <c r="F316" s="1" t="s">
        <v>41</v>
      </c>
      <c r="G316" s="1">
        <v>54.0</v>
      </c>
      <c r="H316" s="1">
        <v>60.0</v>
      </c>
      <c r="I316" s="1">
        <v>74.0</v>
      </c>
      <c r="J316" s="1">
        <v>49.0</v>
      </c>
      <c r="K316" s="1">
        <v>79.0</v>
      </c>
      <c r="L316" s="1">
        <v>316.0</v>
      </c>
      <c r="M316" s="1">
        <v>63.2</v>
      </c>
      <c r="N316" s="1">
        <v>86.0</v>
      </c>
      <c r="O316" s="1" t="s">
        <v>21</v>
      </c>
    </row>
    <row r="317" ht="15.75" customHeight="1">
      <c r="A317" s="1" t="s">
        <v>544</v>
      </c>
      <c r="B317" s="1" t="s">
        <v>545</v>
      </c>
      <c r="C317" s="1" t="s">
        <v>32</v>
      </c>
      <c r="D317" s="1" t="s">
        <v>40</v>
      </c>
      <c r="E317" s="1" t="s">
        <v>47</v>
      </c>
      <c r="F317" s="1" t="s">
        <v>55</v>
      </c>
      <c r="G317" s="1">
        <v>74.0</v>
      </c>
      <c r="H317" s="1">
        <v>76.0</v>
      </c>
      <c r="I317" s="1">
        <v>78.0</v>
      </c>
      <c r="J317" s="1">
        <v>54.0</v>
      </c>
      <c r="K317" s="1">
        <v>52.0</v>
      </c>
      <c r="L317" s="1">
        <v>334.0</v>
      </c>
      <c r="M317" s="1">
        <v>66.8</v>
      </c>
      <c r="N317" s="1">
        <v>62.0</v>
      </c>
      <c r="O317" s="1" t="s">
        <v>21</v>
      </c>
    </row>
    <row r="318" ht="15.75" customHeight="1">
      <c r="A318" s="1" t="s">
        <v>546</v>
      </c>
      <c r="B318" s="1" t="s">
        <v>178</v>
      </c>
      <c r="C318" s="1" t="s">
        <v>17</v>
      </c>
      <c r="D318" s="1" t="s">
        <v>29</v>
      </c>
      <c r="E318" s="1" t="s">
        <v>19</v>
      </c>
      <c r="F318" s="1" t="s">
        <v>44</v>
      </c>
      <c r="G318" s="1">
        <v>78.0</v>
      </c>
      <c r="H318" s="1">
        <v>65.0</v>
      </c>
      <c r="I318" s="1">
        <v>43.0</v>
      </c>
      <c r="J318" s="1">
        <v>82.0</v>
      </c>
      <c r="K318" s="1">
        <v>75.0</v>
      </c>
      <c r="L318" s="1">
        <v>343.0</v>
      </c>
      <c r="M318" s="1">
        <v>68.6</v>
      </c>
      <c r="N318" s="1">
        <v>94.0</v>
      </c>
      <c r="O318" s="1" t="s">
        <v>21</v>
      </c>
    </row>
    <row r="319" ht="15.75" customHeight="1">
      <c r="A319" s="1" t="s">
        <v>547</v>
      </c>
      <c r="B319" s="1" t="s">
        <v>548</v>
      </c>
      <c r="C319" s="1" t="s">
        <v>32</v>
      </c>
      <c r="D319" s="1" t="s">
        <v>18</v>
      </c>
      <c r="E319" s="1" t="s">
        <v>19</v>
      </c>
      <c r="F319" s="1" t="s">
        <v>20</v>
      </c>
      <c r="G319" s="1">
        <v>71.0</v>
      </c>
      <c r="H319" s="1">
        <v>71.0</v>
      </c>
      <c r="I319" s="1">
        <v>83.0</v>
      </c>
      <c r="J319" s="1">
        <v>61.0</v>
      </c>
      <c r="K319" s="1">
        <v>52.0</v>
      </c>
      <c r="L319" s="1">
        <v>338.0</v>
      </c>
      <c r="M319" s="1">
        <v>67.6</v>
      </c>
      <c r="N319" s="1">
        <v>82.0</v>
      </c>
      <c r="O319" s="1" t="s">
        <v>21</v>
      </c>
    </row>
    <row r="320" ht="15.75" customHeight="1">
      <c r="A320" s="1" t="s">
        <v>549</v>
      </c>
      <c r="B320" s="1" t="s">
        <v>550</v>
      </c>
      <c r="C320" s="1" t="s">
        <v>32</v>
      </c>
      <c r="D320" s="1" t="s">
        <v>18</v>
      </c>
      <c r="E320" s="1" t="s">
        <v>25</v>
      </c>
      <c r="F320" s="1" t="s">
        <v>20</v>
      </c>
      <c r="G320" s="1">
        <v>43.0</v>
      </c>
      <c r="H320" s="1">
        <v>91.0</v>
      </c>
      <c r="I320" s="1">
        <v>70.0</v>
      </c>
      <c r="J320" s="1">
        <v>69.0</v>
      </c>
      <c r="K320" s="1">
        <v>93.0</v>
      </c>
      <c r="L320" s="1">
        <v>366.0</v>
      </c>
      <c r="M320" s="1">
        <v>73.2</v>
      </c>
      <c r="N320" s="1">
        <v>90.0</v>
      </c>
      <c r="O320" s="1" t="s">
        <v>21</v>
      </c>
    </row>
    <row r="321" ht="15.75" customHeight="1">
      <c r="A321" s="1" t="s">
        <v>551</v>
      </c>
      <c r="B321" s="1" t="s">
        <v>383</v>
      </c>
      <c r="C321" s="1" t="s">
        <v>17</v>
      </c>
      <c r="D321" s="1" t="s">
        <v>24</v>
      </c>
      <c r="E321" s="1" t="s">
        <v>19</v>
      </c>
      <c r="F321" s="1" t="s">
        <v>77</v>
      </c>
      <c r="G321" s="1">
        <v>90.0</v>
      </c>
      <c r="H321" s="1">
        <v>66.0</v>
      </c>
      <c r="I321" s="1">
        <v>52.0</v>
      </c>
      <c r="J321" s="1">
        <v>88.0</v>
      </c>
      <c r="K321" s="1">
        <v>65.0</v>
      </c>
      <c r="L321" s="1">
        <v>361.0</v>
      </c>
      <c r="M321" s="1">
        <v>72.2</v>
      </c>
      <c r="N321" s="1">
        <v>85.0</v>
      </c>
      <c r="O321" s="1" t="s">
        <v>21</v>
      </c>
    </row>
    <row r="322" ht="15.75" customHeight="1">
      <c r="A322" s="1" t="s">
        <v>552</v>
      </c>
      <c r="B322" s="1" t="s">
        <v>545</v>
      </c>
      <c r="C322" s="1" t="s">
        <v>17</v>
      </c>
      <c r="D322" s="1" t="s">
        <v>40</v>
      </c>
      <c r="E322" s="1" t="s">
        <v>19</v>
      </c>
      <c r="F322" s="1" t="s">
        <v>26</v>
      </c>
      <c r="G322" s="1">
        <v>100.0</v>
      </c>
      <c r="H322" s="1">
        <v>55.0</v>
      </c>
      <c r="I322" s="1">
        <v>91.0</v>
      </c>
      <c r="J322" s="1">
        <v>42.0</v>
      </c>
      <c r="K322" s="1">
        <v>73.0</v>
      </c>
      <c r="L322" s="1">
        <v>361.0</v>
      </c>
      <c r="M322" s="1">
        <v>72.2</v>
      </c>
      <c r="N322" s="1">
        <v>83.0</v>
      </c>
      <c r="O322" s="1" t="s">
        <v>21</v>
      </c>
    </row>
    <row r="323" ht="15.75" customHeight="1">
      <c r="A323" s="1" t="s">
        <v>553</v>
      </c>
      <c r="B323" s="1" t="s">
        <v>372</v>
      </c>
      <c r="C323" s="1" t="s">
        <v>32</v>
      </c>
      <c r="D323" s="1" t="s">
        <v>24</v>
      </c>
      <c r="E323" s="1" t="s">
        <v>19</v>
      </c>
      <c r="F323" s="1" t="s">
        <v>41</v>
      </c>
      <c r="G323" s="1">
        <v>71.0</v>
      </c>
      <c r="H323" s="1">
        <v>59.0</v>
      </c>
      <c r="I323" s="1">
        <v>90.0</v>
      </c>
      <c r="J323" s="1">
        <v>68.0</v>
      </c>
      <c r="K323" s="1">
        <v>66.0</v>
      </c>
      <c r="L323" s="1">
        <v>354.0</v>
      </c>
      <c r="M323" s="1">
        <v>70.8</v>
      </c>
      <c r="N323" s="1">
        <v>83.0</v>
      </c>
      <c r="O323" s="1" t="s">
        <v>21</v>
      </c>
    </row>
    <row r="324" ht="15.75" customHeight="1">
      <c r="A324" s="1" t="s">
        <v>554</v>
      </c>
      <c r="B324" s="1" t="s">
        <v>72</v>
      </c>
      <c r="C324" s="1" t="s">
        <v>32</v>
      </c>
      <c r="D324" s="1" t="s">
        <v>40</v>
      </c>
      <c r="E324" s="1" t="s">
        <v>19</v>
      </c>
      <c r="F324" s="1" t="s">
        <v>77</v>
      </c>
      <c r="G324" s="1">
        <v>51.0</v>
      </c>
      <c r="H324" s="1">
        <v>65.0</v>
      </c>
      <c r="I324" s="1">
        <v>50.0</v>
      </c>
      <c r="J324" s="1">
        <v>43.0</v>
      </c>
      <c r="K324" s="1">
        <v>72.0</v>
      </c>
      <c r="L324" s="1">
        <v>281.0</v>
      </c>
      <c r="M324" s="1">
        <v>56.2</v>
      </c>
      <c r="N324" s="1">
        <v>77.0</v>
      </c>
      <c r="O324" s="1" t="s">
        <v>21</v>
      </c>
    </row>
    <row r="325" ht="15.75" customHeight="1">
      <c r="A325" s="1" t="s">
        <v>555</v>
      </c>
      <c r="B325" s="1" t="s">
        <v>556</v>
      </c>
      <c r="C325" s="1" t="s">
        <v>17</v>
      </c>
      <c r="D325" s="1" t="s">
        <v>54</v>
      </c>
      <c r="E325" s="1" t="s">
        <v>25</v>
      </c>
      <c r="F325" s="1" t="s">
        <v>20</v>
      </c>
      <c r="G325" s="1">
        <v>71.0</v>
      </c>
      <c r="H325" s="1">
        <v>85.0</v>
      </c>
      <c r="I325" s="1">
        <v>63.0</v>
      </c>
      <c r="J325" s="1">
        <v>44.0</v>
      </c>
      <c r="K325" s="1">
        <v>89.0</v>
      </c>
      <c r="L325" s="1">
        <v>352.0</v>
      </c>
      <c r="M325" s="1">
        <v>70.4</v>
      </c>
      <c r="N325" s="1">
        <v>88.0</v>
      </c>
      <c r="O325" s="1" t="s">
        <v>21</v>
      </c>
    </row>
    <row r="326" ht="15.75" customHeight="1">
      <c r="A326" s="1" t="s">
        <v>557</v>
      </c>
      <c r="B326" s="1" t="s">
        <v>516</v>
      </c>
      <c r="C326" s="1" t="s">
        <v>32</v>
      </c>
      <c r="D326" s="1" t="s">
        <v>40</v>
      </c>
      <c r="E326" s="1" t="s">
        <v>47</v>
      </c>
      <c r="F326" s="1" t="s">
        <v>44</v>
      </c>
      <c r="G326" s="1">
        <v>80.0</v>
      </c>
      <c r="H326" s="1">
        <v>96.0</v>
      </c>
      <c r="I326" s="1">
        <v>51.0</v>
      </c>
      <c r="J326" s="1">
        <v>91.0</v>
      </c>
      <c r="K326" s="1">
        <v>89.0</v>
      </c>
      <c r="L326" s="1">
        <v>407.0</v>
      </c>
      <c r="M326" s="1">
        <v>81.4</v>
      </c>
      <c r="N326" s="1">
        <v>68.0</v>
      </c>
      <c r="O326" s="1" t="s">
        <v>21</v>
      </c>
    </row>
    <row r="327" ht="15.75" customHeight="1">
      <c r="A327" s="1" t="s">
        <v>558</v>
      </c>
      <c r="B327" s="1" t="s">
        <v>139</v>
      </c>
      <c r="C327" s="1" t="s">
        <v>17</v>
      </c>
      <c r="D327" s="1" t="s">
        <v>54</v>
      </c>
      <c r="E327" s="1" t="s">
        <v>19</v>
      </c>
      <c r="F327" s="1" t="s">
        <v>77</v>
      </c>
      <c r="G327" s="1">
        <v>63.0</v>
      </c>
      <c r="H327" s="1">
        <v>40.0</v>
      </c>
      <c r="I327" s="1">
        <v>40.0</v>
      </c>
      <c r="J327" s="1">
        <v>62.0</v>
      </c>
      <c r="K327" s="1">
        <v>96.0</v>
      </c>
      <c r="L327" s="1">
        <v>301.0</v>
      </c>
      <c r="M327" s="1">
        <v>60.2</v>
      </c>
      <c r="N327" s="1">
        <v>83.0</v>
      </c>
      <c r="O327" s="1" t="s">
        <v>21</v>
      </c>
    </row>
    <row r="328" ht="15.75" customHeight="1">
      <c r="A328" s="1" t="s">
        <v>559</v>
      </c>
      <c r="B328" s="1" t="s">
        <v>455</v>
      </c>
      <c r="C328" s="1" t="s">
        <v>17</v>
      </c>
      <c r="D328" s="1" t="s">
        <v>54</v>
      </c>
      <c r="E328" s="1" t="s">
        <v>19</v>
      </c>
      <c r="F328" s="1" t="s">
        <v>77</v>
      </c>
      <c r="G328" s="1">
        <v>67.0</v>
      </c>
      <c r="H328" s="1">
        <v>56.0</v>
      </c>
      <c r="I328" s="1">
        <v>45.0</v>
      </c>
      <c r="J328" s="1">
        <v>71.0</v>
      </c>
      <c r="K328" s="1">
        <v>100.0</v>
      </c>
      <c r="L328" s="1">
        <v>339.0</v>
      </c>
      <c r="M328" s="1">
        <v>67.8</v>
      </c>
      <c r="N328" s="1">
        <v>75.0</v>
      </c>
      <c r="O328" s="1" t="s">
        <v>21</v>
      </c>
    </row>
    <row r="329" ht="15.75" customHeight="1">
      <c r="A329" s="1" t="s">
        <v>560</v>
      </c>
      <c r="B329" s="1" t="s">
        <v>561</v>
      </c>
      <c r="C329" s="1" t="s">
        <v>17</v>
      </c>
      <c r="D329" s="1" t="s">
        <v>29</v>
      </c>
      <c r="E329" s="1" t="s">
        <v>25</v>
      </c>
      <c r="F329" s="1" t="s">
        <v>41</v>
      </c>
      <c r="G329" s="1">
        <v>94.0</v>
      </c>
      <c r="H329" s="1">
        <v>79.0</v>
      </c>
      <c r="I329" s="1">
        <v>86.0</v>
      </c>
      <c r="J329" s="1">
        <v>71.0</v>
      </c>
      <c r="K329" s="1">
        <v>58.0</v>
      </c>
      <c r="L329" s="1">
        <v>388.0</v>
      </c>
      <c r="M329" s="1">
        <v>77.6</v>
      </c>
      <c r="N329" s="1">
        <v>66.0</v>
      </c>
      <c r="O329" s="1" t="s">
        <v>21</v>
      </c>
    </row>
    <row r="330" ht="15.75" customHeight="1">
      <c r="A330" s="1" t="s">
        <v>562</v>
      </c>
      <c r="B330" s="1" t="s">
        <v>463</v>
      </c>
      <c r="C330" s="1" t="s">
        <v>32</v>
      </c>
      <c r="D330" s="1" t="s">
        <v>40</v>
      </c>
      <c r="E330" s="1" t="s">
        <v>19</v>
      </c>
      <c r="F330" s="1" t="s">
        <v>20</v>
      </c>
      <c r="G330" s="1">
        <v>67.0</v>
      </c>
      <c r="H330" s="1">
        <v>41.0</v>
      </c>
      <c r="I330" s="1">
        <v>98.0</v>
      </c>
      <c r="J330" s="1">
        <v>67.0</v>
      </c>
      <c r="K330" s="1">
        <v>86.0</v>
      </c>
      <c r="L330" s="1">
        <v>359.0</v>
      </c>
      <c r="M330" s="1">
        <v>71.8</v>
      </c>
      <c r="N330" s="1">
        <v>68.0</v>
      </c>
      <c r="O330" s="1" t="s">
        <v>21</v>
      </c>
    </row>
    <row r="331" ht="15.75" customHeight="1">
      <c r="A331" s="1" t="s">
        <v>563</v>
      </c>
      <c r="B331" s="1" t="s">
        <v>564</v>
      </c>
      <c r="C331" s="1" t="s">
        <v>32</v>
      </c>
      <c r="D331" s="1" t="s">
        <v>54</v>
      </c>
      <c r="E331" s="1" t="s">
        <v>25</v>
      </c>
      <c r="F331" s="1" t="s">
        <v>20</v>
      </c>
      <c r="G331" s="1">
        <v>56.0</v>
      </c>
      <c r="H331" s="1">
        <v>59.0</v>
      </c>
      <c r="I331" s="1">
        <v>57.0</v>
      </c>
      <c r="J331" s="1">
        <v>85.0</v>
      </c>
      <c r="K331" s="1">
        <v>87.0</v>
      </c>
      <c r="L331" s="1">
        <v>344.0</v>
      </c>
      <c r="M331" s="1">
        <v>68.8</v>
      </c>
      <c r="N331" s="1">
        <v>73.0</v>
      </c>
      <c r="O331" s="1" t="s">
        <v>21</v>
      </c>
    </row>
    <row r="332" ht="15.75" customHeight="1">
      <c r="A332" s="1" t="s">
        <v>565</v>
      </c>
      <c r="B332" s="1" t="s">
        <v>111</v>
      </c>
      <c r="C332" s="1" t="s">
        <v>32</v>
      </c>
      <c r="D332" s="1" t="s">
        <v>18</v>
      </c>
      <c r="E332" s="1" t="s">
        <v>25</v>
      </c>
      <c r="F332" s="1" t="s">
        <v>41</v>
      </c>
      <c r="G332" s="1">
        <v>72.0</v>
      </c>
      <c r="H332" s="1">
        <v>58.0</v>
      </c>
      <c r="I332" s="1">
        <v>62.0</v>
      </c>
      <c r="J332" s="1">
        <v>44.0</v>
      </c>
      <c r="K332" s="1">
        <v>57.0</v>
      </c>
      <c r="L332" s="1">
        <v>293.0</v>
      </c>
      <c r="M332" s="1">
        <v>58.6</v>
      </c>
      <c r="N332" s="1">
        <v>80.0</v>
      </c>
      <c r="O332" s="1" t="s">
        <v>21</v>
      </c>
    </row>
    <row r="333" ht="15.75" customHeight="1">
      <c r="A333" s="1" t="s">
        <v>566</v>
      </c>
      <c r="B333" s="1" t="s">
        <v>311</v>
      </c>
      <c r="C333" s="1" t="s">
        <v>17</v>
      </c>
      <c r="D333" s="1" t="s">
        <v>24</v>
      </c>
      <c r="E333" s="1" t="s">
        <v>19</v>
      </c>
      <c r="F333" s="1" t="s">
        <v>41</v>
      </c>
      <c r="G333" s="1">
        <v>47.0</v>
      </c>
      <c r="H333" s="1">
        <v>67.0</v>
      </c>
      <c r="I333" s="1">
        <v>64.0</v>
      </c>
      <c r="J333" s="1">
        <v>88.0</v>
      </c>
      <c r="K333" s="1">
        <v>75.0</v>
      </c>
      <c r="L333" s="1">
        <v>341.0</v>
      </c>
      <c r="M333" s="1">
        <v>68.2</v>
      </c>
      <c r="N333" s="1">
        <v>96.0</v>
      </c>
      <c r="O333" s="1" t="s">
        <v>21</v>
      </c>
    </row>
    <row r="334" ht="15.75" customHeight="1">
      <c r="A334" s="1" t="s">
        <v>567</v>
      </c>
      <c r="B334" s="1" t="s">
        <v>43</v>
      </c>
      <c r="C334" s="1" t="s">
        <v>32</v>
      </c>
      <c r="D334" s="1" t="s">
        <v>18</v>
      </c>
      <c r="E334" s="1" t="s">
        <v>25</v>
      </c>
      <c r="F334" s="1" t="s">
        <v>77</v>
      </c>
      <c r="G334" s="1">
        <v>45.0</v>
      </c>
      <c r="H334" s="1">
        <v>47.0</v>
      </c>
      <c r="I334" s="1">
        <v>93.0</v>
      </c>
      <c r="J334" s="1">
        <v>50.0</v>
      </c>
      <c r="K334" s="1">
        <v>82.0</v>
      </c>
      <c r="L334" s="1">
        <v>317.0</v>
      </c>
      <c r="M334" s="1">
        <v>63.4</v>
      </c>
      <c r="N334" s="1">
        <v>99.0</v>
      </c>
      <c r="O334" s="1" t="s">
        <v>21</v>
      </c>
    </row>
    <row r="335" ht="15.75" customHeight="1">
      <c r="A335" s="1" t="s">
        <v>568</v>
      </c>
      <c r="B335" s="1" t="s">
        <v>320</v>
      </c>
      <c r="C335" s="1" t="s">
        <v>17</v>
      </c>
      <c r="D335" s="1" t="s">
        <v>18</v>
      </c>
      <c r="E335" s="1" t="s">
        <v>25</v>
      </c>
      <c r="F335" s="1" t="s">
        <v>44</v>
      </c>
      <c r="G335" s="1">
        <v>84.0</v>
      </c>
      <c r="H335" s="1">
        <v>85.0</v>
      </c>
      <c r="I335" s="1">
        <v>48.0</v>
      </c>
      <c r="J335" s="1">
        <v>72.0</v>
      </c>
      <c r="K335" s="1">
        <v>90.0</v>
      </c>
      <c r="L335" s="1">
        <v>379.0</v>
      </c>
      <c r="M335" s="1">
        <v>75.8</v>
      </c>
      <c r="N335" s="1">
        <v>81.0</v>
      </c>
      <c r="O335" s="1" t="s">
        <v>21</v>
      </c>
    </row>
    <row r="336" ht="15.75" customHeight="1">
      <c r="A336" s="1" t="s">
        <v>569</v>
      </c>
      <c r="B336" s="1" t="s">
        <v>570</v>
      </c>
      <c r="C336" s="1" t="s">
        <v>32</v>
      </c>
      <c r="D336" s="1" t="s">
        <v>18</v>
      </c>
      <c r="E336" s="1" t="s">
        <v>25</v>
      </c>
      <c r="F336" s="1" t="s">
        <v>55</v>
      </c>
      <c r="G336" s="1">
        <v>71.0</v>
      </c>
      <c r="H336" s="1">
        <v>42.0</v>
      </c>
      <c r="I336" s="1">
        <v>85.0</v>
      </c>
      <c r="J336" s="1">
        <v>81.0</v>
      </c>
      <c r="K336" s="1">
        <v>66.0</v>
      </c>
      <c r="L336" s="1">
        <v>345.0</v>
      </c>
      <c r="M336" s="1">
        <v>69.0</v>
      </c>
      <c r="N336" s="1">
        <v>100.0</v>
      </c>
      <c r="O336" s="1" t="s">
        <v>21</v>
      </c>
    </row>
    <row r="337" ht="15.75" customHeight="1">
      <c r="A337" s="1" t="s">
        <v>571</v>
      </c>
      <c r="B337" s="1" t="s">
        <v>572</v>
      </c>
      <c r="C337" s="1" t="s">
        <v>32</v>
      </c>
      <c r="D337" s="1" t="s">
        <v>24</v>
      </c>
      <c r="E337" s="1" t="s">
        <v>19</v>
      </c>
      <c r="F337" s="1" t="s">
        <v>55</v>
      </c>
      <c r="G337" s="1">
        <v>94.0</v>
      </c>
      <c r="H337" s="1">
        <v>95.0</v>
      </c>
      <c r="I337" s="1">
        <v>80.0</v>
      </c>
      <c r="J337" s="1">
        <v>71.0</v>
      </c>
      <c r="K337" s="1">
        <v>91.0</v>
      </c>
      <c r="L337" s="1">
        <v>431.0</v>
      </c>
      <c r="M337" s="1">
        <v>86.2</v>
      </c>
      <c r="N337" s="1">
        <v>95.0</v>
      </c>
      <c r="O337" s="1" t="s">
        <v>21</v>
      </c>
    </row>
    <row r="338" ht="15.75" customHeight="1">
      <c r="A338" s="1" t="s">
        <v>573</v>
      </c>
      <c r="B338" s="1" t="s">
        <v>139</v>
      </c>
      <c r="C338" s="1" t="s">
        <v>32</v>
      </c>
      <c r="D338" s="1" t="s">
        <v>18</v>
      </c>
      <c r="E338" s="1" t="s">
        <v>47</v>
      </c>
      <c r="F338" s="1" t="s">
        <v>20</v>
      </c>
      <c r="G338" s="1">
        <v>77.0</v>
      </c>
      <c r="H338" s="1">
        <v>55.0</v>
      </c>
      <c r="I338" s="1">
        <v>78.0</v>
      </c>
      <c r="J338" s="1">
        <v>74.0</v>
      </c>
      <c r="K338" s="1">
        <v>90.0</v>
      </c>
      <c r="L338" s="1">
        <v>374.0</v>
      </c>
      <c r="M338" s="1">
        <v>74.8</v>
      </c>
      <c r="N338" s="1">
        <v>62.0</v>
      </c>
      <c r="O338" s="1" t="s">
        <v>21</v>
      </c>
    </row>
    <row r="339" ht="15.75" customHeight="1">
      <c r="A339" s="1" t="s">
        <v>574</v>
      </c>
      <c r="B339" s="1" t="s">
        <v>96</v>
      </c>
      <c r="C339" s="1" t="s">
        <v>17</v>
      </c>
      <c r="D339" s="1" t="s">
        <v>40</v>
      </c>
      <c r="E339" s="1" t="s">
        <v>25</v>
      </c>
      <c r="F339" s="1" t="s">
        <v>37</v>
      </c>
      <c r="G339" s="1">
        <v>47.0</v>
      </c>
      <c r="H339" s="1">
        <v>84.0</v>
      </c>
      <c r="I339" s="1">
        <v>99.0</v>
      </c>
      <c r="J339" s="1">
        <v>58.0</v>
      </c>
      <c r="K339" s="1">
        <v>62.0</v>
      </c>
      <c r="L339" s="1">
        <v>350.0</v>
      </c>
      <c r="M339" s="1">
        <v>70.0</v>
      </c>
      <c r="N339" s="1">
        <v>89.0</v>
      </c>
      <c r="O339" s="1" t="s">
        <v>21</v>
      </c>
    </row>
    <row r="340" ht="15.75" customHeight="1">
      <c r="A340" s="1" t="s">
        <v>575</v>
      </c>
      <c r="B340" s="1" t="s">
        <v>576</v>
      </c>
      <c r="C340" s="1" t="s">
        <v>32</v>
      </c>
      <c r="D340" s="1" t="s">
        <v>24</v>
      </c>
      <c r="E340" s="1" t="s">
        <v>19</v>
      </c>
      <c r="F340" s="1" t="s">
        <v>55</v>
      </c>
      <c r="G340" s="1">
        <v>62.0</v>
      </c>
      <c r="H340" s="1">
        <v>44.0</v>
      </c>
      <c r="I340" s="1">
        <v>90.0</v>
      </c>
      <c r="J340" s="1">
        <v>77.0</v>
      </c>
      <c r="K340" s="1">
        <v>57.0</v>
      </c>
      <c r="L340" s="1">
        <v>330.0</v>
      </c>
      <c r="M340" s="1">
        <v>66.0</v>
      </c>
      <c r="N340" s="1">
        <v>76.0</v>
      </c>
      <c r="O340" s="1" t="s">
        <v>21</v>
      </c>
    </row>
    <row r="341" ht="15.75" customHeight="1">
      <c r="A341" s="1" t="s">
        <v>577</v>
      </c>
      <c r="B341" s="1" t="s">
        <v>556</v>
      </c>
      <c r="C341" s="1" t="s">
        <v>32</v>
      </c>
      <c r="D341" s="1" t="s">
        <v>18</v>
      </c>
      <c r="E341" s="1" t="s">
        <v>25</v>
      </c>
      <c r="F341" s="1" t="s">
        <v>77</v>
      </c>
      <c r="G341" s="1">
        <v>82.0</v>
      </c>
      <c r="H341" s="1">
        <v>44.0</v>
      </c>
      <c r="I341" s="1">
        <v>50.0</v>
      </c>
      <c r="J341" s="1">
        <v>48.0</v>
      </c>
      <c r="K341" s="1">
        <v>92.0</v>
      </c>
      <c r="L341" s="1">
        <v>316.0</v>
      </c>
      <c r="M341" s="1">
        <v>63.2</v>
      </c>
      <c r="N341" s="1">
        <v>89.0</v>
      </c>
      <c r="O341" s="1" t="s">
        <v>21</v>
      </c>
    </row>
    <row r="342" ht="15.75" customHeight="1">
      <c r="A342" s="1" t="s">
        <v>578</v>
      </c>
      <c r="B342" s="1" t="s">
        <v>16</v>
      </c>
      <c r="C342" s="1" t="s">
        <v>17</v>
      </c>
      <c r="D342" s="1" t="s">
        <v>18</v>
      </c>
      <c r="E342" s="1" t="s">
        <v>19</v>
      </c>
      <c r="F342" s="1" t="s">
        <v>37</v>
      </c>
      <c r="G342" s="1">
        <v>67.0</v>
      </c>
      <c r="H342" s="1">
        <v>85.0</v>
      </c>
      <c r="I342" s="1">
        <v>96.0</v>
      </c>
      <c r="J342" s="1">
        <v>69.0</v>
      </c>
      <c r="K342" s="1">
        <v>59.0</v>
      </c>
      <c r="L342" s="1">
        <v>376.0</v>
      </c>
      <c r="M342" s="1">
        <v>75.2</v>
      </c>
      <c r="N342" s="1">
        <v>100.0</v>
      </c>
      <c r="O342" s="1" t="s">
        <v>21</v>
      </c>
    </row>
    <row r="343" ht="15.75" customHeight="1">
      <c r="A343" s="1" t="s">
        <v>579</v>
      </c>
      <c r="B343" s="1" t="s">
        <v>580</v>
      </c>
      <c r="C343" s="1" t="s">
        <v>32</v>
      </c>
      <c r="D343" s="1" t="s">
        <v>54</v>
      </c>
      <c r="E343" s="1" t="s">
        <v>19</v>
      </c>
      <c r="F343" s="1" t="s">
        <v>77</v>
      </c>
      <c r="G343" s="1">
        <v>41.0</v>
      </c>
      <c r="H343" s="1">
        <v>56.0</v>
      </c>
      <c r="I343" s="1">
        <v>99.0</v>
      </c>
      <c r="J343" s="1">
        <v>58.0</v>
      </c>
      <c r="K343" s="1">
        <v>97.0</v>
      </c>
      <c r="L343" s="1">
        <v>351.0</v>
      </c>
      <c r="M343" s="1">
        <v>70.2</v>
      </c>
      <c r="N343" s="1">
        <v>75.0</v>
      </c>
      <c r="O343" s="1" t="s">
        <v>21</v>
      </c>
    </row>
    <row r="344" ht="15.75" customHeight="1">
      <c r="A344" s="1" t="s">
        <v>581</v>
      </c>
      <c r="B344" s="1" t="s">
        <v>582</v>
      </c>
      <c r="C344" s="1" t="s">
        <v>32</v>
      </c>
      <c r="D344" s="1" t="s">
        <v>18</v>
      </c>
      <c r="E344" s="1" t="s">
        <v>47</v>
      </c>
      <c r="F344" s="1" t="s">
        <v>77</v>
      </c>
      <c r="G344" s="1">
        <v>79.0</v>
      </c>
      <c r="H344" s="1">
        <v>52.0</v>
      </c>
      <c r="I344" s="1">
        <v>100.0</v>
      </c>
      <c r="J344" s="1">
        <v>73.0</v>
      </c>
      <c r="K344" s="1">
        <v>49.0</v>
      </c>
      <c r="L344" s="1">
        <v>353.0</v>
      </c>
      <c r="M344" s="1">
        <v>70.6</v>
      </c>
      <c r="N344" s="1">
        <v>89.0</v>
      </c>
      <c r="O344" s="1" t="s">
        <v>21</v>
      </c>
    </row>
    <row r="345" ht="15.75" customHeight="1">
      <c r="A345" s="1" t="s">
        <v>583</v>
      </c>
      <c r="B345" s="1" t="s">
        <v>223</v>
      </c>
      <c r="C345" s="1" t="s">
        <v>32</v>
      </c>
      <c r="D345" s="1" t="s">
        <v>54</v>
      </c>
      <c r="E345" s="1" t="s">
        <v>19</v>
      </c>
      <c r="F345" s="1" t="s">
        <v>62</v>
      </c>
      <c r="G345" s="1">
        <v>53.0</v>
      </c>
      <c r="H345" s="1">
        <v>94.0</v>
      </c>
      <c r="I345" s="1">
        <v>46.0</v>
      </c>
      <c r="J345" s="1">
        <v>53.0</v>
      </c>
      <c r="K345" s="1">
        <v>67.0</v>
      </c>
      <c r="L345" s="1">
        <v>313.0</v>
      </c>
      <c r="M345" s="1">
        <v>62.6</v>
      </c>
      <c r="N345" s="1">
        <v>68.0</v>
      </c>
      <c r="O345" s="1" t="s">
        <v>21</v>
      </c>
    </row>
    <row r="346" ht="15.75" customHeight="1">
      <c r="A346" s="1" t="s">
        <v>584</v>
      </c>
      <c r="B346" s="1" t="s">
        <v>167</v>
      </c>
      <c r="C346" s="1" t="s">
        <v>32</v>
      </c>
      <c r="D346" s="1" t="s">
        <v>18</v>
      </c>
      <c r="E346" s="1" t="s">
        <v>47</v>
      </c>
      <c r="F346" s="1" t="s">
        <v>44</v>
      </c>
      <c r="G346" s="1">
        <v>93.0</v>
      </c>
      <c r="H346" s="1">
        <v>45.0</v>
      </c>
      <c r="I346" s="1">
        <v>88.0</v>
      </c>
      <c r="J346" s="1">
        <v>77.0</v>
      </c>
      <c r="K346" s="1">
        <v>59.0</v>
      </c>
      <c r="L346" s="1">
        <v>362.0</v>
      </c>
      <c r="M346" s="1">
        <v>72.4</v>
      </c>
      <c r="N346" s="1">
        <v>75.0</v>
      </c>
      <c r="O346" s="1" t="s">
        <v>21</v>
      </c>
    </row>
    <row r="347" ht="15.75" customHeight="1">
      <c r="A347" s="1" t="s">
        <v>585</v>
      </c>
      <c r="B347" s="1" t="s">
        <v>586</v>
      </c>
      <c r="C347" s="1" t="s">
        <v>32</v>
      </c>
      <c r="D347" s="1" t="s">
        <v>18</v>
      </c>
      <c r="E347" s="1" t="s">
        <v>19</v>
      </c>
      <c r="F347" s="1" t="s">
        <v>44</v>
      </c>
      <c r="G347" s="1">
        <v>50.0</v>
      </c>
      <c r="H347" s="1">
        <v>95.0</v>
      </c>
      <c r="I347" s="1">
        <v>42.0</v>
      </c>
      <c r="J347" s="1">
        <v>96.0</v>
      </c>
      <c r="K347" s="1">
        <v>43.0</v>
      </c>
      <c r="L347" s="1">
        <v>326.0</v>
      </c>
      <c r="M347" s="1">
        <v>65.2</v>
      </c>
      <c r="N347" s="1">
        <v>88.0</v>
      </c>
      <c r="O347" s="1" t="s">
        <v>21</v>
      </c>
    </row>
    <row r="348" ht="15.75" customHeight="1">
      <c r="A348" s="1" t="s">
        <v>587</v>
      </c>
      <c r="B348" s="1" t="s">
        <v>588</v>
      </c>
      <c r="C348" s="1" t="s">
        <v>17</v>
      </c>
      <c r="D348" s="1" t="s">
        <v>24</v>
      </c>
      <c r="E348" s="1" t="s">
        <v>19</v>
      </c>
      <c r="F348" s="1" t="s">
        <v>41</v>
      </c>
      <c r="G348" s="1">
        <v>91.0</v>
      </c>
      <c r="H348" s="1">
        <v>44.0</v>
      </c>
      <c r="I348" s="1">
        <v>46.0</v>
      </c>
      <c r="J348" s="1">
        <v>72.0</v>
      </c>
      <c r="K348" s="1">
        <v>51.0</v>
      </c>
      <c r="L348" s="1">
        <v>304.0</v>
      </c>
      <c r="M348" s="1">
        <v>60.8</v>
      </c>
      <c r="N348" s="1">
        <v>74.0</v>
      </c>
      <c r="O348" s="1" t="s">
        <v>21</v>
      </c>
    </row>
    <row r="349" ht="15.75" customHeight="1">
      <c r="A349" s="1" t="s">
        <v>589</v>
      </c>
      <c r="B349" s="1" t="s">
        <v>390</v>
      </c>
      <c r="C349" s="1" t="s">
        <v>32</v>
      </c>
      <c r="D349" s="1" t="s">
        <v>40</v>
      </c>
      <c r="E349" s="1" t="s">
        <v>25</v>
      </c>
      <c r="F349" s="1" t="s">
        <v>62</v>
      </c>
      <c r="G349" s="1">
        <v>80.0</v>
      </c>
      <c r="H349" s="1">
        <v>62.0</v>
      </c>
      <c r="I349" s="1">
        <v>54.0</v>
      </c>
      <c r="J349" s="1">
        <v>43.0</v>
      </c>
      <c r="K349" s="1">
        <v>43.0</v>
      </c>
      <c r="L349" s="1">
        <v>282.0</v>
      </c>
      <c r="M349" s="1">
        <v>56.4</v>
      </c>
      <c r="N349" s="1">
        <v>87.0</v>
      </c>
      <c r="O349" s="1" t="s">
        <v>21</v>
      </c>
    </row>
    <row r="350" ht="15.75" customHeight="1">
      <c r="A350" s="1" t="s">
        <v>590</v>
      </c>
      <c r="B350" s="1" t="s">
        <v>175</v>
      </c>
      <c r="C350" s="1" t="s">
        <v>32</v>
      </c>
      <c r="D350" s="1" t="s">
        <v>18</v>
      </c>
      <c r="E350" s="1" t="s">
        <v>25</v>
      </c>
      <c r="F350" s="1" t="s">
        <v>41</v>
      </c>
      <c r="G350" s="1">
        <v>87.0</v>
      </c>
      <c r="H350" s="1">
        <v>70.0</v>
      </c>
      <c r="I350" s="1">
        <v>67.0</v>
      </c>
      <c r="J350" s="1">
        <v>84.0</v>
      </c>
      <c r="K350" s="1">
        <v>42.0</v>
      </c>
      <c r="L350" s="1">
        <v>350.0</v>
      </c>
      <c r="M350" s="1">
        <v>70.0</v>
      </c>
      <c r="N350" s="1">
        <v>65.0</v>
      </c>
      <c r="O350" s="1" t="s">
        <v>21</v>
      </c>
    </row>
    <row r="351" ht="15.75" customHeight="1">
      <c r="A351" s="1" t="s">
        <v>591</v>
      </c>
      <c r="B351" s="1" t="s">
        <v>376</v>
      </c>
      <c r="C351" s="1" t="s">
        <v>17</v>
      </c>
      <c r="D351" s="1" t="s">
        <v>54</v>
      </c>
      <c r="E351" s="1" t="s">
        <v>25</v>
      </c>
      <c r="F351" s="1" t="s">
        <v>62</v>
      </c>
      <c r="G351" s="1">
        <v>75.0</v>
      </c>
      <c r="H351" s="1">
        <v>86.0</v>
      </c>
      <c r="I351" s="1">
        <v>96.0</v>
      </c>
      <c r="J351" s="1">
        <v>88.0</v>
      </c>
      <c r="K351" s="1">
        <v>92.0</v>
      </c>
      <c r="L351" s="1">
        <v>437.0</v>
      </c>
      <c r="M351" s="1">
        <v>87.4</v>
      </c>
      <c r="N351" s="1">
        <v>100.0</v>
      </c>
      <c r="O351" s="1" t="s">
        <v>21</v>
      </c>
    </row>
    <row r="352" ht="15.75" customHeight="1">
      <c r="A352" s="1" t="s">
        <v>592</v>
      </c>
      <c r="B352" s="1" t="s">
        <v>43</v>
      </c>
      <c r="C352" s="1" t="s">
        <v>32</v>
      </c>
      <c r="D352" s="1" t="s">
        <v>18</v>
      </c>
      <c r="E352" s="1" t="s">
        <v>25</v>
      </c>
      <c r="F352" s="1" t="s">
        <v>37</v>
      </c>
      <c r="G352" s="1">
        <v>50.0</v>
      </c>
      <c r="H352" s="1">
        <v>40.0</v>
      </c>
      <c r="I352" s="1">
        <v>50.0</v>
      </c>
      <c r="J352" s="1">
        <v>98.0</v>
      </c>
      <c r="K352" s="1">
        <v>52.0</v>
      </c>
      <c r="L352" s="1">
        <v>290.0</v>
      </c>
      <c r="M352" s="1">
        <v>58.0</v>
      </c>
      <c r="N352" s="1">
        <v>71.0</v>
      </c>
      <c r="O352" s="1" t="s">
        <v>21</v>
      </c>
    </row>
    <row r="353" ht="15.75" customHeight="1">
      <c r="A353" s="1" t="s">
        <v>593</v>
      </c>
      <c r="B353" s="1" t="s">
        <v>374</v>
      </c>
      <c r="C353" s="1" t="s">
        <v>32</v>
      </c>
      <c r="D353" s="1" t="s">
        <v>40</v>
      </c>
      <c r="E353" s="1" t="s">
        <v>19</v>
      </c>
      <c r="F353" s="1" t="s">
        <v>41</v>
      </c>
      <c r="G353" s="1">
        <v>65.0</v>
      </c>
      <c r="H353" s="1">
        <v>88.0</v>
      </c>
      <c r="I353" s="1">
        <v>58.0</v>
      </c>
      <c r="J353" s="1">
        <v>65.0</v>
      </c>
      <c r="K353" s="1">
        <v>59.0</v>
      </c>
      <c r="L353" s="1">
        <v>335.0</v>
      </c>
      <c r="M353" s="1">
        <v>67.0</v>
      </c>
      <c r="N353" s="1">
        <v>91.0</v>
      </c>
      <c r="O353" s="1" t="s">
        <v>21</v>
      </c>
    </row>
    <row r="354" ht="15.75" customHeight="1">
      <c r="A354" s="1" t="s">
        <v>594</v>
      </c>
      <c r="B354" s="1" t="s">
        <v>595</v>
      </c>
      <c r="C354" s="1" t="s">
        <v>17</v>
      </c>
      <c r="D354" s="1" t="s">
        <v>24</v>
      </c>
      <c r="E354" s="1" t="s">
        <v>25</v>
      </c>
      <c r="F354" s="1" t="s">
        <v>26</v>
      </c>
      <c r="G354" s="1">
        <v>45.0</v>
      </c>
      <c r="H354" s="1">
        <v>77.0</v>
      </c>
      <c r="I354" s="1">
        <v>56.0</v>
      </c>
      <c r="J354" s="1">
        <v>43.0</v>
      </c>
      <c r="K354" s="1">
        <v>81.0</v>
      </c>
      <c r="L354" s="1">
        <v>302.0</v>
      </c>
      <c r="M354" s="1">
        <v>60.4</v>
      </c>
      <c r="N354" s="1">
        <v>94.0</v>
      </c>
      <c r="O354" s="1" t="s">
        <v>21</v>
      </c>
    </row>
    <row r="355" ht="15.75" customHeight="1">
      <c r="A355" s="1" t="s">
        <v>596</v>
      </c>
      <c r="B355" s="1" t="s">
        <v>72</v>
      </c>
      <c r="C355" s="1" t="s">
        <v>32</v>
      </c>
      <c r="D355" s="1" t="s">
        <v>54</v>
      </c>
      <c r="E355" s="1" t="s">
        <v>47</v>
      </c>
      <c r="F355" s="1" t="s">
        <v>55</v>
      </c>
      <c r="G355" s="1">
        <v>98.0</v>
      </c>
      <c r="H355" s="1">
        <v>50.0</v>
      </c>
      <c r="I355" s="1">
        <v>63.0</v>
      </c>
      <c r="J355" s="1">
        <v>46.0</v>
      </c>
      <c r="K355" s="1">
        <v>44.0</v>
      </c>
      <c r="L355" s="1">
        <v>301.0</v>
      </c>
      <c r="M355" s="1">
        <v>60.2</v>
      </c>
      <c r="N355" s="1">
        <v>60.0</v>
      </c>
      <c r="O355" s="1" t="s">
        <v>21</v>
      </c>
    </row>
    <row r="356" ht="15.75" customHeight="1">
      <c r="A356" s="1" t="s">
        <v>597</v>
      </c>
      <c r="B356" s="1" t="s">
        <v>344</v>
      </c>
      <c r="C356" s="1" t="s">
        <v>17</v>
      </c>
      <c r="D356" s="1" t="s">
        <v>40</v>
      </c>
      <c r="E356" s="1" t="s">
        <v>25</v>
      </c>
      <c r="F356" s="1" t="s">
        <v>26</v>
      </c>
      <c r="G356" s="1">
        <v>99.0</v>
      </c>
      <c r="H356" s="1">
        <v>62.0</v>
      </c>
      <c r="I356" s="1">
        <v>63.0</v>
      </c>
      <c r="J356" s="1">
        <v>82.0</v>
      </c>
      <c r="K356" s="1">
        <v>69.0</v>
      </c>
      <c r="L356" s="1">
        <v>375.0</v>
      </c>
      <c r="M356" s="1">
        <v>75.0</v>
      </c>
      <c r="N356" s="1">
        <v>81.0</v>
      </c>
      <c r="O356" s="1" t="s">
        <v>21</v>
      </c>
    </row>
    <row r="357" ht="15.75" customHeight="1">
      <c r="A357" s="1" t="s">
        <v>598</v>
      </c>
      <c r="B357" s="1" t="s">
        <v>161</v>
      </c>
      <c r="C357" s="1" t="s">
        <v>32</v>
      </c>
      <c r="D357" s="1" t="s">
        <v>24</v>
      </c>
      <c r="E357" s="1" t="s">
        <v>25</v>
      </c>
      <c r="F357" s="1" t="s">
        <v>44</v>
      </c>
      <c r="G357" s="1">
        <v>90.0</v>
      </c>
      <c r="H357" s="1">
        <v>44.0</v>
      </c>
      <c r="I357" s="1">
        <v>40.0</v>
      </c>
      <c r="J357" s="1">
        <v>91.0</v>
      </c>
      <c r="K357" s="1">
        <v>61.0</v>
      </c>
      <c r="L357" s="1">
        <v>326.0</v>
      </c>
      <c r="M357" s="1">
        <v>65.2</v>
      </c>
      <c r="N357" s="1">
        <v>89.0</v>
      </c>
      <c r="O357" s="1" t="s">
        <v>21</v>
      </c>
    </row>
    <row r="358" ht="15.75" customHeight="1">
      <c r="A358" s="1" t="s">
        <v>599</v>
      </c>
      <c r="B358" s="1" t="s">
        <v>299</v>
      </c>
      <c r="C358" s="1" t="s">
        <v>32</v>
      </c>
      <c r="D358" s="1" t="s">
        <v>54</v>
      </c>
      <c r="E358" s="1" t="s">
        <v>47</v>
      </c>
      <c r="F358" s="1" t="s">
        <v>44</v>
      </c>
      <c r="G358" s="1">
        <v>40.0</v>
      </c>
      <c r="H358" s="1">
        <v>89.0</v>
      </c>
      <c r="I358" s="1">
        <v>75.0</v>
      </c>
      <c r="J358" s="1">
        <v>63.0</v>
      </c>
      <c r="K358" s="1">
        <v>55.0</v>
      </c>
      <c r="L358" s="1">
        <v>322.0</v>
      </c>
      <c r="M358" s="1">
        <v>64.4</v>
      </c>
      <c r="N358" s="1">
        <v>82.0</v>
      </c>
      <c r="O358" s="1" t="s">
        <v>21</v>
      </c>
    </row>
    <row r="359" ht="15.75" customHeight="1">
      <c r="A359" s="1" t="s">
        <v>600</v>
      </c>
      <c r="B359" s="1" t="s">
        <v>601</v>
      </c>
      <c r="C359" s="1" t="s">
        <v>17</v>
      </c>
      <c r="D359" s="1" t="s">
        <v>24</v>
      </c>
      <c r="E359" s="1" t="s">
        <v>25</v>
      </c>
      <c r="F359" s="1" t="s">
        <v>26</v>
      </c>
      <c r="G359" s="1">
        <v>93.0</v>
      </c>
      <c r="H359" s="1">
        <v>50.0</v>
      </c>
      <c r="I359" s="1">
        <v>94.0</v>
      </c>
      <c r="J359" s="1">
        <v>63.0</v>
      </c>
      <c r="K359" s="1">
        <v>96.0</v>
      </c>
      <c r="L359" s="1">
        <v>396.0</v>
      </c>
      <c r="M359" s="1">
        <v>79.2</v>
      </c>
      <c r="N359" s="1">
        <v>91.0</v>
      </c>
      <c r="O359" s="1" t="s">
        <v>21</v>
      </c>
    </row>
    <row r="360" ht="15.75" customHeight="1">
      <c r="A360" s="1" t="s">
        <v>602</v>
      </c>
      <c r="B360" s="1" t="s">
        <v>475</v>
      </c>
      <c r="C360" s="1" t="s">
        <v>17</v>
      </c>
      <c r="D360" s="1" t="s">
        <v>24</v>
      </c>
      <c r="E360" s="1" t="s">
        <v>19</v>
      </c>
      <c r="F360" s="1" t="s">
        <v>20</v>
      </c>
      <c r="G360" s="1">
        <v>60.0</v>
      </c>
      <c r="H360" s="1">
        <v>58.0</v>
      </c>
      <c r="I360" s="1">
        <v>46.0</v>
      </c>
      <c r="J360" s="1">
        <v>47.0</v>
      </c>
      <c r="K360" s="1">
        <v>72.0</v>
      </c>
      <c r="L360" s="1">
        <v>283.0</v>
      </c>
      <c r="M360" s="1">
        <v>56.6</v>
      </c>
      <c r="N360" s="1">
        <v>93.0</v>
      </c>
      <c r="O360" s="1" t="s">
        <v>21</v>
      </c>
    </row>
    <row r="361" ht="15.75" customHeight="1">
      <c r="A361" s="1" t="s">
        <v>603</v>
      </c>
      <c r="B361" s="1" t="s">
        <v>383</v>
      </c>
      <c r="C361" s="1" t="s">
        <v>32</v>
      </c>
      <c r="D361" s="1" t="s">
        <v>18</v>
      </c>
      <c r="E361" s="1" t="s">
        <v>19</v>
      </c>
      <c r="F361" s="1" t="s">
        <v>20</v>
      </c>
      <c r="G361" s="1">
        <v>57.0</v>
      </c>
      <c r="H361" s="1">
        <v>67.0</v>
      </c>
      <c r="I361" s="1">
        <v>95.0</v>
      </c>
      <c r="J361" s="1">
        <v>71.0</v>
      </c>
      <c r="K361" s="1">
        <v>42.0</v>
      </c>
      <c r="L361" s="1">
        <v>332.0</v>
      </c>
      <c r="M361" s="1">
        <v>66.4</v>
      </c>
      <c r="N361" s="1">
        <v>94.0</v>
      </c>
      <c r="O361" s="1" t="s">
        <v>21</v>
      </c>
    </row>
    <row r="362" ht="15.75" customHeight="1">
      <c r="A362" s="1" t="s">
        <v>604</v>
      </c>
      <c r="B362" s="1" t="s">
        <v>36</v>
      </c>
      <c r="C362" s="1" t="s">
        <v>17</v>
      </c>
      <c r="D362" s="1" t="s">
        <v>40</v>
      </c>
      <c r="E362" s="1" t="s">
        <v>25</v>
      </c>
      <c r="F362" s="1" t="s">
        <v>44</v>
      </c>
      <c r="G362" s="1">
        <v>55.0</v>
      </c>
      <c r="H362" s="1">
        <v>43.0</v>
      </c>
      <c r="I362" s="1">
        <v>81.0</v>
      </c>
      <c r="J362" s="1">
        <v>80.0</v>
      </c>
      <c r="K362" s="1">
        <v>81.0</v>
      </c>
      <c r="L362" s="1">
        <v>340.0</v>
      </c>
      <c r="M362" s="1">
        <v>68.0</v>
      </c>
      <c r="N362" s="1">
        <v>87.0</v>
      </c>
      <c r="O362" s="1" t="s">
        <v>21</v>
      </c>
    </row>
    <row r="363" ht="15.75" customHeight="1">
      <c r="A363" s="1" t="s">
        <v>605</v>
      </c>
      <c r="B363" s="1" t="s">
        <v>550</v>
      </c>
      <c r="C363" s="1" t="s">
        <v>32</v>
      </c>
      <c r="D363" s="1" t="s">
        <v>18</v>
      </c>
      <c r="E363" s="1" t="s">
        <v>47</v>
      </c>
      <c r="F363" s="1" t="s">
        <v>41</v>
      </c>
      <c r="G363" s="1">
        <v>61.0</v>
      </c>
      <c r="H363" s="1">
        <v>69.0</v>
      </c>
      <c r="I363" s="1">
        <v>65.0</v>
      </c>
      <c r="J363" s="1">
        <v>46.0</v>
      </c>
      <c r="K363" s="1">
        <v>41.0</v>
      </c>
      <c r="L363" s="1">
        <v>282.0</v>
      </c>
      <c r="M363" s="1">
        <v>56.4</v>
      </c>
      <c r="N363" s="1">
        <v>73.0</v>
      </c>
      <c r="O363" s="1" t="s">
        <v>21</v>
      </c>
    </row>
    <row r="364" ht="15.75" customHeight="1">
      <c r="A364" s="1" t="s">
        <v>606</v>
      </c>
      <c r="B364" s="1" t="s">
        <v>34</v>
      </c>
      <c r="C364" s="1" t="s">
        <v>32</v>
      </c>
      <c r="D364" s="1" t="s">
        <v>29</v>
      </c>
      <c r="E364" s="1" t="s">
        <v>19</v>
      </c>
      <c r="F364" s="1" t="s">
        <v>37</v>
      </c>
      <c r="G364" s="1">
        <v>66.0</v>
      </c>
      <c r="H364" s="1">
        <v>73.0</v>
      </c>
      <c r="I364" s="1">
        <v>73.0</v>
      </c>
      <c r="J364" s="1">
        <v>53.0</v>
      </c>
      <c r="K364" s="1">
        <v>74.0</v>
      </c>
      <c r="L364" s="1">
        <v>339.0</v>
      </c>
      <c r="M364" s="1">
        <v>67.8</v>
      </c>
      <c r="N364" s="1">
        <v>67.0</v>
      </c>
      <c r="O364" s="1" t="s">
        <v>21</v>
      </c>
    </row>
    <row r="365" ht="15.75" customHeight="1">
      <c r="A365" s="1" t="s">
        <v>607</v>
      </c>
      <c r="B365" s="1" t="s">
        <v>434</v>
      </c>
      <c r="C365" s="1" t="s">
        <v>17</v>
      </c>
      <c r="D365" s="1" t="s">
        <v>29</v>
      </c>
      <c r="E365" s="1" t="s">
        <v>47</v>
      </c>
      <c r="F365" s="1" t="s">
        <v>37</v>
      </c>
      <c r="G365" s="1">
        <v>100.0</v>
      </c>
      <c r="H365" s="1">
        <v>78.0</v>
      </c>
      <c r="I365" s="1">
        <v>88.0</v>
      </c>
      <c r="J365" s="1">
        <v>54.0</v>
      </c>
      <c r="K365" s="1">
        <v>97.0</v>
      </c>
      <c r="L365" s="1">
        <v>417.0</v>
      </c>
      <c r="M365" s="1">
        <v>83.4</v>
      </c>
      <c r="N365" s="1">
        <v>65.0</v>
      </c>
      <c r="O365" s="1" t="s">
        <v>21</v>
      </c>
    </row>
    <row r="366" ht="15.75" customHeight="1">
      <c r="A366" s="1" t="s">
        <v>608</v>
      </c>
      <c r="B366" s="1" t="s">
        <v>265</v>
      </c>
      <c r="C366" s="1" t="s">
        <v>17</v>
      </c>
      <c r="D366" s="1" t="s">
        <v>24</v>
      </c>
      <c r="E366" s="1" t="s">
        <v>47</v>
      </c>
      <c r="F366" s="1" t="s">
        <v>41</v>
      </c>
      <c r="G366" s="1">
        <v>51.0</v>
      </c>
      <c r="H366" s="1">
        <v>49.0</v>
      </c>
      <c r="I366" s="1">
        <v>77.0</v>
      </c>
      <c r="J366" s="1">
        <v>59.0</v>
      </c>
      <c r="K366" s="1">
        <v>75.0</v>
      </c>
      <c r="L366" s="1">
        <v>311.0</v>
      </c>
      <c r="M366" s="1">
        <v>62.2</v>
      </c>
      <c r="N366" s="1">
        <v>78.0</v>
      </c>
      <c r="O366" s="1" t="s">
        <v>21</v>
      </c>
    </row>
    <row r="367" ht="15.75" customHeight="1">
      <c r="A367" s="1" t="s">
        <v>609</v>
      </c>
      <c r="B367" s="1" t="s">
        <v>99</v>
      </c>
      <c r="C367" s="1" t="s">
        <v>32</v>
      </c>
      <c r="D367" s="1" t="s">
        <v>40</v>
      </c>
      <c r="E367" s="1" t="s">
        <v>19</v>
      </c>
      <c r="F367" s="1" t="s">
        <v>55</v>
      </c>
      <c r="G367" s="1">
        <v>77.0</v>
      </c>
      <c r="H367" s="1">
        <v>83.0</v>
      </c>
      <c r="I367" s="1">
        <v>82.0</v>
      </c>
      <c r="J367" s="1">
        <v>71.0</v>
      </c>
      <c r="K367" s="1">
        <v>88.0</v>
      </c>
      <c r="L367" s="1">
        <v>401.0</v>
      </c>
      <c r="M367" s="1">
        <v>80.2</v>
      </c>
      <c r="N367" s="1">
        <v>64.0</v>
      </c>
      <c r="O367" s="1" t="s">
        <v>21</v>
      </c>
    </row>
    <row r="368" ht="15.75" customHeight="1">
      <c r="A368" s="1" t="s">
        <v>610</v>
      </c>
      <c r="B368" s="1" t="s">
        <v>611</v>
      </c>
      <c r="C368" s="1" t="s">
        <v>17</v>
      </c>
      <c r="D368" s="1" t="s">
        <v>29</v>
      </c>
      <c r="E368" s="1" t="s">
        <v>47</v>
      </c>
      <c r="F368" s="1" t="s">
        <v>37</v>
      </c>
      <c r="G368" s="1">
        <v>92.0</v>
      </c>
      <c r="H368" s="1">
        <v>57.0</v>
      </c>
      <c r="I368" s="1">
        <v>95.0</v>
      </c>
      <c r="J368" s="1">
        <v>54.0</v>
      </c>
      <c r="K368" s="1">
        <v>87.0</v>
      </c>
      <c r="L368" s="1">
        <v>385.0</v>
      </c>
      <c r="M368" s="1">
        <v>77.0</v>
      </c>
      <c r="N368" s="1">
        <v>60.0</v>
      </c>
      <c r="O368" s="1" t="s">
        <v>21</v>
      </c>
    </row>
    <row r="369" ht="15.75" customHeight="1">
      <c r="A369" s="1" t="s">
        <v>612</v>
      </c>
      <c r="B369" s="1" t="s">
        <v>580</v>
      </c>
      <c r="C369" s="1" t="s">
        <v>32</v>
      </c>
      <c r="D369" s="1" t="s">
        <v>40</v>
      </c>
      <c r="E369" s="1" t="s">
        <v>47</v>
      </c>
      <c r="F369" s="1" t="s">
        <v>37</v>
      </c>
      <c r="G369" s="1">
        <v>89.0</v>
      </c>
      <c r="H369" s="1">
        <v>44.0</v>
      </c>
      <c r="I369" s="1">
        <v>73.0</v>
      </c>
      <c r="J369" s="1">
        <v>86.0</v>
      </c>
      <c r="K369" s="1">
        <v>52.0</v>
      </c>
      <c r="L369" s="1">
        <v>344.0</v>
      </c>
      <c r="M369" s="1">
        <v>68.8</v>
      </c>
      <c r="N369" s="1">
        <v>88.0</v>
      </c>
      <c r="O369" s="1" t="s">
        <v>21</v>
      </c>
    </row>
    <row r="370" ht="15.75" customHeight="1">
      <c r="A370" s="1" t="s">
        <v>613</v>
      </c>
      <c r="B370" s="1" t="s">
        <v>614</v>
      </c>
      <c r="C370" s="1" t="s">
        <v>17</v>
      </c>
      <c r="D370" s="1" t="s">
        <v>29</v>
      </c>
      <c r="E370" s="1" t="s">
        <v>25</v>
      </c>
      <c r="F370" s="1" t="s">
        <v>55</v>
      </c>
      <c r="G370" s="1">
        <v>67.0</v>
      </c>
      <c r="H370" s="1">
        <v>56.0</v>
      </c>
      <c r="I370" s="1">
        <v>52.0</v>
      </c>
      <c r="J370" s="1">
        <v>75.0</v>
      </c>
      <c r="K370" s="1">
        <v>93.0</v>
      </c>
      <c r="L370" s="1">
        <v>343.0</v>
      </c>
      <c r="M370" s="1">
        <v>68.6</v>
      </c>
      <c r="N370" s="1">
        <v>97.0</v>
      </c>
      <c r="O370" s="1" t="s">
        <v>21</v>
      </c>
    </row>
    <row r="371" ht="15.75" customHeight="1">
      <c r="A371" s="1" t="s">
        <v>615</v>
      </c>
      <c r="B371" s="1" t="s">
        <v>125</v>
      </c>
      <c r="C371" s="1" t="s">
        <v>32</v>
      </c>
      <c r="D371" s="1" t="s">
        <v>24</v>
      </c>
      <c r="E371" s="1" t="s">
        <v>47</v>
      </c>
      <c r="F371" s="1" t="s">
        <v>44</v>
      </c>
      <c r="G371" s="1">
        <v>80.0</v>
      </c>
      <c r="H371" s="1">
        <v>94.0</v>
      </c>
      <c r="I371" s="1">
        <v>100.0</v>
      </c>
      <c r="J371" s="1">
        <v>71.0</v>
      </c>
      <c r="K371" s="1">
        <v>62.0</v>
      </c>
      <c r="L371" s="1">
        <v>407.0</v>
      </c>
      <c r="M371" s="1">
        <v>81.4</v>
      </c>
      <c r="N371" s="1">
        <v>66.0</v>
      </c>
      <c r="O371" s="1" t="s">
        <v>21</v>
      </c>
    </row>
    <row r="372" ht="15.75" customHeight="1">
      <c r="A372" s="1" t="s">
        <v>616</v>
      </c>
      <c r="B372" s="1" t="s">
        <v>502</v>
      </c>
      <c r="C372" s="1" t="s">
        <v>17</v>
      </c>
      <c r="D372" s="1" t="s">
        <v>29</v>
      </c>
      <c r="E372" s="1" t="s">
        <v>25</v>
      </c>
      <c r="F372" s="1" t="s">
        <v>77</v>
      </c>
      <c r="G372" s="1">
        <v>65.0</v>
      </c>
      <c r="H372" s="1">
        <v>72.0</v>
      </c>
      <c r="I372" s="1">
        <v>55.0</v>
      </c>
      <c r="J372" s="1">
        <v>72.0</v>
      </c>
      <c r="K372" s="1">
        <v>91.0</v>
      </c>
      <c r="L372" s="1">
        <v>355.0</v>
      </c>
      <c r="M372" s="1">
        <v>71.0</v>
      </c>
      <c r="N372" s="1">
        <v>86.0</v>
      </c>
      <c r="O372" s="1" t="s">
        <v>21</v>
      </c>
    </row>
    <row r="373" ht="15.75" customHeight="1">
      <c r="A373" s="1" t="s">
        <v>617</v>
      </c>
      <c r="B373" s="1" t="s">
        <v>117</v>
      </c>
      <c r="C373" s="1" t="s">
        <v>17</v>
      </c>
      <c r="D373" s="1" t="s">
        <v>24</v>
      </c>
      <c r="E373" s="1" t="s">
        <v>25</v>
      </c>
      <c r="F373" s="1" t="s">
        <v>55</v>
      </c>
      <c r="G373" s="1">
        <v>96.0</v>
      </c>
      <c r="H373" s="1">
        <v>84.0</v>
      </c>
      <c r="I373" s="1">
        <v>74.0</v>
      </c>
      <c r="J373" s="1">
        <v>61.0</v>
      </c>
      <c r="K373" s="1">
        <v>80.0</v>
      </c>
      <c r="L373" s="1">
        <v>395.0</v>
      </c>
      <c r="M373" s="1">
        <v>79.0</v>
      </c>
      <c r="N373" s="1">
        <v>60.0</v>
      </c>
      <c r="O373" s="1" t="s">
        <v>21</v>
      </c>
    </row>
    <row r="374" ht="15.75" customHeight="1">
      <c r="A374" s="1" t="s">
        <v>618</v>
      </c>
      <c r="B374" s="1" t="s">
        <v>475</v>
      </c>
      <c r="C374" s="1" t="s">
        <v>17</v>
      </c>
      <c r="D374" s="1" t="s">
        <v>18</v>
      </c>
      <c r="E374" s="1" t="s">
        <v>47</v>
      </c>
      <c r="F374" s="1" t="s">
        <v>26</v>
      </c>
      <c r="G374" s="1">
        <v>72.0</v>
      </c>
      <c r="H374" s="1">
        <v>67.0</v>
      </c>
      <c r="I374" s="1">
        <v>76.0</v>
      </c>
      <c r="J374" s="1">
        <v>88.0</v>
      </c>
      <c r="K374" s="1">
        <v>75.0</v>
      </c>
      <c r="L374" s="1">
        <v>378.0</v>
      </c>
      <c r="M374" s="1">
        <v>75.6</v>
      </c>
      <c r="N374" s="1">
        <v>97.0</v>
      </c>
      <c r="O374" s="1" t="s">
        <v>21</v>
      </c>
    </row>
    <row r="375" ht="15.75" customHeight="1">
      <c r="A375" s="1" t="s">
        <v>619</v>
      </c>
      <c r="B375" s="1" t="s">
        <v>121</v>
      </c>
      <c r="C375" s="1" t="s">
        <v>32</v>
      </c>
      <c r="D375" s="1" t="s">
        <v>24</v>
      </c>
      <c r="E375" s="1" t="s">
        <v>47</v>
      </c>
      <c r="F375" s="1" t="s">
        <v>37</v>
      </c>
      <c r="G375" s="1">
        <v>41.0</v>
      </c>
      <c r="H375" s="1">
        <v>74.0</v>
      </c>
      <c r="I375" s="1">
        <v>45.0</v>
      </c>
      <c r="J375" s="1">
        <v>77.0</v>
      </c>
      <c r="K375" s="1">
        <v>65.0</v>
      </c>
      <c r="L375" s="1">
        <v>302.0</v>
      </c>
      <c r="M375" s="1">
        <v>60.4</v>
      </c>
      <c r="N375" s="1">
        <v>98.0</v>
      </c>
      <c r="O375" s="1" t="s">
        <v>21</v>
      </c>
    </row>
    <row r="376" ht="15.75" customHeight="1">
      <c r="A376" s="1" t="s">
        <v>620</v>
      </c>
      <c r="B376" s="1" t="s">
        <v>135</v>
      </c>
      <c r="C376" s="1" t="s">
        <v>32</v>
      </c>
      <c r="D376" s="1" t="s">
        <v>24</v>
      </c>
      <c r="E376" s="1" t="s">
        <v>47</v>
      </c>
      <c r="F376" s="1" t="s">
        <v>44</v>
      </c>
      <c r="G376" s="1">
        <v>66.0</v>
      </c>
      <c r="H376" s="1">
        <v>99.0</v>
      </c>
      <c r="I376" s="1">
        <v>100.0</v>
      </c>
      <c r="J376" s="1">
        <v>71.0</v>
      </c>
      <c r="K376" s="1">
        <v>59.0</v>
      </c>
      <c r="L376" s="1">
        <v>395.0</v>
      </c>
      <c r="M376" s="1">
        <v>79.0</v>
      </c>
      <c r="N376" s="1">
        <v>67.0</v>
      </c>
      <c r="O376" s="1" t="s">
        <v>21</v>
      </c>
    </row>
    <row r="377" ht="15.75" customHeight="1">
      <c r="A377" s="1" t="s">
        <v>621</v>
      </c>
      <c r="B377" s="1" t="s">
        <v>279</v>
      </c>
      <c r="C377" s="1" t="s">
        <v>32</v>
      </c>
      <c r="D377" s="1" t="s">
        <v>24</v>
      </c>
      <c r="E377" s="1" t="s">
        <v>47</v>
      </c>
      <c r="F377" s="1" t="s">
        <v>37</v>
      </c>
      <c r="G377" s="1">
        <v>94.0</v>
      </c>
      <c r="H377" s="1">
        <v>63.0</v>
      </c>
      <c r="I377" s="1">
        <v>46.0</v>
      </c>
      <c r="J377" s="1">
        <v>73.0</v>
      </c>
      <c r="K377" s="1">
        <v>68.0</v>
      </c>
      <c r="L377" s="1">
        <v>344.0</v>
      </c>
      <c r="M377" s="1">
        <v>68.8</v>
      </c>
      <c r="N377" s="1">
        <v>87.0</v>
      </c>
      <c r="O377" s="1" t="s">
        <v>21</v>
      </c>
    </row>
    <row r="378" ht="15.75" customHeight="1">
      <c r="A378" s="1" t="s">
        <v>622</v>
      </c>
      <c r="B378" s="1" t="s">
        <v>623</v>
      </c>
      <c r="C378" s="1" t="s">
        <v>17</v>
      </c>
      <c r="D378" s="1" t="s">
        <v>29</v>
      </c>
      <c r="E378" s="1" t="s">
        <v>25</v>
      </c>
      <c r="F378" s="1" t="s">
        <v>62</v>
      </c>
      <c r="G378" s="1">
        <v>94.0</v>
      </c>
      <c r="H378" s="1">
        <v>48.0</v>
      </c>
      <c r="I378" s="1">
        <v>80.0</v>
      </c>
      <c r="J378" s="1">
        <v>42.0</v>
      </c>
      <c r="K378" s="1">
        <v>91.0</v>
      </c>
      <c r="L378" s="1">
        <v>355.0</v>
      </c>
      <c r="M378" s="1">
        <v>71.0</v>
      </c>
      <c r="N378" s="1">
        <v>81.0</v>
      </c>
      <c r="O378" s="1" t="s">
        <v>21</v>
      </c>
    </row>
    <row r="379" ht="15.75" customHeight="1">
      <c r="A379" s="1" t="s">
        <v>624</v>
      </c>
      <c r="B379" s="1" t="s">
        <v>625</v>
      </c>
      <c r="C379" s="1" t="s">
        <v>17</v>
      </c>
      <c r="D379" s="1" t="s">
        <v>18</v>
      </c>
      <c r="E379" s="1" t="s">
        <v>19</v>
      </c>
      <c r="F379" s="1" t="s">
        <v>41</v>
      </c>
      <c r="G379" s="1">
        <v>97.0</v>
      </c>
      <c r="H379" s="1">
        <v>61.0</v>
      </c>
      <c r="I379" s="1">
        <v>80.0</v>
      </c>
      <c r="J379" s="1">
        <v>78.0</v>
      </c>
      <c r="K379" s="1">
        <v>93.0</v>
      </c>
      <c r="L379" s="1">
        <v>409.0</v>
      </c>
      <c r="M379" s="1">
        <v>81.8</v>
      </c>
      <c r="N379" s="1">
        <v>93.0</v>
      </c>
      <c r="O379" s="1" t="s">
        <v>21</v>
      </c>
    </row>
    <row r="380" ht="15.75" customHeight="1">
      <c r="A380" s="1" t="s">
        <v>626</v>
      </c>
      <c r="B380" s="1" t="s">
        <v>367</v>
      </c>
      <c r="C380" s="1" t="s">
        <v>17</v>
      </c>
      <c r="D380" s="1" t="s">
        <v>18</v>
      </c>
      <c r="E380" s="1" t="s">
        <v>19</v>
      </c>
      <c r="F380" s="1" t="s">
        <v>26</v>
      </c>
      <c r="G380" s="1">
        <v>52.0</v>
      </c>
      <c r="H380" s="1">
        <v>64.0</v>
      </c>
      <c r="I380" s="1">
        <v>79.0</v>
      </c>
      <c r="J380" s="1">
        <v>74.0</v>
      </c>
      <c r="K380" s="1">
        <v>46.0</v>
      </c>
      <c r="L380" s="1">
        <v>315.0</v>
      </c>
      <c r="M380" s="1">
        <v>63.0</v>
      </c>
      <c r="N380" s="1">
        <v>88.0</v>
      </c>
      <c r="O380" s="1" t="s">
        <v>21</v>
      </c>
    </row>
    <row r="381" ht="15.75" customHeight="1">
      <c r="A381" s="1" t="s">
        <v>627</v>
      </c>
      <c r="B381" s="1" t="s">
        <v>628</v>
      </c>
      <c r="C381" s="1" t="s">
        <v>17</v>
      </c>
      <c r="D381" s="1" t="s">
        <v>29</v>
      </c>
      <c r="E381" s="1" t="s">
        <v>25</v>
      </c>
      <c r="F381" s="1" t="s">
        <v>77</v>
      </c>
      <c r="G381" s="1">
        <v>71.0</v>
      </c>
      <c r="H381" s="1">
        <v>89.0</v>
      </c>
      <c r="I381" s="1">
        <v>83.0</v>
      </c>
      <c r="J381" s="1">
        <v>56.0</v>
      </c>
      <c r="K381" s="1">
        <v>47.0</v>
      </c>
      <c r="L381" s="1">
        <v>346.0</v>
      </c>
      <c r="M381" s="1">
        <v>69.2</v>
      </c>
      <c r="N381" s="1">
        <v>100.0</v>
      </c>
      <c r="O381" s="1" t="s">
        <v>21</v>
      </c>
    </row>
    <row r="382" ht="15.75" customHeight="1">
      <c r="A382" s="1" t="s">
        <v>629</v>
      </c>
      <c r="B382" s="1" t="s">
        <v>630</v>
      </c>
      <c r="C382" s="1" t="s">
        <v>17</v>
      </c>
      <c r="D382" s="1" t="s">
        <v>24</v>
      </c>
      <c r="E382" s="1" t="s">
        <v>47</v>
      </c>
      <c r="F382" s="1" t="s">
        <v>44</v>
      </c>
      <c r="G382" s="1">
        <v>93.0</v>
      </c>
      <c r="H382" s="1">
        <v>47.0</v>
      </c>
      <c r="I382" s="1">
        <v>76.0</v>
      </c>
      <c r="J382" s="1">
        <v>47.0</v>
      </c>
      <c r="K382" s="1">
        <v>83.0</v>
      </c>
      <c r="L382" s="1">
        <v>346.0</v>
      </c>
      <c r="M382" s="1">
        <v>69.2</v>
      </c>
      <c r="N382" s="1">
        <v>77.0</v>
      </c>
      <c r="O382" s="1" t="s">
        <v>21</v>
      </c>
    </row>
    <row r="383" ht="15.75" customHeight="1">
      <c r="A383" s="1" t="s">
        <v>631</v>
      </c>
      <c r="B383" s="1" t="s">
        <v>121</v>
      </c>
      <c r="C383" s="1" t="s">
        <v>17</v>
      </c>
      <c r="D383" s="1" t="s">
        <v>18</v>
      </c>
      <c r="E383" s="1" t="s">
        <v>25</v>
      </c>
      <c r="F383" s="1" t="s">
        <v>41</v>
      </c>
      <c r="G383" s="1">
        <v>46.0</v>
      </c>
      <c r="H383" s="1">
        <v>83.0</v>
      </c>
      <c r="I383" s="1">
        <v>54.0</v>
      </c>
      <c r="J383" s="1">
        <v>57.0</v>
      </c>
      <c r="K383" s="1">
        <v>77.0</v>
      </c>
      <c r="L383" s="1">
        <v>317.0</v>
      </c>
      <c r="M383" s="1">
        <v>63.4</v>
      </c>
      <c r="N383" s="1">
        <v>85.0</v>
      </c>
      <c r="O383" s="1" t="s">
        <v>21</v>
      </c>
    </row>
    <row r="384" ht="15.75" customHeight="1">
      <c r="A384" s="1" t="s">
        <v>632</v>
      </c>
      <c r="B384" s="1" t="s">
        <v>633</v>
      </c>
      <c r="C384" s="1" t="s">
        <v>32</v>
      </c>
      <c r="D384" s="1" t="s">
        <v>54</v>
      </c>
      <c r="E384" s="1" t="s">
        <v>19</v>
      </c>
      <c r="F384" s="1" t="s">
        <v>44</v>
      </c>
      <c r="G384" s="1">
        <v>96.0</v>
      </c>
      <c r="H384" s="1">
        <v>87.0</v>
      </c>
      <c r="I384" s="1">
        <v>77.0</v>
      </c>
      <c r="J384" s="1">
        <v>67.0</v>
      </c>
      <c r="K384" s="1">
        <v>88.0</v>
      </c>
      <c r="L384" s="1">
        <v>415.0</v>
      </c>
      <c r="M384" s="1">
        <v>83.0</v>
      </c>
      <c r="N384" s="1">
        <v>65.0</v>
      </c>
      <c r="O384" s="1" t="s">
        <v>21</v>
      </c>
    </row>
    <row r="385" ht="15.75" customHeight="1">
      <c r="A385" s="1" t="s">
        <v>634</v>
      </c>
      <c r="B385" s="1" t="s">
        <v>201</v>
      </c>
      <c r="C385" s="1" t="s">
        <v>17</v>
      </c>
      <c r="D385" s="1" t="s">
        <v>54</v>
      </c>
      <c r="E385" s="1" t="s">
        <v>47</v>
      </c>
      <c r="F385" s="1" t="s">
        <v>77</v>
      </c>
      <c r="G385" s="1">
        <v>85.0</v>
      </c>
      <c r="H385" s="1">
        <v>93.0</v>
      </c>
      <c r="I385" s="1">
        <v>65.0</v>
      </c>
      <c r="J385" s="1">
        <v>57.0</v>
      </c>
      <c r="K385" s="1">
        <v>55.0</v>
      </c>
      <c r="L385" s="1">
        <v>355.0</v>
      </c>
      <c r="M385" s="1">
        <v>71.0</v>
      </c>
      <c r="N385" s="1">
        <v>84.0</v>
      </c>
      <c r="O385" s="1" t="s">
        <v>21</v>
      </c>
    </row>
    <row r="386" ht="15.75" customHeight="1">
      <c r="A386" s="1" t="s">
        <v>635</v>
      </c>
      <c r="B386" s="1" t="s">
        <v>385</v>
      </c>
      <c r="C386" s="1" t="s">
        <v>32</v>
      </c>
      <c r="D386" s="1" t="s">
        <v>54</v>
      </c>
      <c r="E386" s="1" t="s">
        <v>47</v>
      </c>
      <c r="F386" s="1" t="s">
        <v>37</v>
      </c>
      <c r="G386" s="1">
        <v>99.0</v>
      </c>
      <c r="H386" s="1">
        <v>47.0</v>
      </c>
      <c r="I386" s="1">
        <v>60.0</v>
      </c>
      <c r="J386" s="1">
        <v>54.0</v>
      </c>
      <c r="K386" s="1">
        <v>95.0</v>
      </c>
      <c r="L386" s="1">
        <v>355.0</v>
      </c>
      <c r="M386" s="1">
        <v>71.0</v>
      </c>
      <c r="N386" s="1">
        <v>68.0</v>
      </c>
      <c r="O386" s="1" t="s">
        <v>21</v>
      </c>
    </row>
    <row r="387" ht="15.75" customHeight="1">
      <c r="A387" s="1" t="s">
        <v>636</v>
      </c>
      <c r="B387" s="1" t="s">
        <v>147</v>
      </c>
      <c r="C387" s="1" t="s">
        <v>17</v>
      </c>
      <c r="D387" s="1" t="s">
        <v>54</v>
      </c>
      <c r="E387" s="1" t="s">
        <v>25</v>
      </c>
      <c r="F387" s="1" t="s">
        <v>44</v>
      </c>
      <c r="G387" s="1">
        <v>75.0</v>
      </c>
      <c r="H387" s="1">
        <v>74.0</v>
      </c>
      <c r="I387" s="1">
        <v>76.0</v>
      </c>
      <c r="J387" s="1">
        <v>98.0</v>
      </c>
      <c r="K387" s="1">
        <v>75.0</v>
      </c>
      <c r="L387" s="1">
        <v>398.0</v>
      </c>
      <c r="M387" s="1">
        <v>79.6</v>
      </c>
      <c r="N387" s="1">
        <v>96.0</v>
      </c>
      <c r="O387" s="1" t="s">
        <v>21</v>
      </c>
    </row>
    <row r="388" ht="15.75" customHeight="1">
      <c r="A388" s="1" t="s">
        <v>637</v>
      </c>
      <c r="B388" s="1" t="s">
        <v>638</v>
      </c>
      <c r="C388" s="1" t="s">
        <v>17</v>
      </c>
      <c r="D388" s="1" t="s">
        <v>40</v>
      </c>
      <c r="E388" s="1" t="s">
        <v>19</v>
      </c>
      <c r="F388" s="1" t="s">
        <v>26</v>
      </c>
      <c r="G388" s="1">
        <v>66.0</v>
      </c>
      <c r="H388" s="1">
        <v>56.0</v>
      </c>
      <c r="I388" s="1">
        <v>82.0</v>
      </c>
      <c r="J388" s="1">
        <v>64.0</v>
      </c>
      <c r="K388" s="1">
        <v>79.0</v>
      </c>
      <c r="L388" s="1">
        <v>347.0</v>
      </c>
      <c r="M388" s="1">
        <v>69.4</v>
      </c>
      <c r="N388" s="1">
        <v>68.0</v>
      </c>
      <c r="O388" s="1" t="s">
        <v>21</v>
      </c>
    </row>
    <row r="389" ht="15.75" customHeight="1">
      <c r="A389" s="1" t="s">
        <v>639</v>
      </c>
      <c r="B389" s="1" t="s">
        <v>640</v>
      </c>
      <c r="C389" s="1" t="s">
        <v>17</v>
      </c>
      <c r="D389" s="1" t="s">
        <v>40</v>
      </c>
      <c r="E389" s="1" t="s">
        <v>47</v>
      </c>
      <c r="F389" s="1" t="s">
        <v>77</v>
      </c>
      <c r="G389" s="1">
        <v>88.0</v>
      </c>
      <c r="H389" s="1">
        <v>64.0</v>
      </c>
      <c r="I389" s="1">
        <v>52.0</v>
      </c>
      <c r="J389" s="1">
        <v>63.0</v>
      </c>
      <c r="K389" s="1">
        <v>84.0</v>
      </c>
      <c r="L389" s="1">
        <v>351.0</v>
      </c>
      <c r="M389" s="1">
        <v>70.2</v>
      </c>
      <c r="N389" s="1">
        <v>99.0</v>
      </c>
      <c r="O389" s="1" t="s">
        <v>21</v>
      </c>
    </row>
    <row r="390" ht="15.75" customHeight="1">
      <c r="A390" s="1" t="s">
        <v>641</v>
      </c>
      <c r="B390" s="1" t="s">
        <v>123</v>
      </c>
      <c r="C390" s="1" t="s">
        <v>17</v>
      </c>
      <c r="D390" s="1" t="s">
        <v>29</v>
      </c>
      <c r="E390" s="1" t="s">
        <v>47</v>
      </c>
      <c r="F390" s="1" t="s">
        <v>26</v>
      </c>
      <c r="G390" s="1">
        <v>91.0</v>
      </c>
      <c r="H390" s="1">
        <v>56.0</v>
      </c>
      <c r="I390" s="1">
        <v>80.0</v>
      </c>
      <c r="J390" s="1">
        <v>71.0</v>
      </c>
      <c r="K390" s="1">
        <v>100.0</v>
      </c>
      <c r="L390" s="1">
        <v>398.0</v>
      </c>
      <c r="M390" s="1">
        <v>79.6</v>
      </c>
      <c r="N390" s="1">
        <v>84.0</v>
      </c>
      <c r="O390" s="1" t="s">
        <v>21</v>
      </c>
    </row>
    <row r="391" ht="15.75" customHeight="1">
      <c r="A391" s="1" t="s">
        <v>642</v>
      </c>
      <c r="B391" s="1" t="s">
        <v>328</v>
      </c>
      <c r="C391" s="1" t="s">
        <v>32</v>
      </c>
      <c r="D391" s="1" t="s">
        <v>24</v>
      </c>
      <c r="E391" s="1" t="s">
        <v>19</v>
      </c>
      <c r="F391" s="1" t="s">
        <v>44</v>
      </c>
      <c r="G391" s="1">
        <v>55.0</v>
      </c>
      <c r="H391" s="1">
        <v>85.0</v>
      </c>
      <c r="I391" s="1">
        <v>81.0</v>
      </c>
      <c r="J391" s="1">
        <v>89.0</v>
      </c>
      <c r="K391" s="1">
        <v>74.0</v>
      </c>
      <c r="L391" s="1">
        <v>384.0</v>
      </c>
      <c r="M391" s="1">
        <v>76.8</v>
      </c>
      <c r="N391" s="1">
        <v>91.0</v>
      </c>
      <c r="O391" s="1" t="s">
        <v>21</v>
      </c>
    </row>
    <row r="392" ht="15.75" customHeight="1">
      <c r="A392" s="1" t="s">
        <v>643</v>
      </c>
      <c r="B392" s="1" t="s">
        <v>644</v>
      </c>
      <c r="C392" s="1" t="s">
        <v>17</v>
      </c>
      <c r="D392" s="1" t="s">
        <v>18</v>
      </c>
      <c r="E392" s="1" t="s">
        <v>25</v>
      </c>
      <c r="F392" s="1" t="s">
        <v>26</v>
      </c>
      <c r="G392" s="1">
        <v>56.0</v>
      </c>
      <c r="H392" s="1">
        <v>62.0</v>
      </c>
      <c r="I392" s="1">
        <v>72.0</v>
      </c>
      <c r="J392" s="1">
        <v>71.0</v>
      </c>
      <c r="K392" s="1">
        <v>45.0</v>
      </c>
      <c r="L392" s="1">
        <v>306.0</v>
      </c>
      <c r="M392" s="1">
        <v>61.2</v>
      </c>
      <c r="N392" s="1">
        <v>63.0</v>
      </c>
      <c r="O392" s="1" t="s">
        <v>21</v>
      </c>
    </row>
    <row r="393" ht="15.75" customHeight="1">
      <c r="A393" s="1" t="s">
        <v>645</v>
      </c>
      <c r="B393" s="1" t="s">
        <v>646</v>
      </c>
      <c r="C393" s="1" t="s">
        <v>17</v>
      </c>
      <c r="D393" s="1" t="s">
        <v>40</v>
      </c>
      <c r="E393" s="1" t="s">
        <v>25</v>
      </c>
      <c r="F393" s="1" t="s">
        <v>37</v>
      </c>
      <c r="G393" s="1">
        <v>53.0</v>
      </c>
      <c r="H393" s="1">
        <v>43.0</v>
      </c>
      <c r="I393" s="1">
        <v>92.0</v>
      </c>
      <c r="J393" s="1">
        <v>81.0</v>
      </c>
      <c r="K393" s="1">
        <v>98.0</v>
      </c>
      <c r="L393" s="1">
        <v>367.0</v>
      </c>
      <c r="M393" s="1">
        <v>73.4</v>
      </c>
      <c r="N393" s="1">
        <v>75.0</v>
      </c>
      <c r="O393" s="1" t="s">
        <v>21</v>
      </c>
    </row>
    <row r="394" ht="15.75" customHeight="1">
      <c r="A394" s="1" t="s">
        <v>647</v>
      </c>
      <c r="B394" s="1" t="s">
        <v>193</v>
      </c>
      <c r="C394" s="1" t="s">
        <v>32</v>
      </c>
      <c r="D394" s="1" t="s">
        <v>18</v>
      </c>
      <c r="E394" s="1" t="s">
        <v>19</v>
      </c>
      <c r="F394" s="1" t="s">
        <v>55</v>
      </c>
      <c r="G394" s="1">
        <v>48.0</v>
      </c>
      <c r="H394" s="1">
        <v>57.0</v>
      </c>
      <c r="I394" s="1">
        <v>94.0</v>
      </c>
      <c r="J394" s="1">
        <v>60.0</v>
      </c>
      <c r="K394" s="1">
        <v>86.0</v>
      </c>
      <c r="L394" s="1">
        <v>345.0</v>
      </c>
      <c r="M394" s="1">
        <v>69.0</v>
      </c>
      <c r="N394" s="1">
        <v>99.0</v>
      </c>
      <c r="O394" s="1" t="s">
        <v>21</v>
      </c>
    </row>
    <row r="395" ht="15.75" customHeight="1">
      <c r="A395" s="1" t="s">
        <v>648</v>
      </c>
      <c r="B395" s="1" t="s">
        <v>526</v>
      </c>
      <c r="C395" s="1" t="s">
        <v>32</v>
      </c>
      <c r="D395" s="1" t="s">
        <v>40</v>
      </c>
      <c r="E395" s="1" t="s">
        <v>19</v>
      </c>
      <c r="F395" s="1" t="s">
        <v>26</v>
      </c>
      <c r="G395" s="1">
        <v>61.0</v>
      </c>
      <c r="H395" s="1">
        <v>100.0</v>
      </c>
      <c r="I395" s="1">
        <v>73.0</v>
      </c>
      <c r="J395" s="1">
        <v>48.0</v>
      </c>
      <c r="K395" s="1">
        <v>60.0</v>
      </c>
      <c r="L395" s="1">
        <v>342.0</v>
      </c>
      <c r="M395" s="1">
        <v>68.4</v>
      </c>
      <c r="N395" s="1">
        <v>92.0</v>
      </c>
      <c r="O395" s="1" t="s">
        <v>21</v>
      </c>
    </row>
    <row r="396" ht="15.75" customHeight="1">
      <c r="A396" s="1" t="s">
        <v>649</v>
      </c>
      <c r="B396" s="1" t="s">
        <v>471</v>
      </c>
      <c r="C396" s="1" t="s">
        <v>32</v>
      </c>
      <c r="D396" s="1" t="s">
        <v>54</v>
      </c>
      <c r="E396" s="1" t="s">
        <v>25</v>
      </c>
      <c r="F396" s="1" t="s">
        <v>55</v>
      </c>
      <c r="G396" s="1">
        <v>52.0</v>
      </c>
      <c r="H396" s="1">
        <v>65.0</v>
      </c>
      <c r="I396" s="1">
        <v>89.0</v>
      </c>
      <c r="J396" s="1">
        <v>66.0</v>
      </c>
      <c r="K396" s="1">
        <v>84.0</v>
      </c>
      <c r="L396" s="1">
        <v>356.0</v>
      </c>
      <c r="M396" s="1">
        <v>71.2</v>
      </c>
      <c r="N396" s="1">
        <v>82.0</v>
      </c>
      <c r="O396" s="1" t="s">
        <v>21</v>
      </c>
    </row>
    <row r="397" ht="15.75" customHeight="1">
      <c r="A397" s="1" t="s">
        <v>650</v>
      </c>
      <c r="B397" s="1" t="s">
        <v>651</v>
      </c>
      <c r="C397" s="1" t="s">
        <v>17</v>
      </c>
      <c r="D397" s="1" t="s">
        <v>24</v>
      </c>
      <c r="E397" s="1" t="s">
        <v>19</v>
      </c>
      <c r="F397" s="1" t="s">
        <v>62</v>
      </c>
      <c r="G397" s="1">
        <v>42.0</v>
      </c>
      <c r="H397" s="1">
        <v>42.0</v>
      </c>
      <c r="I397" s="1">
        <v>52.0</v>
      </c>
      <c r="J397" s="1">
        <v>46.0</v>
      </c>
      <c r="K397" s="1">
        <v>50.0</v>
      </c>
      <c r="L397" s="1">
        <v>232.0</v>
      </c>
      <c r="M397" s="1">
        <v>46.4</v>
      </c>
      <c r="N397" s="1">
        <v>90.0</v>
      </c>
      <c r="O397" s="1" t="s">
        <v>652</v>
      </c>
    </row>
    <row r="398" ht="15.75" customHeight="1">
      <c r="A398" s="1" t="s">
        <v>653</v>
      </c>
      <c r="B398" s="1" t="s">
        <v>204</v>
      </c>
      <c r="C398" s="1" t="s">
        <v>17</v>
      </c>
      <c r="D398" s="1" t="s">
        <v>24</v>
      </c>
      <c r="E398" s="1" t="s">
        <v>47</v>
      </c>
      <c r="F398" s="1" t="s">
        <v>62</v>
      </c>
      <c r="G398" s="1">
        <v>90.0</v>
      </c>
      <c r="H398" s="1">
        <v>56.0</v>
      </c>
      <c r="I398" s="1">
        <v>84.0</v>
      </c>
      <c r="J398" s="1">
        <v>63.0</v>
      </c>
      <c r="K398" s="1">
        <v>88.0</v>
      </c>
      <c r="L398" s="1">
        <v>381.0</v>
      </c>
      <c r="M398" s="1">
        <v>76.2</v>
      </c>
      <c r="N398" s="1">
        <v>80.0</v>
      </c>
      <c r="O398" s="1" t="s">
        <v>21</v>
      </c>
    </row>
    <row r="399" ht="15.75" customHeight="1">
      <c r="A399" s="1" t="s">
        <v>654</v>
      </c>
      <c r="B399" s="1" t="s">
        <v>530</v>
      </c>
      <c r="C399" s="1" t="s">
        <v>32</v>
      </c>
      <c r="D399" s="1" t="s">
        <v>40</v>
      </c>
      <c r="E399" s="1" t="s">
        <v>47</v>
      </c>
      <c r="F399" s="1" t="s">
        <v>26</v>
      </c>
      <c r="G399" s="1">
        <v>60.0</v>
      </c>
      <c r="H399" s="1">
        <v>51.0</v>
      </c>
      <c r="I399" s="1">
        <v>91.0</v>
      </c>
      <c r="J399" s="1">
        <v>49.0</v>
      </c>
      <c r="K399" s="1">
        <v>81.0</v>
      </c>
      <c r="L399" s="1">
        <v>332.0</v>
      </c>
      <c r="M399" s="1">
        <v>66.4</v>
      </c>
      <c r="N399" s="1">
        <v>75.0</v>
      </c>
      <c r="O399" s="1" t="s">
        <v>21</v>
      </c>
    </row>
    <row r="400" ht="15.75" customHeight="1">
      <c r="A400" s="1" t="s">
        <v>655</v>
      </c>
      <c r="B400" s="1" t="s">
        <v>429</v>
      </c>
      <c r="C400" s="1" t="s">
        <v>17</v>
      </c>
      <c r="D400" s="1" t="s">
        <v>18</v>
      </c>
      <c r="E400" s="1" t="s">
        <v>47</v>
      </c>
      <c r="F400" s="1" t="s">
        <v>26</v>
      </c>
      <c r="G400" s="1">
        <v>59.0</v>
      </c>
      <c r="H400" s="1">
        <v>53.0</v>
      </c>
      <c r="I400" s="1">
        <v>97.0</v>
      </c>
      <c r="J400" s="1">
        <v>48.0</v>
      </c>
      <c r="K400" s="1">
        <v>96.0</v>
      </c>
      <c r="L400" s="1">
        <v>353.0</v>
      </c>
      <c r="M400" s="1">
        <v>70.6</v>
      </c>
      <c r="N400" s="1">
        <v>85.0</v>
      </c>
      <c r="O400" s="1" t="s">
        <v>21</v>
      </c>
    </row>
    <row r="401" ht="15.75" customHeight="1">
      <c r="A401" s="1" t="s">
        <v>656</v>
      </c>
      <c r="B401" s="1" t="s">
        <v>145</v>
      </c>
      <c r="C401" s="1" t="s">
        <v>17</v>
      </c>
      <c r="D401" s="1" t="s">
        <v>29</v>
      </c>
      <c r="E401" s="1" t="s">
        <v>25</v>
      </c>
      <c r="F401" s="1" t="s">
        <v>20</v>
      </c>
      <c r="G401" s="1">
        <v>87.0</v>
      </c>
      <c r="H401" s="1">
        <v>52.0</v>
      </c>
      <c r="I401" s="1">
        <v>98.0</v>
      </c>
      <c r="J401" s="1">
        <v>66.0</v>
      </c>
      <c r="K401" s="1">
        <v>80.0</v>
      </c>
      <c r="L401" s="1">
        <v>383.0</v>
      </c>
      <c r="M401" s="1">
        <v>76.6</v>
      </c>
      <c r="N401" s="1">
        <v>95.0</v>
      </c>
      <c r="O401" s="1" t="s">
        <v>21</v>
      </c>
    </row>
    <row r="402" ht="15.75" customHeight="1">
      <c r="A402" s="1" t="s">
        <v>657</v>
      </c>
      <c r="B402" s="1" t="s">
        <v>340</v>
      </c>
      <c r="C402" s="1" t="s">
        <v>17</v>
      </c>
      <c r="D402" s="1" t="s">
        <v>29</v>
      </c>
      <c r="E402" s="1" t="s">
        <v>25</v>
      </c>
      <c r="F402" s="1" t="s">
        <v>55</v>
      </c>
      <c r="G402" s="1">
        <v>90.0</v>
      </c>
      <c r="H402" s="1">
        <v>76.0</v>
      </c>
      <c r="I402" s="1">
        <v>70.0</v>
      </c>
      <c r="J402" s="1">
        <v>96.0</v>
      </c>
      <c r="K402" s="1">
        <v>50.0</v>
      </c>
      <c r="L402" s="1">
        <v>382.0</v>
      </c>
      <c r="M402" s="1">
        <v>76.4</v>
      </c>
      <c r="N402" s="1">
        <v>71.0</v>
      </c>
      <c r="O402" s="1" t="s">
        <v>21</v>
      </c>
    </row>
    <row r="403" ht="15.75" customHeight="1">
      <c r="A403" s="1" t="s">
        <v>658</v>
      </c>
      <c r="B403" s="1" t="s">
        <v>167</v>
      </c>
      <c r="C403" s="1" t="s">
        <v>17</v>
      </c>
      <c r="D403" s="1" t="s">
        <v>40</v>
      </c>
      <c r="E403" s="1" t="s">
        <v>19</v>
      </c>
      <c r="F403" s="1" t="s">
        <v>37</v>
      </c>
      <c r="G403" s="1">
        <v>63.0</v>
      </c>
      <c r="H403" s="1">
        <v>55.0</v>
      </c>
      <c r="I403" s="1">
        <v>98.0</v>
      </c>
      <c r="J403" s="1">
        <v>65.0</v>
      </c>
      <c r="K403" s="1">
        <v>47.0</v>
      </c>
      <c r="L403" s="1">
        <v>328.0</v>
      </c>
      <c r="M403" s="1">
        <v>65.6</v>
      </c>
      <c r="N403" s="1">
        <v>82.0</v>
      </c>
      <c r="O403" s="1" t="s">
        <v>21</v>
      </c>
    </row>
    <row r="404" ht="15.75" customHeight="1">
      <c r="A404" s="1" t="s">
        <v>659</v>
      </c>
      <c r="B404" s="1" t="s">
        <v>564</v>
      </c>
      <c r="C404" s="1" t="s">
        <v>32</v>
      </c>
      <c r="D404" s="1" t="s">
        <v>29</v>
      </c>
      <c r="E404" s="1" t="s">
        <v>47</v>
      </c>
      <c r="F404" s="1" t="s">
        <v>62</v>
      </c>
      <c r="G404" s="1">
        <v>78.0</v>
      </c>
      <c r="H404" s="1">
        <v>41.0</v>
      </c>
      <c r="I404" s="1">
        <v>44.0</v>
      </c>
      <c r="J404" s="1">
        <v>52.0</v>
      </c>
      <c r="K404" s="1">
        <v>89.0</v>
      </c>
      <c r="L404" s="1">
        <v>304.0</v>
      </c>
      <c r="M404" s="1">
        <v>60.8</v>
      </c>
      <c r="N404" s="1">
        <v>92.0</v>
      </c>
      <c r="O404" s="1" t="s">
        <v>21</v>
      </c>
    </row>
    <row r="405" ht="15.75" customHeight="1">
      <c r="A405" s="1" t="s">
        <v>660</v>
      </c>
      <c r="B405" s="1" t="s">
        <v>183</v>
      </c>
      <c r="C405" s="1" t="s">
        <v>32</v>
      </c>
      <c r="D405" s="1" t="s">
        <v>40</v>
      </c>
      <c r="E405" s="1" t="s">
        <v>19</v>
      </c>
      <c r="F405" s="1" t="s">
        <v>44</v>
      </c>
      <c r="G405" s="1">
        <v>66.0</v>
      </c>
      <c r="H405" s="1">
        <v>50.0</v>
      </c>
      <c r="I405" s="1">
        <v>72.0</v>
      </c>
      <c r="J405" s="1">
        <v>82.0</v>
      </c>
      <c r="K405" s="1">
        <v>83.0</v>
      </c>
      <c r="L405" s="1">
        <v>353.0</v>
      </c>
      <c r="M405" s="1">
        <v>70.6</v>
      </c>
      <c r="N405" s="1">
        <v>74.0</v>
      </c>
      <c r="O405" s="1" t="s">
        <v>21</v>
      </c>
    </row>
    <row r="406" ht="15.75" customHeight="1">
      <c r="A406" s="1" t="s">
        <v>661</v>
      </c>
      <c r="B406" s="1" t="s">
        <v>514</v>
      </c>
      <c r="C406" s="1" t="s">
        <v>17</v>
      </c>
      <c r="D406" s="1" t="s">
        <v>24</v>
      </c>
      <c r="E406" s="1" t="s">
        <v>19</v>
      </c>
      <c r="F406" s="1" t="s">
        <v>41</v>
      </c>
      <c r="G406" s="1">
        <v>53.0</v>
      </c>
      <c r="H406" s="1">
        <v>99.0</v>
      </c>
      <c r="I406" s="1">
        <v>49.0</v>
      </c>
      <c r="J406" s="1">
        <v>86.0</v>
      </c>
      <c r="K406" s="1">
        <v>91.0</v>
      </c>
      <c r="L406" s="1">
        <v>378.0</v>
      </c>
      <c r="M406" s="1">
        <v>75.6</v>
      </c>
      <c r="N406" s="1">
        <v>66.0</v>
      </c>
      <c r="O406" s="1" t="s">
        <v>21</v>
      </c>
    </row>
    <row r="407" ht="15.75" customHeight="1">
      <c r="A407" s="1" t="s">
        <v>662</v>
      </c>
      <c r="B407" s="1" t="s">
        <v>471</v>
      </c>
      <c r="C407" s="1" t="s">
        <v>32</v>
      </c>
      <c r="D407" s="1" t="s">
        <v>29</v>
      </c>
      <c r="E407" s="1" t="s">
        <v>47</v>
      </c>
      <c r="F407" s="1" t="s">
        <v>20</v>
      </c>
      <c r="G407" s="1">
        <v>67.0</v>
      </c>
      <c r="H407" s="1">
        <v>76.0</v>
      </c>
      <c r="I407" s="1">
        <v>51.0</v>
      </c>
      <c r="J407" s="1">
        <v>52.0</v>
      </c>
      <c r="K407" s="1">
        <v>87.0</v>
      </c>
      <c r="L407" s="1">
        <v>333.0</v>
      </c>
      <c r="M407" s="1">
        <v>66.6</v>
      </c>
      <c r="N407" s="1">
        <v>83.0</v>
      </c>
      <c r="O407" s="1" t="s">
        <v>21</v>
      </c>
    </row>
    <row r="408" ht="15.75" customHeight="1">
      <c r="A408" s="1" t="s">
        <v>663</v>
      </c>
      <c r="B408" s="1" t="s">
        <v>153</v>
      </c>
      <c r="C408" s="1" t="s">
        <v>32</v>
      </c>
      <c r="D408" s="1" t="s">
        <v>54</v>
      </c>
      <c r="E408" s="1" t="s">
        <v>25</v>
      </c>
      <c r="F408" s="1" t="s">
        <v>55</v>
      </c>
      <c r="G408" s="1">
        <v>100.0</v>
      </c>
      <c r="H408" s="1">
        <v>92.0</v>
      </c>
      <c r="I408" s="1">
        <v>94.0</v>
      </c>
      <c r="J408" s="1">
        <v>64.0</v>
      </c>
      <c r="K408" s="1">
        <v>79.0</v>
      </c>
      <c r="L408" s="1">
        <v>429.0</v>
      </c>
      <c r="M408" s="1">
        <v>85.8</v>
      </c>
      <c r="N408" s="1">
        <v>68.0</v>
      </c>
      <c r="O408" s="1" t="s">
        <v>21</v>
      </c>
    </row>
    <row r="409" ht="15.75" customHeight="1">
      <c r="A409" s="1" t="s">
        <v>664</v>
      </c>
      <c r="B409" s="1" t="s">
        <v>161</v>
      </c>
      <c r="C409" s="1" t="s">
        <v>17</v>
      </c>
      <c r="D409" s="1" t="s">
        <v>54</v>
      </c>
      <c r="E409" s="1" t="s">
        <v>19</v>
      </c>
      <c r="F409" s="1" t="s">
        <v>77</v>
      </c>
      <c r="G409" s="1">
        <v>40.0</v>
      </c>
      <c r="H409" s="1">
        <v>80.0</v>
      </c>
      <c r="I409" s="1">
        <v>97.0</v>
      </c>
      <c r="J409" s="1">
        <v>94.0</v>
      </c>
      <c r="K409" s="1">
        <v>96.0</v>
      </c>
      <c r="L409" s="1">
        <v>407.0</v>
      </c>
      <c r="M409" s="1">
        <v>81.4</v>
      </c>
      <c r="N409" s="1">
        <v>74.0</v>
      </c>
      <c r="O409" s="1" t="s">
        <v>21</v>
      </c>
    </row>
    <row r="410" ht="15.75" customHeight="1">
      <c r="A410" s="1" t="s">
        <v>665</v>
      </c>
      <c r="B410" s="1" t="s">
        <v>167</v>
      </c>
      <c r="C410" s="1" t="s">
        <v>32</v>
      </c>
      <c r="D410" s="1" t="s">
        <v>29</v>
      </c>
      <c r="E410" s="1" t="s">
        <v>19</v>
      </c>
      <c r="F410" s="1" t="s">
        <v>26</v>
      </c>
      <c r="G410" s="1">
        <v>75.0</v>
      </c>
      <c r="H410" s="1">
        <v>80.0</v>
      </c>
      <c r="I410" s="1">
        <v>100.0</v>
      </c>
      <c r="J410" s="1">
        <v>67.0</v>
      </c>
      <c r="K410" s="1">
        <v>91.0</v>
      </c>
      <c r="L410" s="1">
        <v>413.0</v>
      </c>
      <c r="M410" s="1">
        <v>82.6</v>
      </c>
      <c r="N410" s="1">
        <v>97.0</v>
      </c>
      <c r="O410" s="1" t="s">
        <v>21</v>
      </c>
    </row>
    <row r="411" ht="15.75" customHeight="1">
      <c r="A411" s="1" t="s">
        <v>666</v>
      </c>
      <c r="B411" s="1" t="s">
        <v>383</v>
      </c>
      <c r="C411" s="1" t="s">
        <v>17</v>
      </c>
      <c r="D411" s="1" t="s">
        <v>24</v>
      </c>
      <c r="E411" s="1" t="s">
        <v>19</v>
      </c>
      <c r="F411" s="1" t="s">
        <v>20</v>
      </c>
      <c r="G411" s="1">
        <v>94.0</v>
      </c>
      <c r="H411" s="1">
        <v>70.0</v>
      </c>
      <c r="I411" s="1">
        <v>55.0</v>
      </c>
      <c r="J411" s="1">
        <v>91.0</v>
      </c>
      <c r="K411" s="1">
        <v>87.0</v>
      </c>
      <c r="L411" s="1">
        <v>397.0</v>
      </c>
      <c r="M411" s="1">
        <v>79.4</v>
      </c>
      <c r="N411" s="1">
        <v>62.0</v>
      </c>
      <c r="O411" s="1" t="s">
        <v>21</v>
      </c>
    </row>
    <row r="412" ht="15.75" customHeight="1">
      <c r="A412" s="1" t="s">
        <v>667</v>
      </c>
      <c r="B412" s="1" t="s">
        <v>534</v>
      </c>
      <c r="C412" s="1" t="s">
        <v>17</v>
      </c>
      <c r="D412" s="1" t="s">
        <v>29</v>
      </c>
      <c r="E412" s="1" t="s">
        <v>19</v>
      </c>
      <c r="F412" s="1" t="s">
        <v>41</v>
      </c>
      <c r="G412" s="1">
        <v>76.0</v>
      </c>
      <c r="H412" s="1">
        <v>41.0</v>
      </c>
      <c r="I412" s="1">
        <v>49.0</v>
      </c>
      <c r="J412" s="1">
        <v>54.0</v>
      </c>
      <c r="K412" s="1">
        <v>48.0</v>
      </c>
      <c r="L412" s="1">
        <v>268.0</v>
      </c>
      <c r="M412" s="1">
        <v>53.6</v>
      </c>
      <c r="N412" s="1">
        <v>88.0</v>
      </c>
      <c r="O412" s="1" t="s">
        <v>21</v>
      </c>
    </row>
    <row r="413" ht="15.75" customHeight="1">
      <c r="A413" s="1" t="s">
        <v>668</v>
      </c>
      <c r="B413" s="1" t="s">
        <v>23</v>
      </c>
      <c r="C413" s="1" t="s">
        <v>17</v>
      </c>
      <c r="D413" s="1" t="s">
        <v>29</v>
      </c>
      <c r="E413" s="1" t="s">
        <v>19</v>
      </c>
      <c r="F413" s="1" t="s">
        <v>20</v>
      </c>
      <c r="G413" s="1">
        <v>40.0</v>
      </c>
      <c r="H413" s="1">
        <v>57.0</v>
      </c>
      <c r="I413" s="1">
        <v>62.0</v>
      </c>
      <c r="J413" s="1">
        <v>43.0</v>
      </c>
      <c r="K413" s="1">
        <v>70.0</v>
      </c>
      <c r="L413" s="1">
        <v>272.0</v>
      </c>
      <c r="M413" s="1">
        <v>54.4</v>
      </c>
      <c r="N413" s="1">
        <v>60.0</v>
      </c>
      <c r="O413" s="1" t="s">
        <v>21</v>
      </c>
    </row>
    <row r="414" ht="15.75" customHeight="1">
      <c r="A414" s="1" t="s">
        <v>669</v>
      </c>
      <c r="B414" s="1" t="s">
        <v>333</v>
      </c>
      <c r="C414" s="1" t="s">
        <v>17</v>
      </c>
      <c r="D414" s="1" t="s">
        <v>29</v>
      </c>
      <c r="E414" s="1" t="s">
        <v>25</v>
      </c>
      <c r="F414" s="1" t="s">
        <v>55</v>
      </c>
      <c r="G414" s="1">
        <v>61.0</v>
      </c>
      <c r="H414" s="1">
        <v>78.0</v>
      </c>
      <c r="I414" s="1">
        <v>100.0</v>
      </c>
      <c r="J414" s="1">
        <v>92.0</v>
      </c>
      <c r="K414" s="1">
        <v>45.0</v>
      </c>
      <c r="L414" s="1">
        <v>376.0</v>
      </c>
      <c r="M414" s="1">
        <v>75.2</v>
      </c>
      <c r="N414" s="1">
        <v>82.0</v>
      </c>
      <c r="O414" s="1" t="s">
        <v>21</v>
      </c>
    </row>
    <row r="415" ht="15.75" customHeight="1">
      <c r="A415" s="1" t="s">
        <v>670</v>
      </c>
      <c r="B415" s="1" t="s">
        <v>23</v>
      </c>
      <c r="C415" s="1" t="s">
        <v>32</v>
      </c>
      <c r="D415" s="1" t="s">
        <v>24</v>
      </c>
      <c r="E415" s="1" t="s">
        <v>47</v>
      </c>
      <c r="F415" s="1" t="s">
        <v>41</v>
      </c>
      <c r="G415" s="1">
        <v>54.0</v>
      </c>
      <c r="H415" s="1">
        <v>93.0</v>
      </c>
      <c r="I415" s="1">
        <v>98.0</v>
      </c>
      <c r="J415" s="1">
        <v>85.0</v>
      </c>
      <c r="K415" s="1">
        <v>60.0</v>
      </c>
      <c r="L415" s="1">
        <v>390.0</v>
      </c>
      <c r="M415" s="1">
        <v>78.0</v>
      </c>
      <c r="N415" s="1">
        <v>99.0</v>
      </c>
      <c r="O415" s="1" t="s">
        <v>21</v>
      </c>
    </row>
    <row r="416" ht="15.75" customHeight="1">
      <c r="A416" s="1" t="s">
        <v>671</v>
      </c>
      <c r="B416" s="1" t="s">
        <v>191</v>
      </c>
      <c r="C416" s="1" t="s">
        <v>17</v>
      </c>
      <c r="D416" s="1" t="s">
        <v>29</v>
      </c>
      <c r="E416" s="1" t="s">
        <v>25</v>
      </c>
      <c r="F416" s="1" t="s">
        <v>26</v>
      </c>
      <c r="G416" s="1">
        <v>71.0</v>
      </c>
      <c r="H416" s="1">
        <v>70.0</v>
      </c>
      <c r="I416" s="1">
        <v>43.0</v>
      </c>
      <c r="J416" s="1">
        <v>50.0</v>
      </c>
      <c r="K416" s="1">
        <v>66.0</v>
      </c>
      <c r="L416" s="1">
        <v>300.0</v>
      </c>
      <c r="M416" s="1">
        <v>60.0</v>
      </c>
      <c r="N416" s="1">
        <v>80.0</v>
      </c>
      <c r="O416" s="1" t="s">
        <v>21</v>
      </c>
    </row>
    <row r="417" ht="15.75" customHeight="1">
      <c r="A417" s="1" t="s">
        <v>672</v>
      </c>
      <c r="B417" s="1" t="s">
        <v>167</v>
      </c>
      <c r="C417" s="1" t="s">
        <v>32</v>
      </c>
      <c r="D417" s="1" t="s">
        <v>24</v>
      </c>
      <c r="E417" s="1" t="s">
        <v>47</v>
      </c>
      <c r="F417" s="1" t="s">
        <v>26</v>
      </c>
      <c r="G417" s="1">
        <v>74.0</v>
      </c>
      <c r="H417" s="1">
        <v>75.0</v>
      </c>
      <c r="I417" s="1">
        <v>90.0</v>
      </c>
      <c r="J417" s="1">
        <v>56.0</v>
      </c>
      <c r="K417" s="1">
        <v>62.0</v>
      </c>
      <c r="L417" s="1">
        <v>357.0</v>
      </c>
      <c r="M417" s="1">
        <v>71.4</v>
      </c>
      <c r="N417" s="1">
        <v>91.0</v>
      </c>
      <c r="O417" s="1" t="s">
        <v>21</v>
      </c>
    </row>
    <row r="418" ht="15.75" customHeight="1">
      <c r="A418" s="1" t="s">
        <v>673</v>
      </c>
      <c r="B418" s="1" t="s">
        <v>291</v>
      </c>
      <c r="C418" s="1" t="s">
        <v>17</v>
      </c>
      <c r="D418" s="1" t="s">
        <v>29</v>
      </c>
      <c r="E418" s="1" t="s">
        <v>47</v>
      </c>
      <c r="F418" s="1" t="s">
        <v>37</v>
      </c>
      <c r="G418" s="1">
        <v>40.0</v>
      </c>
      <c r="H418" s="1">
        <v>76.0</v>
      </c>
      <c r="I418" s="1">
        <v>98.0</v>
      </c>
      <c r="J418" s="1">
        <v>80.0</v>
      </c>
      <c r="K418" s="1">
        <v>46.0</v>
      </c>
      <c r="L418" s="1">
        <v>340.0</v>
      </c>
      <c r="M418" s="1">
        <v>68.0</v>
      </c>
      <c r="N418" s="1">
        <v>72.0</v>
      </c>
      <c r="O418" s="1" t="s">
        <v>21</v>
      </c>
    </row>
    <row r="419" ht="15.75" customHeight="1">
      <c r="A419" s="1" t="s">
        <v>674</v>
      </c>
      <c r="B419" s="1" t="s">
        <v>74</v>
      </c>
      <c r="C419" s="1" t="s">
        <v>17</v>
      </c>
      <c r="D419" s="1" t="s">
        <v>18</v>
      </c>
      <c r="E419" s="1" t="s">
        <v>47</v>
      </c>
      <c r="F419" s="1" t="s">
        <v>44</v>
      </c>
      <c r="G419" s="1">
        <v>41.0</v>
      </c>
      <c r="H419" s="1">
        <v>61.0</v>
      </c>
      <c r="I419" s="1">
        <v>75.0</v>
      </c>
      <c r="J419" s="1">
        <v>74.0</v>
      </c>
      <c r="K419" s="1">
        <v>74.0</v>
      </c>
      <c r="L419" s="1">
        <v>325.0</v>
      </c>
      <c r="M419" s="1">
        <v>65.0</v>
      </c>
      <c r="N419" s="1">
        <v>84.0</v>
      </c>
      <c r="O419" s="1" t="s">
        <v>21</v>
      </c>
    </row>
    <row r="420" ht="15.75" customHeight="1">
      <c r="A420" s="1" t="s">
        <v>675</v>
      </c>
      <c r="B420" s="1" t="s">
        <v>459</v>
      </c>
      <c r="C420" s="1" t="s">
        <v>17</v>
      </c>
      <c r="D420" s="1" t="s">
        <v>24</v>
      </c>
      <c r="E420" s="1" t="s">
        <v>19</v>
      </c>
      <c r="F420" s="1" t="s">
        <v>20</v>
      </c>
      <c r="G420" s="1">
        <v>45.0</v>
      </c>
      <c r="H420" s="1">
        <v>78.0</v>
      </c>
      <c r="I420" s="1">
        <v>65.0</v>
      </c>
      <c r="J420" s="1">
        <v>86.0</v>
      </c>
      <c r="K420" s="1">
        <v>79.0</v>
      </c>
      <c r="L420" s="1">
        <v>353.0</v>
      </c>
      <c r="M420" s="1">
        <v>70.6</v>
      </c>
      <c r="N420" s="1">
        <v>76.0</v>
      </c>
      <c r="O420" s="1" t="s">
        <v>21</v>
      </c>
    </row>
    <row r="421" ht="15.75" customHeight="1">
      <c r="A421" s="1" t="s">
        <v>676</v>
      </c>
      <c r="B421" s="1" t="s">
        <v>268</v>
      </c>
      <c r="C421" s="1" t="s">
        <v>17</v>
      </c>
      <c r="D421" s="1" t="s">
        <v>54</v>
      </c>
      <c r="E421" s="1" t="s">
        <v>47</v>
      </c>
      <c r="F421" s="1" t="s">
        <v>37</v>
      </c>
      <c r="G421" s="1">
        <v>97.0</v>
      </c>
      <c r="H421" s="1">
        <v>74.0</v>
      </c>
      <c r="I421" s="1">
        <v>85.0</v>
      </c>
      <c r="J421" s="1">
        <v>86.0</v>
      </c>
      <c r="K421" s="1">
        <v>85.0</v>
      </c>
      <c r="L421" s="1">
        <v>427.0</v>
      </c>
      <c r="M421" s="1">
        <v>85.4</v>
      </c>
      <c r="N421" s="1">
        <v>92.0</v>
      </c>
      <c r="O421" s="1" t="s">
        <v>21</v>
      </c>
    </row>
    <row r="422" ht="15.75" customHeight="1">
      <c r="A422" s="1" t="s">
        <v>677</v>
      </c>
      <c r="B422" s="1" t="s">
        <v>467</v>
      </c>
      <c r="C422" s="1" t="s">
        <v>32</v>
      </c>
      <c r="D422" s="1" t="s">
        <v>24</v>
      </c>
      <c r="E422" s="1" t="s">
        <v>47</v>
      </c>
      <c r="F422" s="1" t="s">
        <v>20</v>
      </c>
      <c r="G422" s="1">
        <v>63.0</v>
      </c>
      <c r="H422" s="1">
        <v>60.0</v>
      </c>
      <c r="I422" s="1">
        <v>63.0</v>
      </c>
      <c r="J422" s="1">
        <v>57.0</v>
      </c>
      <c r="K422" s="1">
        <v>49.0</v>
      </c>
      <c r="L422" s="1">
        <v>292.0</v>
      </c>
      <c r="M422" s="1">
        <v>58.4</v>
      </c>
      <c r="N422" s="1">
        <v>87.0</v>
      </c>
      <c r="O422" s="1" t="s">
        <v>21</v>
      </c>
    </row>
    <row r="423" ht="15.75" customHeight="1">
      <c r="A423" s="1" t="s">
        <v>678</v>
      </c>
      <c r="B423" s="1" t="s">
        <v>277</v>
      </c>
      <c r="C423" s="1" t="s">
        <v>17</v>
      </c>
      <c r="D423" s="1" t="s">
        <v>29</v>
      </c>
      <c r="E423" s="1" t="s">
        <v>19</v>
      </c>
      <c r="F423" s="1" t="s">
        <v>77</v>
      </c>
      <c r="G423" s="1">
        <v>43.0</v>
      </c>
      <c r="H423" s="1">
        <v>43.0</v>
      </c>
      <c r="I423" s="1">
        <v>67.0</v>
      </c>
      <c r="J423" s="1">
        <v>66.0</v>
      </c>
      <c r="K423" s="1">
        <v>47.0</v>
      </c>
      <c r="L423" s="1">
        <v>266.0</v>
      </c>
      <c r="M423" s="1">
        <v>53.2</v>
      </c>
      <c r="N423" s="1">
        <v>97.0</v>
      </c>
      <c r="O423" s="1" t="s">
        <v>21</v>
      </c>
    </row>
    <row r="424" ht="15.75" customHeight="1">
      <c r="A424" s="1" t="s">
        <v>679</v>
      </c>
      <c r="B424" s="1" t="s">
        <v>548</v>
      </c>
      <c r="C424" s="1" t="s">
        <v>17</v>
      </c>
      <c r="D424" s="1" t="s">
        <v>29</v>
      </c>
      <c r="E424" s="1" t="s">
        <v>19</v>
      </c>
      <c r="F424" s="1" t="s">
        <v>62</v>
      </c>
      <c r="G424" s="1">
        <v>83.0</v>
      </c>
      <c r="H424" s="1">
        <v>86.0</v>
      </c>
      <c r="I424" s="1">
        <v>83.0</v>
      </c>
      <c r="J424" s="1">
        <v>82.0</v>
      </c>
      <c r="K424" s="1">
        <v>58.0</v>
      </c>
      <c r="L424" s="1">
        <v>392.0</v>
      </c>
      <c r="M424" s="1">
        <v>78.4</v>
      </c>
      <c r="N424" s="1">
        <v>78.0</v>
      </c>
      <c r="O424" s="1" t="s">
        <v>21</v>
      </c>
    </row>
    <row r="425" ht="15.75" customHeight="1">
      <c r="A425" s="1" t="s">
        <v>680</v>
      </c>
      <c r="B425" s="1" t="s">
        <v>508</v>
      </c>
      <c r="C425" s="1" t="s">
        <v>17</v>
      </c>
      <c r="D425" s="1" t="s">
        <v>24</v>
      </c>
      <c r="E425" s="1" t="s">
        <v>47</v>
      </c>
      <c r="F425" s="1" t="s">
        <v>55</v>
      </c>
      <c r="G425" s="1">
        <v>41.0</v>
      </c>
      <c r="H425" s="1">
        <v>47.0</v>
      </c>
      <c r="I425" s="1">
        <v>74.0</v>
      </c>
      <c r="J425" s="1">
        <v>96.0</v>
      </c>
      <c r="K425" s="1">
        <v>48.0</v>
      </c>
      <c r="L425" s="1">
        <v>306.0</v>
      </c>
      <c r="M425" s="1">
        <v>61.2</v>
      </c>
      <c r="N425" s="1">
        <v>95.0</v>
      </c>
      <c r="O425" s="1" t="s">
        <v>21</v>
      </c>
    </row>
    <row r="426" ht="15.75" customHeight="1">
      <c r="A426" s="1" t="s">
        <v>681</v>
      </c>
      <c r="B426" s="1" t="s">
        <v>256</v>
      </c>
      <c r="C426" s="1" t="s">
        <v>17</v>
      </c>
      <c r="D426" s="1" t="s">
        <v>29</v>
      </c>
      <c r="E426" s="1" t="s">
        <v>19</v>
      </c>
      <c r="F426" s="1" t="s">
        <v>41</v>
      </c>
      <c r="G426" s="1">
        <v>55.0</v>
      </c>
      <c r="H426" s="1">
        <v>70.0</v>
      </c>
      <c r="I426" s="1">
        <v>61.0</v>
      </c>
      <c r="J426" s="1">
        <v>80.0</v>
      </c>
      <c r="K426" s="1">
        <v>58.0</v>
      </c>
      <c r="L426" s="1">
        <v>324.0</v>
      </c>
      <c r="M426" s="1">
        <v>64.8</v>
      </c>
      <c r="N426" s="1">
        <v>91.0</v>
      </c>
      <c r="O426" s="1" t="s">
        <v>21</v>
      </c>
    </row>
    <row r="427" ht="15.75" customHeight="1">
      <c r="A427" s="1" t="s">
        <v>682</v>
      </c>
      <c r="B427" s="1" t="s">
        <v>683</v>
      </c>
      <c r="C427" s="1" t="s">
        <v>17</v>
      </c>
      <c r="D427" s="1" t="s">
        <v>29</v>
      </c>
      <c r="E427" s="1" t="s">
        <v>19</v>
      </c>
      <c r="F427" s="1" t="s">
        <v>55</v>
      </c>
      <c r="G427" s="1">
        <v>77.0</v>
      </c>
      <c r="H427" s="1">
        <v>44.0</v>
      </c>
      <c r="I427" s="1">
        <v>84.0</v>
      </c>
      <c r="J427" s="1">
        <v>40.0</v>
      </c>
      <c r="K427" s="1">
        <v>88.0</v>
      </c>
      <c r="L427" s="1">
        <v>333.0</v>
      </c>
      <c r="M427" s="1">
        <v>66.6</v>
      </c>
      <c r="N427" s="1">
        <v>96.0</v>
      </c>
      <c r="O427" s="1" t="s">
        <v>21</v>
      </c>
    </row>
    <row r="428" ht="15.75" customHeight="1">
      <c r="A428" s="1" t="s">
        <v>684</v>
      </c>
      <c r="B428" s="1" t="s">
        <v>595</v>
      </c>
      <c r="C428" s="1" t="s">
        <v>32</v>
      </c>
      <c r="D428" s="1" t="s">
        <v>24</v>
      </c>
      <c r="E428" s="1" t="s">
        <v>19</v>
      </c>
      <c r="F428" s="1" t="s">
        <v>55</v>
      </c>
      <c r="G428" s="1">
        <v>95.0</v>
      </c>
      <c r="H428" s="1">
        <v>62.0</v>
      </c>
      <c r="I428" s="1">
        <v>63.0</v>
      </c>
      <c r="J428" s="1">
        <v>74.0</v>
      </c>
      <c r="K428" s="1">
        <v>97.0</v>
      </c>
      <c r="L428" s="1">
        <v>391.0</v>
      </c>
      <c r="M428" s="1">
        <v>78.2</v>
      </c>
      <c r="N428" s="1">
        <v>79.0</v>
      </c>
      <c r="O428" s="1" t="s">
        <v>21</v>
      </c>
    </row>
    <row r="429" ht="15.75" customHeight="1">
      <c r="A429" s="1" t="s">
        <v>685</v>
      </c>
      <c r="B429" s="1" t="s">
        <v>208</v>
      </c>
      <c r="C429" s="1" t="s">
        <v>17</v>
      </c>
      <c r="D429" s="1" t="s">
        <v>18</v>
      </c>
      <c r="E429" s="1" t="s">
        <v>25</v>
      </c>
      <c r="F429" s="1" t="s">
        <v>41</v>
      </c>
      <c r="G429" s="1">
        <v>83.0</v>
      </c>
      <c r="H429" s="1">
        <v>86.0</v>
      </c>
      <c r="I429" s="1">
        <v>51.0</v>
      </c>
      <c r="J429" s="1">
        <v>84.0</v>
      </c>
      <c r="K429" s="1">
        <v>85.0</v>
      </c>
      <c r="L429" s="1">
        <v>389.0</v>
      </c>
      <c r="M429" s="1">
        <v>77.8</v>
      </c>
      <c r="N429" s="1">
        <v>61.0</v>
      </c>
      <c r="O429" s="1" t="s">
        <v>21</v>
      </c>
    </row>
    <row r="430" ht="15.75" customHeight="1">
      <c r="A430" s="1" t="s">
        <v>686</v>
      </c>
      <c r="B430" s="1" t="s">
        <v>561</v>
      </c>
      <c r="C430" s="1" t="s">
        <v>17</v>
      </c>
      <c r="D430" s="1" t="s">
        <v>40</v>
      </c>
      <c r="E430" s="1" t="s">
        <v>47</v>
      </c>
      <c r="F430" s="1" t="s">
        <v>41</v>
      </c>
      <c r="G430" s="1">
        <v>48.0</v>
      </c>
      <c r="H430" s="1">
        <v>72.0</v>
      </c>
      <c r="I430" s="1">
        <v>87.0</v>
      </c>
      <c r="J430" s="1">
        <v>78.0</v>
      </c>
      <c r="K430" s="1">
        <v>47.0</v>
      </c>
      <c r="L430" s="1">
        <v>332.0</v>
      </c>
      <c r="M430" s="1">
        <v>66.4</v>
      </c>
      <c r="N430" s="1">
        <v>99.0</v>
      </c>
      <c r="O430" s="1" t="s">
        <v>21</v>
      </c>
    </row>
    <row r="431" ht="15.75" customHeight="1">
      <c r="A431" s="1" t="s">
        <v>687</v>
      </c>
      <c r="B431" s="1" t="s">
        <v>324</v>
      </c>
      <c r="C431" s="1" t="s">
        <v>32</v>
      </c>
      <c r="D431" s="1" t="s">
        <v>40</v>
      </c>
      <c r="E431" s="1" t="s">
        <v>19</v>
      </c>
      <c r="F431" s="1" t="s">
        <v>41</v>
      </c>
      <c r="G431" s="1">
        <v>55.0</v>
      </c>
      <c r="H431" s="1">
        <v>83.0</v>
      </c>
      <c r="I431" s="1">
        <v>99.0</v>
      </c>
      <c r="J431" s="1">
        <v>53.0</v>
      </c>
      <c r="K431" s="1">
        <v>49.0</v>
      </c>
      <c r="L431" s="1">
        <v>339.0</v>
      </c>
      <c r="M431" s="1">
        <v>67.8</v>
      </c>
      <c r="N431" s="1">
        <v>84.0</v>
      </c>
      <c r="O431" s="1" t="s">
        <v>21</v>
      </c>
    </row>
    <row r="432" ht="15.75" customHeight="1">
      <c r="A432" s="1" t="s">
        <v>688</v>
      </c>
      <c r="B432" s="1" t="s">
        <v>689</v>
      </c>
      <c r="C432" s="1" t="s">
        <v>17</v>
      </c>
      <c r="D432" s="1" t="s">
        <v>54</v>
      </c>
      <c r="E432" s="1" t="s">
        <v>19</v>
      </c>
      <c r="F432" s="1" t="s">
        <v>44</v>
      </c>
      <c r="G432" s="1">
        <v>82.0</v>
      </c>
      <c r="H432" s="1">
        <v>78.0</v>
      </c>
      <c r="I432" s="1">
        <v>42.0</v>
      </c>
      <c r="J432" s="1">
        <v>84.0</v>
      </c>
      <c r="K432" s="1">
        <v>52.0</v>
      </c>
      <c r="L432" s="1">
        <v>338.0</v>
      </c>
      <c r="M432" s="1">
        <v>67.6</v>
      </c>
      <c r="N432" s="1">
        <v>88.0</v>
      </c>
      <c r="O432" s="1" t="s">
        <v>21</v>
      </c>
    </row>
    <row r="433" ht="15.75" customHeight="1">
      <c r="A433" s="1" t="s">
        <v>690</v>
      </c>
      <c r="B433" s="1" t="s">
        <v>628</v>
      </c>
      <c r="C433" s="1" t="s">
        <v>17</v>
      </c>
      <c r="D433" s="1" t="s">
        <v>40</v>
      </c>
      <c r="E433" s="1" t="s">
        <v>25</v>
      </c>
      <c r="F433" s="1" t="s">
        <v>20</v>
      </c>
      <c r="G433" s="1">
        <v>71.0</v>
      </c>
      <c r="H433" s="1">
        <v>97.0</v>
      </c>
      <c r="I433" s="1">
        <v>92.0</v>
      </c>
      <c r="J433" s="1">
        <v>53.0</v>
      </c>
      <c r="K433" s="1">
        <v>97.0</v>
      </c>
      <c r="L433" s="1">
        <v>410.0</v>
      </c>
      <c r="M433" s="1">
        <v>82.0</v>
      </c>
      <c r="N433" s="1">
        <v>87.0</v>
      </c>
      <c r="O433" s="1" t="s">
        <v>21</v>
      </c>
    </row>
    <row r="434" ht="15.75" customHeight="1">
      <c r="A434" s="1" t="s">
        <v>691</v>
      </c>
      <c r="B434" s="1" t="s">
        <v>99</v>
      </c>
      <c r="C434" s="1" t="s">
        <v>17</v>
      </c>
      <c r="D434" s="1" t="s">
        <v>40</v>
      </c>
      <c r="E434" s="1" t="s">
        <v>19</v>
      </c>
      <c r="F434" s="1" t="s">
        <v>37</v>
      </c>
      <c r="G434" s="1">
        <v>59.0</v>
      </c>
      <c r="H434" s="1">
        <v>45.0</v>
      </c>
      <c r="I434" s="1">
        <v>50.0</v>
      </c>
      <c r="J434" s="1">
        <v>86.0</v>
      </c>
      <c r="K434" s="1">
        <v>50.0</v>
      </c>
      <c r="L434" s="1">
        <v>290.0</v>
      </c>
      <c r="M434" s="1">
        <v>58.0</v>
      </c>
      <c r="N434" s="1">
        <v>88.0</v>
      </c>
      <c r="O434" s="1" t="s">
        <v>21</v>
      </c>
    </row>
    <row r="435" ht="15.75" customHeight="1">
      <c r="A435" s="1" t="s">
        <v>692</v>
      </c>
      <c r="B435" s="1" t="s">
        <v>28</v>
      </c>
      <c r="C435" s="1" t="s">
        <v>32</v>
      </c>
      <c r="D435" s="1" t="s">
        <v>18</v>
      </c>
      <c r="E435" s="1" t="s">
        <v>47</v>
      </c>
      <c r="F435" s="1" t="s">
        <v>62</v>
      </c>
      <c r="G435" s="1">
        <v>63.0</v>
      </c>
      <c r="H435" s="1">
        <v>75.0</v>
      </c>
      <c r="I435" s="1">
        <v>77.0</v>
      </c>
      <c r="J435" s="1">
        <v>67.0</v>
      </c>
      <c r="K435" s="1">
        <v>47.0</v>
      </c>
      <c r="L435" s="1">
        <v>329.0</v>
      </c>
      <c r="M435" s="1">
        <v>65.8</v>
      </c>
      <c r="N435" s="1">
        <v>95.0</v>
      </c>
      <c r="O435" s="1" t="s">
        <v>21</v>
      </c>
    </row>
    <row r="436" ht="15.75" customHeight="1">
      <c r="A436" s="1" t="s">
        <v>693</v>
      </c>
      <c r="B436" s="1" t="s">
        <v>514</v>
      </c>
      <c r="C436" s="1" t="s">
        <v>32</v>
      </c>
      <c r="D436" s="1" t="s">
        <v>18</v>
      </c>
      <c r="E436" s="1" t="s">
        <v>47</v>
      </c>
      <c r="F436" s="1" t="s">
        <v>37</v>
      </c>
      <c r="G436" s="1">
        <v>69.0</v>
      </c>
      <c r="H436" s="1">
        <v>59.0</v>
      </c>
      <c r="I436" s="1">
        <v>48.0</v>
      </c>
      <c r="J436" s="1">
        <v>97.0</v>
      </c>
      <c r="K436" s="1">
        <v>67.0</v>
      </c>
      <c r="L436" s="1">
        <v>340.0</v>
      </c>
      <c r="M436" s="1">
        <v>68.0</v>
      </c>
      <c r="N436" s="1">
        <v>96.0</v>
      </c>
      <c r="O436" s="1" t="s">
        <v>21</v>
      </c>
    </row>
    <row r="437" ht="15.75" customHeight="1">
      <c r="A437" s="1" t="s">
        <v>694</v>
      </c>
      <c r="B437" s="1" t="s">
        <v>695</v>
      </c>
      <c r="C437" s="1" t="s">
        <v>17</v>
      </c>
      <c r="D437" s="1" t="s">
        <v>29</v>
      </c>
      <c r="E437" s="1" t="s">
        <v>25</v>
      </c>
      <c r="F437" s="1" t="s">
        <v>77</v>
      </c>
      <c r="G437" s="1">
        <v>70.0</v>
      </c>
      <c r="H437" s="1">
        <v>70.0</v>
      </c>
      <c r="I437" s="1">
        <v>86.0</v>
      </c>
      <c r="J437" s="1">
        <v>41.0</v>
      </c>
      <c r="K437" s="1">
        <v>96.0</v>
      </c>
      <c r="L437" s="1">
        <v>363.0</v>
      </c>
      <c r="M437" s="1">
        <v>72.6</v>
      </c>
      <c r="N437" s="1">
        <v>68.0</v>
      </c>
      <c r="O437" s="1" t="s">
        <v>21</v>
      </c>
    </row>
    <row r="438" ht="15.75" customHeight="1">
      <c r="A438" s="1" t="s">
        <v>696</v>
      </c>
      <c r="B438" s="1" t="s">
        <v>697</v>
      </c>
      <c r="C438" s="1" t="s">
        <v>32</v>
      </c>
      <c r="D438" s="1" t="s">
        <v>40</v>
      </c>
      <c r="E438" s="1" t="s">
        <v>19</v>
      </c>
      <c r="F438" s="1" t="s">
        <v>62</v>
      </c>
      <c r="G438" s="1">
        <v>89.0</v>
      </c>
      <c r="H438" s="1">
        <v>77.0</v>
      </c>
      <c r="I438" s="1">
        <v>91.0</v>
      </c>
      <c r="J438" s="1">
        <v>44.0</v>
      </c>
      <c r="K438" s="1">
        <v>79.0</v>
      </c>
      <c r="L438" s="1">
        <v>380.0</v>
      </c>
      <c r="M438" s="1">
        <v>76.0</v>
      </c>
      <c r="N438" s="1">
        <v>78.0</v>
      </c>
      <c r="O438" s="1" t="s">
        <v>21</v>
      </c>
    </row>
    <row r="439" ht="15.75" customHeight="1">
      <c r="A439" s="1" t="s">
        <v>698</v>
      </c>
      <c r="B439" s="1" t="s">
        <v>197</v>
      </c>
      <c r="C439" s="1" t="s">
        <v>32</v>
      </c>
      <c r="D439" s="1" t="s">
        <v>18</v>
      </c>
      <c r="E439" s="1" t="s">
        <v>25</v>
      </c>
      <c r="F439" s="1" t="s">
        <v>44</v>
      </c>
      <c r="G439" s="1">
        <v>58.0</v>
      </c>
      <c r="H439" s="1">
        <v>74.0</v>
      </c>
      <c r="I439" s="1">
        <v>85.0</v>
      </c>
      <c r="J439" s="1">
        <v>91.0</v>
      </c>
      <c r="K439" s="1">
        <v>69.0</v>
      </c>
      <c r="L439" s="1">
        <v>377.0</v>
      </c>
      <c r="M439" s="1">
        <v>75.4</v>
      </c>
      <c r="N439" s="1">
        <v>88.0</v>
      </c>
      <c r="O439" s="1" t="s">
        <v>21</v>
      </c>
    </row>
    <row r="440" ht="15.75" customHeight="1">
      <c r="A440" s="1" t="s">
        <v>699</v>
      </c>
      <c r="B440" s="1" t="s">
        <v>161</v>
      </c>
      <c r="C440" s="1" t="s">
        <v>17</v>
      </c>
      <c r="D440" s="1" t="s">
        <v>40</v>
      </c>
      <c r="E440" s="1" t="s">
        <v>25</v>
      </c>
      <c r="F440" s="1" t="s">
        <v>77</v>
      </c>
      <c r="G440" s="1">
        <v>41.0</v>
      </c>
      <c r="H440" s="1">
        <v>92.0</v>
      </c>
      <c r="I440" s="1">
        <v>48.0</v>
      </c>
      <c r="J440" s="1">
        <v>40.0</v>
      </c>
      <c r="K440" s="1">
        <v>49.0</v>
      </c>
      <c r="L440" s="1">
        <v>270.0</v>
      </c>
      <c r="M440" s="1">
        <v>54.0</v>
      </c>
      <c r="N440" s="1">
        <v>68.0</v>
      </c>
      <c r="O440" s="1" t="s">
        <v>21</v>
      </c>
    </row>
    <row r="441" ht="15.75" customHeight="1">
      <c r="A441" s="1" t="s">
        <v>700</v>
      </c>
      <c r="B441" s="1" t="s">
        <v>163</v>
      </c>
      <c r="C441" s="1" t="s">
        <v>17</v>
      </c>
      <c r="D441" s="1" t="s">
        <v>40</v>
      </c>
      <c r="E441" s="1" t="s">
        <v>25</v>
      </c>
      <c r="F441" s="1" t="s">
        <v>20</v>
      </c>
      <c r="G441" s="1">
        <v>50.0</v>
      </c>
      <c r="H441" s="1">
        <v>90.0</v>
      </c>
      <c r="I441" s="1">
        <v>88.0</v>
      </c>
      <c r="J441" s="1">
        <v>82.0</v>
      </c>
      <c r="K441" s="1">
        <v>64.0</v>
      </c>
      <c r="L441" s="1">
        <v>374.0</v>
      </c>
      <c r="M441" s="1">
        <v>74.8</v>
      </c>
      <c r="N441" s="1">
        <v>64.0</v>
      </c>
      <c r="O441" s="1" t="s">
        <v>21</v>
      </c>
    </row>
    <row r="442" ht="15.75" customHeight="1">
      <c r="A442" s="1" t="s">
        <v>701</v>
      </c>
      <c r="B442" s="1" t="s">
        <v>221</v>
      </c>
      <c r="C442" s="1" t="s">
        <v>17</v>
      </c>
      <c r="D442" s="1" t="s">
        <v>24</v>
      </c>
      <c r="E442" s="1" t="s">
        <v>25</v>
      </c>
      <c r="F442" s="1" t="s">
        <v>26</v>
      </c>
      <c r="G442" s="1">
        <v>88.0</v>
      </c>
      <c r="H442" s="1">
        <v>59.0</v>
      </c>
      <c r="I442" s="1">
        <v>57.0</v>
      </c>
      <c r="J442" s="1">
        <v>52.0</v>
      </c>
      <c r="K442" s="1">
        <v>48.0</v>
      </c>
      <c r="L442" s="1">
        <v>304.0</v>
      </c>
      <c r="M442" s="1">
        <v>60.8</v>
      </c>
      <c r="N442" s="1">
        <v>92.0</v>
      </c>
      <c r="O442" s="1" t="s">
        <v>21</v>
      </c>
    </row>
    <row r="443" ht="15.75" customHeight="1">
      <c r="A443" s="1" t="s">
        <v>702</v>
      </c>
      <c r="B443" s="1" t="s">
        <v>703</v>
      </c>
      <c r="C443" s="1" t="s">
        <v>17</v>
      </c>
      <c r="D443" s="1" t="s">
        <v>29</v>
      </c>
      <c r="E443" s="1" t="s">
        <v>19</v>
      </c>
      <c r="F443" s="1" t="s">
        <v>37</v>
      </c>
      <c r="G443" s="1">
        <v>89.0</v>
      </c>
      <c r="H443" s="1">
        <v>93.0</v>
      </c>
      <c r="I443" s="1">
        <v>63.0</v>
      </c>
      <c r="J443" s="1">
        <v>48.0</v>
      </c>
      <c r="K443" s="1">
        <v>81.0</v>
      </c>
      <c r="L443" s="1">
        <v>374.0</v>
      </c>
      <c r="M443" s="1">
        <v>74.8</v>
      </c>
      <c r="N443" s="1">
        <v>88.0</v>
      </c>
      <c r="O443" s="1" t="s">
        <v>21</v>
      </c>
    </row>
    <row r="444" ht="15.75" customHeight="1">
      <c r="A444" s="1" t="s">
        <v>704</v>
      </c>
      <c r="B444" s="1" t="s">
        <v>705</v>
      </c>
      <c r="C444" s="1" t="s">
        <v>17</v>
      </c>
      <c r="D444" s="1" t="s">
        <v>54</v>
      </c>
      <c r="E444" s="1" t="s">
        <v>47</v>
      </c>
      <c r="F444" s="1" t="s">
        <v>55</v>
      </c>
      <c r="G444" s="1">
        <v>57.0</v>
      </c>
      <c r="H444" s="1">
        <v>72.0</v>
      </c>
      <c r="I444" s="1">
        <v>82.0</v>
      </c>
      <c r="J444" s="1">
        <v>71.0</v>
      </c>
      <c r="K444" s="1">
        <v>90.0</v>
      </c>
      <c r="L444" s="1">
        <v>372.0</v>
      </c>
      <c r="M444" s="1">
        <v>74.4</v>
      </c>
      <c r="N444" s="1">
        <v>90.0</v>
      </c>
      <c r="O444" s="1" t="s">
        <v>21</v>
      </c>
    </row>
    <row r="445" ht="15.75" customHeight="1">
      <c r="A445" s="1" t="s">
        <v>706</v>
      </c>
      <c r="B445" s="1" t="s">
        <v>427</v>
      </c>
      <c r="C445" s="1" t="s">
        <v>17</v>
      </c>
      <c r="D445" s="1" t="s">
        <v>18</v>
      </c>
      <c r="E445" s="1" t="s">
        <v>19</v>
      </c>
      <c r="F445" s="1" t="s">
        <v>41</v>
      </c>
      <c r="G445" s="1">
        <v>54.0</v>
      </c>
      <c r="H445" s="1">
        <v>61.0</v>
      </c>
      <c r="I445" s="1">
        <v>64.0</v>
      </c>
      <c r="J445" s="1">
        <v>61.0</v>
      </c>
      <c r="K445" s="1">
        <v>42.0</v>
      </c>
      <c r="L445" s="1">
        <v>282.0</v>
      </c>
      <c r="M445" s="1">
        <v>56.4</v>
      </c>
      <c r="N445" s="1">
        <v>64.0</v>
      </c>
      <c r="O445" s="1" t="s">
        <v>21</v>
      </c>
    </row>
    <row r="446" ht="15.75" customHeight="1">
      <c r="A446" s="1" t="s">
        <v>707</v>
      </c>
      <c r="B446" s="1" t="s">
        <v>408</v>
      </c>
      <c r="C446" s="1" t="s">
        <v>32</v>
      </c>
      <c r="D446" s="1" t="s">
        <v>40</v>
      </c>
      <c r="E446" s="1" t="s">
        <v>25</v>
      </c>
      <c r="F446" s="1" t="s">
        <v>62</v>
      </c>
      <c r="G446" s="1">
        <v>77.0</v>
      </c>
      <c r="H446" s="1">
        <v>93.0</v>
      </c>
      <c r="I446" s="1">
        <v>98.0</v>
      </c>
      <c r="J446" s="1">
        <v>93.0</v>
      </c>
      <c r="K446" s="1">
        <v>58.0</v>
      </c>
      <c r="L446" s="1">
        <v>419.0</v>
      </c>
      <c r="M446" s="1">
        <v>83.8</v>
      </c>
      <c r="N446" s="1">
        <v>71.0</v>
      </c>
      <c r="O446" s="1" t="s">
        <v>21</v>
      </c>
    </row>
    <row r="447" ht="15.75" customHeight="1">
      <c r="A447" s="1" t="s">
        <v>708</v>
      </c>
      <c r="B447" s="1" t="s">
        <v>709</v>
      </c>
      <c r="C447" s="1" t="s">
        <v>32</v>
      </c>
      <c r="D447" s="1" t="s">
        <v>54</v>
      </c>
      <c r="E447" s="1" t="s">
        <v>25</v>
      </c>
      <c r="F447" s="1" t="s">
        <v>62</v>
      </c>
      <c r="G447" s="1">
        <v>65.0</v>
      </c>
      <c r="H447" s="1">
        <v>69.0</v>
      </c>
      <c r="I447" s="1">
        <v>40.0</v>
      </c>
      <c r="J447" s="1">
        <v>69.0</v>
      </c>
      <c r="K447" s="1">
        <v>62.0</v>
      </c>
      <c r="L447" s="1">
        <v>305.0</v>
      </c>
      <c r="M447" s="1">
        <v>61.0</v>
      </c>
      <c r="N447" s="1">
        <v>93.0</v>
      </c>
      <c r="O447" s="1" t="s">
        <v>21</v>
      </c>
    </row>
    <row r="448" ht="15.75" customHeight="1">
      <c r="A448" s="1" t="s">
        <v>710</v>
      </c>
      <c r="B448" s="1" t="s">
        <v>576</v>
      </c>
      <c r="C448" s="1" t="s">
        <v>17</v>
      </c>
      <c r="D448" s="1" t="s">
        <v>40</v>
      </c>
      <c r="E448" s="1" t="s">
        <v>25</v>
      </c>
      <c r="F448" s="1" t="s">
        <v>62</v>
      </c>
      <c r="G448" s="1">
        <v>95.0</v>
      </c>
      <c r="H448" s="1">
        <v>87.0</v>
      </c>
      <c r="I448" s="1">
        <v>54.0</v>
      </c>
      <c r="J448" s="1">
        <v>48.0</v>
      </c>
      <c r="K448" s="1">
        <v>52.0</v>
      </c>
      <c r="L448" s="1">
        <v>336.0</v>
      </c>
      <c r="M448" s="1">
        <v>67.2</v>
      </c>
      <c r="N448" s="1">
        <v>73.0</v>
      </c>
      <c r="O448" s="1" t="s">
        <v>21</v>
      </c>
    </row>
    <row r="449" ht="15.75" customHeight="1">
      <c r="A449" s="1" t="s">
        <v>711</v>
      </c>
      <c r="B449" s="1" t="s">
        <v>534</v>
      </c>
      <c r="C449" s="1" t="s">
        <v>17</v>
      </c>
      <c r="D449" s="1" t="s">
        <v>24</v>
      </c>
      <c r="E449" s="1" t="s">
        <v>25</v>
      </c>
      <c r="F449" s="1" t="s">
        <v>20</v>
      </c>
      <c r="G449" s="1">
        <v>54.0</v>
      </c>
      <c r="H449" s="1">
        <v>62.0</v>
      </c>
      <c r="I449" s="1">
        <v>76.0</v>
      </c>
      <c r="J449" s="1">
        <v>87.0</v>
      </c>
      <c r="K449" s="1">
        <v>92.0</v>
      </c>
      <c r="L449" s="1">
        <v>371.0</v>
      </c>
      <c r="M449" s="1">
        <v>74.2</v>
      </c>
      <c r="N449" s="1">
        <v>89.0</v>
      </c>
      <c r="O449" s="1" t="s">
        <v>21</v>
      </c>
    </row>
    <row r="450" ht="15.75" customHeight="1">
      <c r="A450" s="1" t="s">
        <v>712</v>
      </c>
      <c r="B450" s="1" t="s">
        <v>311</v>
      </c>
      <c r="C450" s="1" t="s">
        <v>32</v>
      </c>
      <c r="D450" s="1" t="s">
        <v>29</v>
      </c>
      <c r="E450" s="1" t="s">
        <v>47</v>
      </c>
      <c r="F450" s="1" t="s">
        <v>44</v>
      </c>
      <c r="G450" s="1">
        <v>53.0</v>
      </c>
      <c r="H450" s="1">
        <v>63.0</v>
      </c>
      <c r="I450" s="1">
        <v>58.0</v>
      </c>
      <c r="J450" s="1">
        <v>41.0</v>
      </c>
      <c r="K450" s="1">
        <v>86.0</v>
      </c>
      <c r="L450" s="1">
        <v>301.0</v>
      </c>
      <c r="M450" s="1">
        <v>60.2</v>
      </c>
      <c r="N450" s="1">
        <v>86.0</v>
      </c>
      <c r="O450" s="1" t="s">
        <v>21</v>
      </c>
    </row>
    <row r="451" ht="15.75" customHeight="1">
      <c r="A451" s="1" t="s">
        <v>713</v>
      </c>
      <c r="B451" s="1" t="s">
        <v>703</v>
      </c>
      <c r="C451" s="1" t="s">
        <v>17</v>
      </c>
      <c r="D451" s="1" t="s">
        <v>40</v>
      </c>
      <c r="E451" s="1" t="s">
        <v>19</v>
      </c>
      <c r="F451" s="1" t="s">
        <v>62</v>
      </c>
      <c r="G451" s="1">
        <v>75.0</v>
      </c>
      <c r="H451" s="1">
        <v>72.0</v>
      </c>
      <c r="I451" s="1">
        <v>41.0</v>
      </c>
      <c r="J451" s="1">
        <v>83.0</v>
      </c>
      <c r="K451" s="1">
        <v>62.0</v>
      </c>
      <c r="L451" s="1">
        <v>333.0</v>
      </c>
      <c r="M451" s="1">
        <v>66.6</v>
      </c>
      <c r="N451" s="1">
        <v>70.0</v>
      </c>
      <c r="O451" s="1" t="s">
        <v>21</v>
      </c>
    </row>
    <row r="452" ht="15.75" customHeight="1">
      <c r="A452" s="1" t="s">
        <v>714</v>
      </c>
      <c r="B452" s="1" t="s">
        <v>715</v>
      </c>
      <c r="C452" s="1" t="s">
        <v>32</v>
      </c>
      <c r="D452" s="1" t="s">
        <v>18</v>
      </c>
      <c r="E452" s="1" t="s">
        <v>19</v>
      </c>
      <c r="F452" s="1" t="s">
        <v>20</v>
      </c>
      <c r="G452" s="1">
        <v>83.0</v>
      </c>
      <c r="H452" s="1">
        <v>64.0</v>
      </c>
      <c r="I452" s="1">
        <v>40.0</v>
      </c>
      <c r="J452" s="1">
        <v>76.0</v>
      </c>
      <c r="K452" s="1">
        <v>75.0</v>
      </c>
      <c r="L452" s="1">
        <v>338.0</v>
      </c>
      <c r="M452" s="1">
        <v>67.6</v>
      </c>
      <c r="N452" s="1">
        <v>69.0</v>
      </c>
      <c r="O452" s="1" t="s">
        <v>21</v>
      </c>
    </row>
    <row r="453" ht="15.75" customHeight="1">
      <c r="A453" s="1" t="s">
        <v>716</v>
      </c>
      <c r="B453" s="1" t="s">
        <v>717</v>
      </c>
      <c r="C453" s="1" t="s">
        <v>17</v>
      </c>
      <c r="D453" s="1" t="s">
        <v>18</v>
      </c>
      <c r="E453" s="1" t="s">
        <v>25</v>
      </c>
      <c r="F453" s="1" t="s">
        <v>55</v>
      </c>
      <c r="G453" s="1">
        <v>83.0</v>
      </c>
      <c r="H453" s="1">
        <v>85.0</v>
      </c>
      <c r="I453" s="1">
        <v>60.0</v>
      </c>
      <c r="J453" s="1">
        <v>58.0</v>
      </c>
      <c r="K453" s="1">
        <v>82.0</v>
      </c>
      <c r="L453" s="1">
        <v>368.0</v>
      </c>
      <c r="M453" s="1">
        <v>73.6</v>
      </c>
      <c r="N453" s="1">
        <v>87.0</v>
      </c>
      <c r="O453" s="1" t="s">
        <v>21</v>
      </c>
    </row>
    <row r="454" ht="15.75" customHeight="1">
      <c r="A454" s="1" t="s">
        <v>718</v>
      </c>
      <c r="B454" s="1" t="s">
        <v>429</v>
      </c>
      <c r="C454" s="1" t="s">
        <v>32</v>
      </c>
      <c r="D454" s="1" t="s">
        <v>40</v>
      </c>
      <c r="E454" s="1" t="s">
        <v>47</v>
      </c>
      <c r="F454" s="1" t="s">
        <v>26</v>
      </c>
      <c r="G454" s="1">
        <v>69.0</v>
      </c>
      <c r="H454" s="1">
        <v>46.0</v>
      </c>
      <c r="I454" s="1">
        <v>46.0</v>
      </c>
      <c r="J454" s="1">
        <v>67.0</v>
      </c>
      <c r="K454" s="1">
        <v>81.0</v>
      </c>
      <c r="L454" s="1">
        <v>309.0</v>
      </c>
      <c r="M454" s="1">
        <v>61.8</v>
      </c>
      <c r="N454" s="1">
        <v>98.0</v>
      </c>
      <c r="O454" s="1" t="s">
        <v>21</v>
      </c>
    </row>
    <row r="455" ht="15.75" customHeight="1">
      <c r="A455" s="1" t="s">
        <v>719</v>
      </c>
      <c r="B455" s="1" t="s">
        <v>335</v>
      </c>
      <c r="C455" s="1" t="s">
        <v>32</v>
      </c>
      <c r="D455" s="1" t="s">
        <v>18</v>
      </c>
      <c r="E455" s="1" t="s">
        <v>25</v>
      </c>
      <c r="F455" s="1" t="s">
        <v>41</v>
      </c>
      <c r="G455" s="1">
        <v>84.0</v>
      </c>
      <c r="H455" s="1">
        <v>49.0</v>
      </c>
      <c r="I455" s="1">
        <v>60.0</v>
      </c>
      <c r="J455" s="1">
        <v>68.0</v>
      </c>
      <c r="K455" s="1">
        <v>45.0</v>
      </c>
      <c r="L455" s="1">
        <v>306.0</v>
      </c>
      <c r="M455" s="1">
        <v>61.2</v>
      </c>
      <c r="N455" s="1">
        <v>77.0</v>
      </c>
      <c r="O455" s="1" t="s">
        <v>21</v>
      </c>
    </row>
    <row r="456" ht="15.75" customHeight="1">
      <c r="A456" s="1" t="s">
        <v>720</v>
      </c>
      <c r="B456" s="1" t="s">
        <v>349</v>
      </c>
      <c r="C456" s="1" t="s">
        <v>32</v>
      </c>
      <c r="D456" s="1" t="s">
        <v>24</v>
      </c>
      <c r="E456" s="1" t="s">
        <v>19</v>
      </c>
      <c r="F456" s="1" t="s">
        <v>20</v>
      </c>
      <c r="G456" s="1">
        <v>63.0</v>
      </c>
      <c r="H456" s="1">
        <v>61.0</v>
      </c>
      <c r="I456" s="1">
        <v>62.0</v>
      </c>
      <c r="J456" s="1">
        <v>52.0</v>
      </c>
      <c r="K456" s="1">
        <v>72.0</v>
      </c>
      <c r="L456" s="1">
        <v>310.0</v>
      </c>
      <c r="M456" s="1">
        <v>62.0</v>
      </c>
      <c r="N456" s="1">
        <v>94.0</v>
      </c>
      <c r="O456" s="1" t="s">
        <v>21</v>
      </c>
    </row>
    <row r="457" ht="15.75" customHeight="1">
      <c r="A457" s="1" t="s">
        <v>721</v>
      </c>
      <c r="B457" s="1" t="s">
        <v>717</v>
      </c>
      <c r="C457" s="1" t="s">
        <v>32</v>
      </c>
      <c r="D457" s="1" t="s">
        <v>29</v>
      </c>
      <c r="E457" s="1" t="s">
        <v>47</v>
      </c>
      <c r="F457" s="1" t="s">
        <v>55</v>
      </c>
      <c r="G457" s="1">
        <v>100.0</v>
      </c>
      <c r="H457" s="1">
        <v>96.0</v>
      </c>
      <c r="I457" s="1">
        <v>63.0</v>
      </c>
      <c r="J457" s="1">
        <v>63.0</v>
      </c>
      <c r="K457" s="1">
        <v>78.0</v>
      </c>
      <c r="L457" s="1">
        <v>400.0</v>
      </c>
      <c r="M457" s="1">
        <v>80.0</v>
      </c>
      <c r="N457" s="1">
        <v>75.0</v>
      </c>
      <c r="O457" s="1" t="s">
        <v>21</v>
      </c>
    </row>
    <row r="458" ht="15.75" customHeight="1">
      <c r="A458" s="1" t="s">
        <v>722</v>
      </c>
      <c r="B458" s="1" t="s">
        <v>495</v>
      </c>
      <c r="C458" s="1" t="s">
        <v>17</v>
      </c>
      <c r="D458" s="1" t="s">
        <v>40</v>
      </c>
      <c r="E458" s="1" t="s">
        <v>19</v>
      </c>
      <c r="F458" s="1" t="s">
        <v>20</v>
      </c>
      <c r="G458" s="1">
        <v>73.0</v>
      </c>
      <c r="H458" s="1">
        <v>50.0</v>
      </c>
      <c r="I458" s="1">
        <v>80.0</v>
      </c>
      <c r="J458" s="1">
        <v>83.0</v>
      </c>
      <c r="K458" s="1">
        <v>85.0</v>
      </c>
      <c r="L458" s="1">
        <v>371.0</v>
      </c>
      <c r="M458" s="1">
        <v>74.2</v>
      </c>
      <c r="N458" s="1">
        <v>64.0</v>
      </c>
      <c r="O458" s="1" t="s">
        <v>21</v>
      </c>
    </row>
    <row r="459" ht="15.75" customHeight="1">
      <c r="A459" s="1" t="s">
        <v>723</v>
      </c>
      <c r="B459" s="1" t="s">
        <v>51</v>
      </c>
      <c r="C459" s="1" t="s">
        <v>32</v>
      </c>
      <c r="D459" s="1" t="s">
        <v>18</v>
      </c>
      <c r="E459" s="1" t="s">
        <v>25</v>
      </c>
      <c r="F459" s="1" t="s">
        <v>44</v>
      </c>
      <c r="G459" s="1">
        <v>49.0</v>
      </c>
      <c r="H459" s="1">
        <v>83.0</v>
      </c>
      <c r="I459" s="1">
        <v>68.0</v>
      </c>
      <c r="J459" s="1">
        <v>69.0</v>
      </c>
      <c r="K459" s="1">
        <v>93.0</v>
      </c>
      <c r="L459" s="1">
        <v>362.0</v>
      </c>
      <c r="M459" s="1">
        <v>72.4</v>
      </c>
      <c r="N459" s="1">
        <v>72.0</v>
      </c>
      <c r="O459" s="1" t="s">
        <v>21</v>
      </c>
    </row>
    <row r="460" ht="15.75" customHeight="1">
      <c r="A460" s="1" t="s">
        <v>724</v>
      </c>
      <c r="B460" s="1" t="s">
        <v>163</v>
      </c>
      <c r="C460" s="1" t="s">
        <v>32</v>
      </c>
      <c r="D460" s="1" t="s">
        <v>54</v>
      </c>
      <c r="E460" s="1" t="s">
        <v>47</v>
      </c>
      <c r="F460" s="1" t="s">
        <v>62</v>
      </c>
      <c r="G460" s="1">
        <v>85.0</v>
      </c>
      <c r="H460" s="1">
        <v>52.0</v>
      </c>
      <c r="I460" s="1">
        <v>48.0</v>
      </c>
      <c r="J460" s="1">
        <v>54.0</v>
      </c>
      <c r="K460" s="1">
        <v>52.0</v>
      </c>
      <c r="L460" s="1">
        <v>291.0</v>
      </c>
      <c r="M460" s="1">
        <v>58.2</v>
      </c>
      <c r="N460" s="1">
        <v>66.0</v>
      </c>
      <c r="O460" s="1" t="s">
        <v>21</v>
      </c>
    </row>
    <row r="461" ht="15.75" customHeight="1">
      <c r="A461" s="1" t="s">
        <v>725</v>
      </c>
      <c r="B461" s="1" t="s">
        <v>374</v>
      </c>
      <c r="C461" s="1" t="s">
        <v>32</v>
      </c>
      <c r="D461" s="1" t="s">
        <v>18</v>
      </c>
      <c r="E461" s="1" t="s">
        <v>47</v>
      </c>
      <c r="F461" s="1" t="s">
        <v>77</v>
      </c>
      <c r="G461" s="1">
        <v>47.0</v>
      </c>
      <c r="H461" s="1">
        <v>75.0</v>
      </c>
      <c r="I461" s="1">
        <v>40.0</v>
      </c>
      <c r="J461" s="1">
        <v>65.0</v>
      </c>
      <c r="K461" s="1">
        <v>76.0</v>
      </c>
      <c r="L461" s="1">
        <v>303.0</v>
      </c>
      <c r="M461" s="1">
        <v>60.6</v>
      </c>
      <c r="N461" s="1">
        <v>84.0</v>
      </c>
      <c r="O461" s="1" t="s">
        <v>21</v>
      </c>
    </row>
    <row r="462" ht="15.75" customHeight="1">
      <c r="A462" s="1" t="s">
        <v>726</v>
      </c>
      <c r="B462" s="1" t="s">
        <v>274</v>
      </c>
      <c r="C462" s="1" t="s">
        <v>32</v>
      </c>
      <c r="D462" s="1" t="s">
        <v>40</v>
      </c>
      <c r="E462" s="1" t="s">
        <v>25</v>
      </c>
      <c r="F462" s="1" t="s">
        <v>77</v>
      </c>
      <c r="G462" s="1">
        <v>67.0</v>
      </c>
      <c r="H462" s="1">
        <v>91.0</v>
      </c>
      <c r="I462" s="1">
        <v>86.0</v>
      </c>
      <c r="J462" s="1">
        <v>92.0</v>
      </c>
      <c r="K462" s="1">
        <v>67.0</v>
      </c>
      <c r="L462" s="1">
        <v>403.0</v>
      </c>
      <c r="M462" s="1">
        <v>80.6</v>
      </c>
      <c r="N462" s="1">
        <v>86.0</v>
      </c>
      <c r="O462" s="1" t="s">
        <v>21</v>
      </c>
    </row>
    <row r="463" ht="15.75" customHeight="1">
      <c r="A463" s="1" t="s">
        <v>727</v>
      </c>
      <c r="B463" s="1" t="s">
        <v>137</v>
      </c>
      <c r="C463" s="1" t="s">
        <v>17</v>
      </c>
      <c r="D463" s="1" t="s">
        <v>24</v>
      </c>
      <c r="E463" s="1" t="s">
        <v>47</v>
      </c>
      <c r="F463" s="1" t="s">
        <v>37</v>
      </c>
      <c r="G463" s="1">
        <v>81.0</v>
      </c>
      <c r="H463" s="1">
        <v>56.0</v>
      </c>
      <c r="I463" s="1">
        <v>94.0</v>
      </c>
      <c r="J463" s="1">
        <v>88.0</v>
      </c>
      <c r="K463" s="1">
        <v>85.0</v>
      </c>
      <c r="L463" s="1">
        <v>404.0</v>
      </c>
      <c r="M463" s="1">
        <v>80.8</v>
      </c>
      <c r="N463" s="1">
        <v>60.0</v>
      </c>
      <c r="O463" s="1" t="s">
        <v>21</v>
      </c>
    </row>
    <row r="464" ht="15.75" customHeight="1">
      <c r="A464" s="1" t="s">
        <v>728</v>
      </c>
      <c r="B464" s="1" t="s">
        <v>91</v>
      </c>
      <c r="C464" s="1" t="s">
        <v>17</v>
      </c>
      <c r="D464" s="1" t="s">
        <v>18</v>
      </c>
      <c r="E464" s="1" t="s">
        <v>19</v>
      </c>
      <c r="F464" s="1" t="s">
        <v>55</v>
      </c>
      <c r="G464" s="1">
        <v>65.0</v>
      </c>
      <c r="H464" s="1">
        <v>73.0</v>
      </c>
      <c r="I464" s="1">
        <v>96.0</v>
      </c>
      <c r="J464" s="1">
        <v>57.0</v>
      </c>
      <c r="K464" s="1">
        <v>56.0</v>
      </c>
      <c r="L464" s="1">
        <v>347.0</v>
      </c>
      <c r="M464" s="1">
        <v>69.4</v>
      </c>
      <c r="N464" s="1">
        <v>89.0</v>
      </c>
      <c r="O464" s="1" t="s">
        <v>21</v>
      </c>
    </row>
    <row r="465" ht="15.75" customHeight="1">
      <c r="A465" s="1" t="s">
        <v>729</v>
      </c>
      <c r="B465" s="1" t="s">
        <v>550</v>
      </c>
      <c r="C465" s="1" t="s">
        <v>17</v>
      </c>
      <c r="D465" s="1" t="s">
        <v>54</v>
      </c>
      <c r="E465" s="1" t="s">
        <v>19</v>
      </c>
      <c r="F465" s="1" t="s">
        <v>55</v>
      </c>
      <c r="G465" s="1">
        <v>65.0</v>
      </c>
      <c r="H465" s="1">
        <v>77.0</v>
      </c>
      <c r="I465" s="1">
        <v>72.0</v>
      </c>
      <c r="J465" s="1">
        <v>100.0</v>
      </c>
      <c r="K465" s="1">
        <v>50.0</v>
      </c>
      <c r="L465" s="1">
        <v>364.0</v>
      </c>
      <c r="M465" s="1">
        <v>72.8</v>
      </c>
      <c r="N465" s="1">
        <v>78.0</v>
      </c>
      <c r="O465" s="1" t="s">
        <v>21</v>
      </c>
    </row>
    <row r="466" ht="15.75" customHeight="1">
      <c r="A466" s="1" t="s">
        <v>730</v>
      </c>
      <c r="B466" s="1" t="s">
        <v>731</v>
      </c>
      <c r="C466" s="1" t="s">
        <v>32</v>
      </c>
      <c r="D466" s="1" t="s">
        <v>24</v>
      </c>
      <c r="E466" s="1" t="s">
        <v>25</v>
      </c>
      <c r="F466" s="1" t="s">
        <v>41</v>
      </c>
      <c r="G466" s="1">
        <v>60.0</v>
      </c>
      <c r="H466" s="1">
        <v>82.0</v>
      </c>
      <c r="I466" s="1">
        <v>48.0</v>
      </c>
      <c r="J466" s="1">
        <v>52.0</v>
      </c>
      <c r="K466" s="1">
        <v>71.0</v>
      </c>
      <c r="L466" s="1">
        <v>313.0</v>
      </c>
      <c r="M466" s="1">
        <v>62.6</v>
      </c>
      <c r="N466" s="1">
        <v>75.0</v>
      </c>
      <c r="O466" s="1" t="s">
        <v>21</v>
      </c>
    </row>
    <row r="467" ht="15.75" customHeight="1">
      <c r="A467" s="1" t="s">
        <v>732</v>
      </c>
      <c r="B467" s="1" t="s">
        <v>419</v>
      </c>
      <c r="C467" s="1" t="s">
        <v>32</v>
      </c>
      <c r="D467" s="1" t="s">
        <v>40</v>
      </c>
      <c r="E467" s="1" t="s">
        <v>19</v>
      </c>
      <c r="F467" s="1" t="s">
        <v>77</v>
      </c>
      <c r="G467" s="1">
        <v>74.0</v>
      </c>
      <c r="H467" s="1">
        <v>92.0</v>
      </c>
      <c r="I467" s="1">
        <v>74.0</v>
      </c>
      <c r="J467" s="1">
        <v>66.0</v>
      </c>
      <c r="K467" s="1">
        <v>59.0</v>
      </c>
      <c r="L467" s="1">
        <v>365.0</v>
      </c>
      <c r="M467" s="1">
        <v>73.0</v>
      </c>
      <c r="N467" s="1">
        <v>78.0</v>
      </c>
      <c r="O467" s="1" t="s">
        <v>21</v>
      </c>
    </row>
    <row r="468" ht="15.75" customHeight="1">
      <c r="A468" s="1" t="s">
        <v>733</v>
      </c>
      <c r="B468" s="1" t="s">
        <v>233</v>
      </c>
      <c r="C468" s="1" t="s">
        <v>17</v>
      </c>
      <c r="D468" s="1" t="s">
        <v>40</v>
      </c>
      <c r="E468" s="1" t="s">
        <v>19</v>
      </c>
      <c r="F468" s="1" t="s">
        <v>26</v>
      </c>
      <c r="G468" s="1">
        <v>45.0</v>
      </c>
      <c r="H468" s="1">
        <v>78.0</v>
      </c>
      <c r="I468" s="1">
        <v>40.0</v>
      </c>
      <c r="J468" s="1">
        <v>40.0</v>
      </c>
      <c r="K468" s="1">
        <v>84.0</v>
      </c>
      <c r="L468" s="1">
        <v>287.0</v>
      </c>
      <c r="M468" s="1">
        <v>57.4</v>
      </c>
      <c r="N468" s="1">
        <v>94.0</v>
      </c>
      <c r="O468" s="1" t="s">
        <v>21</v>
      </c>
    </row>
    <row r="469" ht="15.75" customHeight="1">
      <c r="A469" s="1" t="s">
        <v>734</v>
      </c>
      <c r="B469" s="1" t="s">
        <v>572</v>
      </c>
      <c r="C469" s="1" t="s">
        <v>17</v>
      </c>
      <c r="D469" s="1" t="s">
        <v>18</v>
      </c>
      <c r="E469" s="1" t="s">
        <v>47</v>
      </c>
      <c r="F469" s="1" t="s">
        <v>44</v>
      </c>
      <c r="G469" s="1">
        <v>52.0</v>
      </c>
      <c r="H469" s="1">
        <v>96.0</v>
      </c>
      <c r="I469" s="1">
        <v>58.0</v>
      </c>
      <c r="J469" s="1">
        <v>79.0</v>
      </c>
      <c r="K469" s="1">
        <v>99.0</v>
      </c>
      <c r="L469" s="1">
        <v>384.0</v>
      </c>
      <c r="M469" s="1">
        <v>76.8</v>
      </c>
      <c r="N469" s="1">
        <v>85.0</v>
      </c>
      <c r="O469" s="1" t="s">
        <v>21</v>
      </c>
    </row>
    <row r="470" ht="15.75" customHeight="1">
      <c r="A470" s="1" t="s">
        <v>735</v>
      </c>
      <c r="B470" s="1" t="s">
        <v>523</v>
      </c>
      <c r="C470" s="1" t="s">
        <v>17</v>
      </c>
      <c r="D470" s="1" t="s">
        <v>54</v>
      </c>
      <c r="E470" s="1" t="s">
        <v>19</v>
      </c>
      <c r="F470" s="1" t="s">
        <v>77</v>
      </c>
      <c r="G470" s="1">
        <v>50.0</v>
      </c>
      <c r="H470" s="1">
        <v>61.0</v>
      </c>
      <c r="I470" s="1">
        <v>97.0</v>
      </c>
      <c r="J470" s="1">
        <v>85.0</v>
      </c>
      <c r="K470" s="1">
        <v>94.0</v>
      </c>
      <c r="L470" s="1">
        <v>387.0</v>
      </c>
      <c r="M470" s="1">
        <v>77.4</v>
      </c>
      <c r="N470" s="1">
        <v>98.0</v>
      </c>
      <c r="O470" s="1" t="s">
        <v>21</v>
      </c>
    </row>
    <row r="471" ht="15.75" customHeight="1">
      <c r="A471" s="1" t="s">
        <v>736</v>
      </c>
      <c r="B471" s="1" t="s">
        <v>640</v>
      </c>
      <c r="C471" s="1" t="s">
        <v>17</v>
      </c>
      <c r="D471" s="1" t="s">
        <v>54</v>
      </c>
      <c r="E471" s="1" t="s">
        <v>19</v>
      </c>
      <c r="F471" s="1" t="s">
        <v>20</v>
      </c>
      <c r="G471" s="1">
        <v>98.0</v>
      </c>
      <c r="H471" s="1">
        <v>54.0</v>
      </c>
      <c r="I471" s="1">
        <v>41.0</v>
      </c>
      <c r="J471" s="1">
        <v>92.0</v>
      </c>
      <c r="K471" s="1">
        <v>100.0</v>
      </c>
      <c r="L471" s="1">
        <v>385.0</v>
      </c>
      <c r="M471" s="1">
        <v>77.0</v>
      </c>
      <c r="N471" s="1">
        <v>99.0</v>
      </c>
      <c r="O471" s="1" t="s">
        <v>21</v>
      </c>
    </row>
    <row r="472" ht="15.75" customHeight="1">
      <c r="A472" s="1" t="s">
        <v>737</v>
      </c>
      <c r="B472" s="1" t="s">
        <v>502</v>
      </c>
      <c r="C472" s="1" t="s">
        <v>17</v>
      </c>
      <c r="D472" s="1" t="s">
        <v>54</v>
      </c>
      <c r="E472" s="1" t="s">
        <v>47</v>
      </c>
      <c r="F472" s="1" t="s">
        <v>44</v>
      </c>
      <c r="G472" s="1">
        <v>73.0</v>
      </c>
      <c r="H472" s="1">
        <v>90.0</v>
      </c>
      <c r="I472" s="1">
        <v>81.0</v>
      </c>
      <c r="J472" s="1">
        <v>88.0</v>
      </c>
      <c r="K472" s="1">
        <v>83.0</v>
      </c>
      <c r="L472" s="1">
        <v>415.0</v>
      </c>
      <c r="M472" s="1">
        <v>83.0</v>
      </c>
      <c r="N472" s="1">
        <v>82.0</v>
      </c>
      <c r="O472" s="1" t="s">
        <v>21</v>
      </c>
    </row>
    <row r="473" ht="15.75" customHeight="1">
      <c r="A473" s="1" t="s">
        <v>738</v>
      </c>
      <c r="B473" s="1" t="s">
        <v>49</v>
      </c>
      <c r="C473" s="1" t="s">
        <v>32</v>
      </c>
      <c r="D473" s="1" t="s">
        <v>29</v>
      </c>
      <c r="E473" s="1" t="s">
        <v>47</v>
      </c>
      <c r="F473" s="1" t="s">
        <v>77</v>
      </c>
      <c r="G473" s="1">
        <v>53.0</v>
      </c>
      <c r="H473" s="1">
        <v>43.0</v>
      </c>
      <c r="I473" s="1">
        <v>78.0</v>
      </c>
      <c r="J473" s="1">
        <v>40.0</v>
      </c>
      <c r="K473" s="1">
        <v>45.0</v>
      </c>
      <c r="L473" s="1">
        <v>259.0</v>
      </c>
      <c r="M473" s="1">
        <v>51.8</v>
      </c>
      <c r="N473" s="1">
        <v>61.0</v>
      </c>
      <c r="O473" s="1" t="s">
        <v>21</v>
      </c>
    </row>
    <row r="474" ht="15.75" customHeight="1">
      <c r="A474" s="1" t="s">
        <v>739</v>
      </c>
      <c r="B474" s="1" t="s">
        <v>297</v>
      </c>
      <c r="C474" s="1" t="s">
        <v>17</v>
      </c>
      <c r="D474" s="1" t="s">
        <v>54</v>
      </c>
      <c r="E474" s="1" t="s">
        <v>25</v>
      </c>
      <c r="F474" s="1" t="s">
        <v>77</v>
      </c>
      <c r="G474" s="1">
        <v>64.0</v>
      </c>
      <c r="H474" s="1">
        <v>53.0</v>
      </c>
      <c r="I474" s="1">
        <v>70.0</v>
      </c>
      <c r="J474" s="1">
        <v>79.0</v>
      </c>
      <c r="K474" s="1">
        <v>66.0</v>
      </c>
      <c r="L474" s="1">
        <v>332.0</v>
      </c>
      <c r="M474" s="1">
        <v>66.4</v>
      </c>
      <c r="N474" s="1">
        <v>90.0</v>
      </c>
      <c r="O474" s="1" t="s">
        <v>21</v>
      </c>
    </row>
    <row r="475" ht="15.75" customHeight="1">
      <c r="A475" s="1" t="s">
        <v>740</v>
      </c>
      <c r="B475" s="1" t="s">
        <v>64</v>
      </c>
      <c r="C475" s="1" t="s">
        <v>32</v>
      </c>
      <c r="D475" s="1" t="s">
        <v>24</v>
      </c>
      <c r="E475" s="1" t="s">
        <v>25</v>
      </c>
      <c r="F475" s="1" t="s">
        <v>55</v>
      </c>
      <c r="G475" s="1">
        <v>75.0</v>
      </c>
      <c r="H475" s="1">
        <v>95.0</v>
      </c>
      <c r="I475" s="1">
        <v>90.0</v>
      </c>
      <c r="J475" s="1">
        <v>51.0</v>
      </c>
      <c r="K475" s="1">
        <v>78.0</v>
      </c>
      <c r="L475" s="1">
        <v>389.0</v>
      </c>
      <c r="M475" s="1">
        <v>77.8</v>
      </c>
      <c r="N475" s="1">
        <v>77.0</v>
      </c>
      <c r="O475" s="1" t="s">
        <v>21</v>
      </c>
    </row>
    <row r="476" ht="15.75" customHeight="1">
      <c r="A476" s="1" t="s">
        <v>741</v>
      </c>
      <c r="B476" s="1" t="s">
        <v>123</v>
      </c>
      <c r="C476" s="1" t="s">
        <v>17</v>
      </c>
      <c r="D476" s="1" t="s">
        <v>54</v>
      </c>
      <c r="E476" s="1" t="s">
        <v>47</v>
      </c>
      <c r="F476" s="1" t="s">
        <v>55</v>
      </c>
      <c r="G476" s="1">
        <v>79.0</v>
      </c>
      <c r="H476" s="1">
        <v>100.0</v>
      </c>
      <c r="I476" s="1">
        <v>90.0</v>
      </c>
      <c r="J476" s="1">
        <v>69.0</v>
      </c>
      <c r="K476" s="1">
        <v>85.0</v>
      </c>
      <c r="L476" s="1">
        <v>423.0</v>
      </c>
      <c r="M476" s="1">
        <v>84.6</v>
      </c>
      <c r="N476" s="1">
        <v>76.0</v>
      </c>
      <c r="O476" s="1" t="s">
        <v>21</v>
      </c>
    </row>
    <row r="477" ht="15.75" customHeight="1">
      <c r="A477" s="1" t="s">
        <v>742</v>
      </c>
      <c r="B477" s="1" t="s">
        <v>743</v>
      </c>
      <c r="C477" s="1" t="s">
        <v>32</v>
      </c>
      <c r="D477" s="1" t="s">
        <v>40</v>
      </c>
      <c r="E477" s="1" t="s">
        <v>47</v>
      </c>
      <c r="F477" s="1" t="s">
        <v>37</v>
      </c>
      <c r="G477" s="1">
        <v>100.0</v>
      </c>
      <c r="H477" s="1">
        <v>51.0</v>
      </c>
      <c r="I477" s="1">
        <v>41.0</v>
      </c>
      <c r="J477" s="1">
        <v>78.0</v>
      </c>
      <c r="K477" s="1">
        <v>81.0</v>
      </c>
      <c r="L477" s="1">
        <v>351.0</v>
      </c>
      <c r="M477" s="1">
        <v>70.2</v>
      </c>
      <c r="N477" s="1">
        <v>72.0</v>
      </c>
      <c r="O477" s="1" t="s">
        <v>21</v>
      </c>
    </row>
    <row r="478" ht="15.75" customHeight="1">
      <c r="A478" s="1" t="s">
        <v>744</v>
      </c>
      <c r="B478" s="1" t="s">
        <v>743</v>
      </c>
      <c r="C478" s="1" t="s">
        <v>32</v>
      </c>
      <c r="D478" s="1" t="s">
        <v>29</v>
      </c>
      <c r="E478" s="1" t="s">
        <v>19</v>
      </c>
      <c r="F478" s="1" t="s">
        <v>20</v>
      </c>
      <c r="G478" s="1">
        <v>74.0</v>
      </c>
      <c r="H478" s="1">
        <v>58.0</v>
      </c>
      <c r="I478" s="1">
        <v>61.0</v>
      </c>
      <c r="J478" s="1">
        <v>56.0</v>
      </c>
      <c r="K478" s="1">
        <v>74.0</v>
      </c>
      <c r="L478" s="1">
        <v>323.0</v>
      </c>
      <c r="M478" s="1">
        <v>64.6</v>
      </c>
      <c r="N478" s="1">
        <v>92.0</v>
      </c>
      <c r="O478" s="1" t="s">
        <v>21</v>
      </c>
    </row>
    <row r="479" ht="15.75" customHeight="1">
      <c r="A479" s="1" t="s">
        <v>745</v>
      </c>
      <c r="B479" s="1" t="s">
        <v>526</v>
      </c>
      <c r="C479" s="1" t="s">
        <v>17</v>
      </c>
      <c r="D479" s="1" t="s">
        <v>18</v>
      </c>
      <c r="E479" s="1" t="s">
        <v>19</v>
      </c>
      <c r="F479" s="1" t="s">
        <v>20</v>
      </c>
      <c r="G479" s="1">
        <v>60.0</v>
      </c>
      <c r="H479" s="1">
        <v>65.0</v>
      </c>
      <c r="I479" s="1">
        <v>59.0</v>
      </c>
      <c r="J479" s="1">
        <v>78.0</v>
      </c>
      <c r="K479" s="1">
        <v>48.0</v>
      </c>
      <c r="L479" s="1">
        <v>310.0</v>
      </c>
      <c r="M479" s="1">
        <v>62.0</v>
      </c>
      <c r="N479" s="1">
        <v>94.0</v>
      </c>
      <c r="O479" s="1" t="s">
        <v>21</v>
      </c>
    </row>
    <row r="480" ht="15.75" customHeight="1">
      <c r="A480" s="1" t="s">
        <v>746</v>
      </c>
      <c r="B480" s="1" t="s">
        <v>204</v>
      </c>
      <c r="C480" s="1" t="s">
        <v>32</v>
      </c>
      <c r="D480" s="1" t="s">
        <v>24</v>
      </c>
      <c r="E480" s="1" t="s">
        <v>47</v>
      </c>
      <c r="F480" s="1" t="s">
        <v>26</v>
      </c>
      <c r="G480" s="1">
        <v>95.0</v>
      </c>
      <c r="H480" s="1">
        <v>72.0</v>
      </c>
      <c r="I480" s="1">
        <v>59.0</v>
      </c>
      <c r="J480" s="1">
        <v>50.0</v>
      </c>
      <c r="K480" s="1">
        <v>94.0</v>
      </c>
      <c r="L480" s="1">
        <v>370.0</v>
      </c>
      <c r="M480" s="1">
        <v>74.0</v>
      </c>
      <c r="N480" s="1">
        <v>87.0</v>
      </c>
      <c r="O480" s="1" t="s">
        <v>21</v>
      </c>
    </row>
    <row r="481" ht="15.75" customHeight="1">
      <c r="A481" s="1" t="s">
        <v>747</v>
      </c>
      <c r="B481" s="1" t="s">
        <v>183</v>
      </c>
      <c r="C481" s="1" t="s">
        <v>32</v>
      </c>
      <c r="D481" s="1" t="s">
        <v>40</v>
      </c>
      <c r="E481" s="1" t="s">
        <v>19</v>
      </c>
      <c r="F481" s="1" t="s">
        <v>20</v>
      </c>
      <c r="G481" s="1">
        <v>71.0</v>
      </c>
      <c r="H481" s="1">
        <v>80.0</v>
      </c>
      <c r="I481" s="1">
        <v>65.0</v>
      </c>
      <c r="J481" s="1">
        <v>46.0</v>
      </c>
      <c r="K481" s="1">
        <v>79.0</v>
      </c>
      <c r="L481" s="1">
        <v>341.0</v>
      </c>
      <c r="M481" s="1">
        <v>68.2</v>
      </c>
      <c r="N481" s="1">
        <v>62.0</v>
      </c>
      <c r="O481" s="1" t="s">
        <v>21</v>
      </c>
    </row>
    <row r="482" ht="15.75" customHeight="1">
      <c r="A482" s="1" t="s">
        <v>748</v>
      </c>
      <c r="B482" s="1" t="s">
        <v>749</v>
      </c>
      <c r="C482" s="1" t="s">
        <v>32</v>
      </c>
      <c r="D482" s="1" t="s">
        <v>54</v>
      </c>
      <c r="E482" s="1" t="s">
        <v>19</v>
      </c>
      <c r="F482" s="1" t="s">
        <v>20</v>
      </c>
      <c r="G482" s="1">
        <v>84.0</v>
      </c>
      <c r="H482" s="1">
        <v>87.0</v>
      </c>
      <c r="I482" s="1">
        <v>71.0</v>
      </c>
      <c r="J482" s="1">
        <v>73.0</v>
      </c>
      <c r="K482" s="1">
        <v>86.0</v>
      </c>
      <c r="L482" s="1">
        <v>401.0</v>
      </c>
      <c r="M482" s="1">
        <v>80.2</v>
      </c>
      <c r="N482" s="1">
        <v>86.0</v>
      </c>
      <c r="O482" s="1" t="s">
        <v>21</v>
      </c>
    </row>
    <row r="483" ht="15.75" customHeight="1">
      <c r="A483" s="1" t="s">
        <v>750</v>
      </c>
      <c r="B483" s="1" t="s">
        <v>139</v>
      </c>
      <c r="C483" s="1" t="s">
        <v>32</v>
      </c>
      <c r="D483" s="1" t="s">
        <v>40</v>
      </c>
      <c r="E483" s="1" t="s">
        <v>25</v>
      </c>
      <c r="F483" s="1" t="s">
        <v>37</v>
      </c>
      <c r="G483" s="1">
        <v>48.0</v>
      </c>
      <c r="H483" s="1">
        <v>88.0</v>
      </c>
      <c r="I483" s="1">
        <v>95.0</v>
      </c>
      <c r="J483" s="1">
        <v>81.0</v>
      </c>
      <c r="K483" s="1">
        <v>78.0</v>
      </c>
      <c r="L483" s="1">
        <v>390.0</v>
      </c>
      <c r="M483" s="1">
        <v>78.0</v>
      </c>
      <c r="N483" s="1">
        <v>80.0</v>
      </c>
      <c r="O483" s="1" t="s">
        <v>21</v>
      </c>
    </row>
    <row r="484" ht="15.75" customHeight="1">
      <c r="A484" s="1" t="s">
        <v>751</v>
      </c>
      <c r="B484" s="1" t="s">
        <v>440</v>
      </c>
      <c r="C484" s="1" t="s">
        <v>17</v>
      </c>
      <c r="D484" s="1" t="s">
        <v>54</v>
      </c>
      <c r="E484" s="1" t="s">
        <v>19</v>
      </c>
      <c r="F484" s="1" t="s">
        <v>77</v>
      </c>
      <c r="G484" s="1">
        <v>84.0</v>
      </c>
      <c r="H484" s="1">
        <v>71.0</v>
      </c>
      <c r="I484" s="1">
        <v>99.0</v>
      </c>
      <c r="J484" s="1">
        <v>57.0</v>
      </c>
      <c r="K484" s="1">
        <v>92.0</v>
      </c>
      <c r="L484" s="1">
        <v>403.0</v>
      </c>
      <c r="M484" s="1">
        <v>80.6</v>
      </c>
      <c r="N484" s="1">
        <v>64.0</v>
      </c>
      <c r="O484" s="1" t="s">
        <v>21</v>
      </c>
    </row>
    <row r="485" ht="15.75" customHeight="1">
      <c r="A485" s="1" t="s">
        <v>752</v>
      </c>
      <c r="B485" s="1" t="s">
        <v>623</v>
      </c>
      <c r="C485" s="1" t="s">
        <v>32</v>
      </c>
      <c r="D485" s="1" t="s">
        <v>29</v>
      </c>
      <c r="E485" s="1" t="s">
        <v>47</v>
      </c>
      <c r="F485" s="1" t="s">
        <v>62</v>
      </c>
      <c r="G485" s="1">
        <v>45.0</v>
      </c>
      <c r="H485" s="1">
        <v>86.0</v>
      </c>
      <c r="I485" s="1">
        <v>64.0</v>
      </c>
      <c r="J485" s="1">
        <v>99.0</v>
      </c>
      <c r="K485" s="1">
        <v>81.0</v>
      </c>
      <c r="L485" s="1">
        <v>375.0</v>
      </c>
      <c r="M485" s="1">
        <v>75.0</v>
      </c>
      <c r="N485" s="1">
        <v>98.0</v>
      </c>
      <c r="O485" s="1" t="s">
        <v>21</v>
      </c>
    </row>
    <row r="486" ht="15.75" customHeight="1">
      <c r="A486" s="1" t="s">
        <v>753</v>
      </c>
      <c r="B486" s="1" t="s">
        <v>754</v>
      </c>
      <c r="C486" s="1" t="s">
        <v>32</v>
      </c>
      <c r="D486" s="1" t="s">
        <v>54</v>
      </c>
      <c r="E486" s="1" t="s">
        <v>25</v>
      </c>
      <c r="F486" s="1" t="s">
        <v>55</v>
      </c>
      <c r="G486" s="1">
        <v>68.0</v>
      </c>
      <c r="H486" s="1">
        <v>53.0</v>
      </c>
      <c r="I486" s="1">
        <v>45.0</v>
      </c>
      <c r="J486" s="1">
        <v>64.0</v>
      </c>
      <c r="K486" s="1">
        <v>40.0</v>
      </c>
      <c r="L486" s="1">
        <v>270.0</v>
      </c>
      <c r="M486" s="1">
        <v>54.0</v>
      </c>
      <c r="N486" s="1">
        <v>77.0</v>
      </c>
      <c r="O486" s="1" t="s">
        <v>21</v>
      </c>
    </row>
    <row r="487" ht="15.75" customHeight="1">
      <c r="A487" s="1" t="s">
        <v>755</v>
      </c>
      <c r="B487" s="1" t="s">
        <v>550</v>
      </c>
      <c r="C487" s="1" t="s">
        <v>17</v>
      </c>
      <c r="D487" s="1" t="s">
        <v>40</v>
      </c>
      <c r="E487" s="1" t="s">
        <v>19</v>
      </c>
      <c r="F487" s="1" t="s">
        <v>77</v>
      </c>
      <c r="G487" s="1">
        <v>98.0</v>
      </c>
      <c r="H487" s="1">
        <v>88.0</v>
      </c>
      <c r="I487" s="1">
        <v>63.0</v>
      </c>
      <c r="J487" s="1">
        <v>64.0</v>
      </c>
      <c r="K487" s="1">
        <v>49.0</v>
      </c>
      <c r="L487" s="1">
        <v>362.0</v>
      </c>
      <c r="M487" s="1">
        <v>72.4</v>
      </c>
      <c r="N487" s="1">
        <v>92.0</v>
      </c>
      <c r="O487" s="1" t="s">
        <v>21</v>
      </c>
    </row>
    <row r="488" ht="15.75" customHeight="1">
      <c r="A488" s="1" t="s">
        <v>756</v>
      </c>
      <c r="B488" s="1" t="s">
        <v>459</v>
      </c>
      <c r="C488" s="1" t="s">
        <v>32</v>
      </c>
      <c r="D488" s="1" t="s">
        <v>18</v>
      </c>
      <c r="E488" s="1" t="s">
        <v>19</v>
      </c>
      <c r="F488" s="1" t="s">
        <v>44</v>
      </c>
      <c r="G488" s="1">
        <v>59.0</v>
      </c>
      <c r="H488" s="1">
        <v>77.0</v>
      </c>
      <c r="I488" s="1">
        <v>97.0</v>
      </c>
      <c r="J488" s="1">
        <v>68.0</v>
      </c>
      <c r="K488" s="1">
        <v>100.0</v>
      </c>
      <c r="L488" s="1">
        <v>401.0</v>
      </c>
      <c r="M488" s="1">
        <v>80.2</v>
      </c>
      <c r="N488" s="1">
        <v>72.0</v>
      </c>
      <c r="O488" s="1" t="s">
        <v>21</v>
      </c>
    </row>
    <row r="489" ht="15.75" customHeight="1">
      <c r="A489" s="1" t="s">
        <v>757</v>
      </c>
      <c r="B489" s="1" t="s">
        <v>295</v>
      </c>
      <c r="C489" s="1" t="s">
        <v>32</v>
      </c>
      <c r="D489" s="1" t="s">
        <v>29</v>
      </c>
      <c r="E489" s="1" t="s">
        <v>19</v>
      </c>
      <c r="F489" s="1" t="s">
        <v>37</v>
      </c>
      <c r="G489" s="1">
        <v>40.0</v>
      </c>
      <c r="H489" s="1">
        <v>66.0</v>
      </c>
      <c r="I489" s="1">
        <v>51.0</v>
      </c>
      <c r="J489" s="1">
        <v>65.0</v>
      </c>
      <c r="K489" s="1">
        <v>63.0</v>
      </c>
      <c r="L489" s="1">
        <v>285.0</v>
      </c>
      <c r="M489" s="1">
        <v>57.0</v>
      </c>
      <c r="N489" s="1">
        <v>66.0</v>
      </c>
      <c r="O489" s="1" t="s">
        <v>21</v>
      </c>
    </row>
    <row r="490" ht="15.75" customHeight="1">
      <c r="A490" s="1" t="s">
        <v>758</v>
      </c>
      <c r="B490" s="1" t="s">
        <v>586</v>
      </c>
      <c r="C490" s="1" t="s">
        <v>32</v>
      </c>
      <c r="D490" s="1" t="s">
        <v>18</v>
      </c>
      <c r="E490" s="1" t="s">
        <v>47</v>
      </c>
      <c r="F490" s="1" t="s">
        <v>77</v>
      </c>
      <c r="G490" s="1">
        <v>92.0</v>
      </c>
      <c r="H490" s="1">
        <v>73.0</v>
      </c>
      <c r="I490" s="1">
        <v>82.0</v>
      </c>
      <c r="J490" s="1">
        <v>45.0</v>
      </c>
      <c r="K490" s="1">
        <v>69.0</v>
      </c>
      <c r="L490" s="1">
        <v>361.0</v>
      </c>
      <c r="M490" s="1">
        <v>72.2</v>
      </c>
      <c r="N490" s="1">
        <v>62.0</v>
      </c>
      <c r="O490" s="1" t="s">
        <v>21</v>
      </c>
    </row>
    <row r="491" ht="15.75" customHeight="1">
      <c r="A491" s="1" t="s">
        <v>759</v>
      </c>
      <c r="B491" s="1" t="s">
        <v>760</v>
      </c>
      <c r="C491" s="1" t="s">
        <v>32</v>
      </c>
      <c r="D491" s="1" t="s">
        <v>54</v>
      </c>
      <c r="E491" s="1" t="s">
        <v>47</v>
      </c>
      <c r="F491" s="1" t="s">
        <v>77</v>
      </c>
      <c r="G491" s="1">
        <v>47.0</v>
      </c>
      <c r="H491" s="1">
        <v>54.0</v>
      </c>
      <c r="I491" s="1">
        <v>67.0</v>
      </c>
      <c r="J491" s="1">
        <v>75.0</v>
      </c>
      <c r="K491" s="1">
        <v>70.0</v>
      </c>
      <c r="L491" s="1">
        <v>313.0</v>
      </c>
      <c r="M491" s="1">
        <v>62.6</v>
      </c>
      <c r="N491" s="1">
        <v>89.0</v>
      </c>
      <c r="O491" s="1" t="s">
        <v>21</v>
      </c>
    </row>
    <row r="492" ht="15.75" customHeight="1">
      <c r="A492" s="1" t="s">
        <v>761</v>
      </c>
      <c r="B492" s="1" t="s">
        <v>115</v>
      </c>
      <c r="C492" s="1" t="s">
        <v>32</v>
      </c>
      <c r="D492" s="1" t="s">
        <v>18</v>
      </c>
      <c r="E492" s="1" t="s">
        <v>47</v>
      </c>
      <c r="F492" s="1" t="s">
        <v>37</v>
      </c>
      <c r="G492" s="1">
        <v>86.0</v>
      </c>
      <c r="H492" s="1">
        <v>44.0</v>
      </c>
      <c r="I492" s="1">
        <v>72.0</v>
      </c>
      <c r="J492" s="1">
        <v>69.0</v>
      </c>
      <c r="K492" s="1">
        <v>93.0</v>
      </c>
      <c r="L492" s="1">
        <v>364.0</v>
      </c>
      <c r="M492" s="1">
        <v>72.8</v>
      </c>
      <c r="N492" s="1">
        <v>68.0</v>
      </c>
      <c r="O492" s="1" t="s">
        <v>21</v>
      </c>
    </row>
    <row r="493" ht="15.75" customHeight="1">
      <c r="A493" s="1" t="s">
        <v>762</v>
      </c>
      <c r="B493" s="1" t="s">
        <v>638</v>
      </c>
      <c r="C493" s="1" t="s">
        <v>17</v>
      </c>
      <c r="D493" s="1" t="s">
        <v>24</v>
      </c>
      <c r="E493" s="1" t="s">
        <v>19</v>
      </c>
      <c r="F493" s="1" t="s">
        <v>55</v>
      </c>
      <c r="G493" s="1">
        <v>81.0</v>
      </c>
      <c r="H493" s="1">
        <v>54.0</v>
      </c>
      <c r="I493" s="1">
        <v>68.0</v>
      </c>
      <c r="J493" s="1">
        <v>86.0</v>
      </c>
      <c r="K493" s="1">
        <v>88.0</v>
      </c>
      <c r="L493" s="1">
        <v>377.0</v>
      </c>
      <c r="M493" s="1">
        <v>75.4</v>
      </c>
      <c r="N493" s="1">
        <v>66.0</v>
      </c>
      <c r="O493" s="1" t="s">
        <v>21</v>
      </c>
    </row>
    <row r="494" ht="15.75" customHeight="1">
      <c r="A494" s="1" t="s">
        <v>763</v>
      </c>
      <c r="B494" s="1" t="s">
        <v>576</v>
      </c>
      <c r="C494" s="1" t="s">
        <v>17</v>
      </c>
      <c r="D494" s="1" t="s">
        <v>18</v>
      </c>
      <c r="E494" s="1" t="s">
        <v>47</v>
      </c>
      <c r="F494" s="1" t="s">
        <v>77</v>
      </c>
      <c r="G494" s="1">
        <v>53.0</v>
      </c>
      <c r="H494" s="1">
        <v>56.0</v>
      </c>
      <c r="I494" s="1">
        <v>55.0</v>
      </c>
      <c r="J494" s="1">
        <v>46.0</v>
      </c>
      <c r="K494" s="1">
        <v>52.0</v>
      </c>
      <c r="L494" s="1">
        <v>262.0</v>
      </c>
      <c r="M494" s="1">
        <v>52.4</v>
      </c>
      <c r="N494" s="1">
        <v>70.0</v>
      </c>
      <c r="O494" s="1" t="s">
        <v>21</v>
      </c>
    </row>
    <row r="495" ht="15.75" customHeight="1">
      <c r="A495" s="1" t="s">
        <v>764</v>
      </c>
      <c r="B495" s="1" t="s">
        <v>765</v>
      </c>
      <c r="C495" s="1" t="s">
        <v>17</v>
      </c>
      <c r="D495" s="1" t="s">
        <v>40</v>
      </c>
      <c r="E495" s="1" t="s">
        <v>19</v>
      </c>
      <c r="F495" s="1" t="s">
        <v>77</v>
      </c>
      <c r="G495" s="1">
        <v>63.0</v>
      </c>
      <c r="H495" s="1">
        <v>68.0</v>
      </c>
      <c r="I495" s="1">
        <v>100.0</v>
      </c>
      <c r="J495" s="1">
        <v>58.0</v>
      </c>
      <c r="K495" s="1">
        <v>80.0</v>
      </c>
      <c r="L495" s="1">
        <v>369.0</v>
      </c>
      <c r="M495" s="1">
        <v>73.8</v>
      </c>
      <c r="N495" s="1">
        <v>65.0</v>
      </c>
      <c r="O495" s="1" t="s">
        <v>21</v>
      </c>
    </row>
    <row r="496" ht="15.75" customHeight="1">
      <c r="A496" s="1" t="s">
        <v>766</v>
      </c>
      <c r="B496" s="1" t="s">
        <v>121</v>
      </c>
      <c r="C496" s="1" t="s">
        <v>17</v>
      </c>
      <c r="D496" s="1" t="s">
        <v>40</v>
      </c>
      <c r="E496" s="1" t="s">
        <v>47</v>
      </c>
      <c r="F496" s="1" t="s">
        <v>55</v>
      </c>
      <c r="G496" s="1">
        <v>92.0</v>
      </c>
      <c r="H496" s="1">
        <v>80.0</v>
      </c>
      <c r="I496" s="1">
        <v>71.0</v>
      </c>
      <c r="J496" s="1">
        <v>85.0</v>
      </c>
      <c r="K496" s="1">
        <v>46.0</v>
      </c>
      <c r="L496" s="1">
        <v>374.0</v>
      </c>
      <c r="M496" s="1">
        <v>74.8</v>
      </c>
      <c r="N496" s="1">
        <v>98.0</v>
      </c>
      <c r="O496" s="1" t="s">
        <v>21</v>
      </c>
    </row>
    <row r="497" ht="15.75" customHeight="1">
      <c r="A497" s="1" t="s">
        <v>767</v>
      </c>
      <c r="B497" s="1" t="s">
        <v>364</v>
      </c>
      <c r="C497" s="1" t="s">
        <v>17</v>
      </c>
      <c r="D497" s="1" t="s">
        <v>24</v>
      </c>
      <c r="E497" s="1" t="s">
        <v>19</v>
      </c>
      <c r="F497" s="1" t="s">
        <v>62</v>
      </c>
      <c r="G497" s="1">
        <v>69.0</v>
      </c>
      <c r="H497" s="1">
        <v>80.0</v>
      </c>
      <c r="I497" s="1">
        <v>96.0</v>
      </c>
      <c r="J497" s="1">
        <v>76.0</v>
      </c>
      <c r="K497" s="1">
        <v>50.0</v>
      </c>
      <c r="L497" s="1">
        <v>371.0</v>
      </c>
      <c r="M497" s="1">
        <v>74.2</v>
      </c>
      <c r="N497" s="1">
        <v>92.0</v>
      </c>
      <c r="O497" s="1" t="s">
        <v>21</v>
      </c>
    </row>
    <row r="498" ht="15.75" customHeight="1">
      <c r="A498" s="1" t="s">
        <v>768</v>
      </c>
      <c r="B498" s="1" t="s">
        <v>263</v>
      </c>
      <c r="C498" s="1" t="s">
        <v>17</v>
      </c>
      <c r="D498" s="1" t="s">
        <v>54</v>
      </c>
      <c r="E498" s="1" t="s">
        <v>47</v>
      </c>
      <c r="F498" s="1" t="s">
        <v>26</v>
      </c>
      <c r="G498" s="1">
        <v>85.0</v>
      </c>
      <c r="H498" s="1">
        <v>98.0</v>
      </c>
      <c r="I498" s="1">
        <v>49.0</v>
      </c>
      <c r="J498" s="1">
        <v>86.0</v>
      </c>
      <c r="K498" s="1">
        <v>48.0</v>
      </c>
      <c r="L498" s="1">
        <v>366.0</v>
      </c>
      <c r="M498" s="1">
        <v>73.2</v>
      </c>
      <c r="N498" s="1">
        <v>79.0</v>
      </c>
      <c r="O498" s="1" t="s">
        <v>21</v>
      </c>
    </row>
    <row r="499" ht="15.75" customHeight="1">
      <c r="A499" s="1" t="s">
        <v>769</v>
      </c>
      <c r="B499" s="1" t="s">
        <v>488</v>
      </c>
      <c r="C499" s="1" t="s">
        <v>17</v>
      </c>
      <c r="D499" s="1" t="s">
        <v>40</v>
      </c>
      <c r="E499" s="1" t="s">
        <v>19</v>
      </c>
      <c r="F499" s="1" t="s">
        <v>41</v>
      </c>
      <c r="G499" s="1">
        <v>98.0</v>
      </c>
      <c r="H499" s="1">
        <v>83.0</v>
      </c>
      <c r="I499" s="1">
        <v>64.0</v>
      </c>
      <c r="J499" s="1">
        <v>96.0</v>
      </c>
      <c r="K499" s="1">
        <v>61.0</v>
      </c>
      <c r="L499" s="1">
        <v>402.0</v>
      </c>
      <c r="M499" s="1">
        <v>80.4</v>
      </c>
      <c r="N499" s="1">
        <v>74.0</v>
      </c>
      <c r="O499" s="1" t="s">
        <v>21</v>
      </c>
    </row>
    <row r="500" ht="15.75" customHeight="1">
      <c r="A500" s="1" t="s">
        <v>770</v>
      </c>
      <c r="B500" s="1" t="s">
        <v>295</v>
      </c>
      <c r="C500" s="1" t="s">
        <v>32</v>
      </c>
      <c r="D500" s="1" t="s">
        <v>18</v>
      </c>
      <c r="E500" s="1" t="s">
        <v>19</v>
      </c>
      <c r="F500" s="1" t="s">
        <v>26</v>
      </c>
      <c r="G500" s="1">
        <v>84.0</v>
      </c>
      <c r="H500" s="1">
        <v>76.0</v>
      </c>
      <c r="I500" s="1">
        <v>62.0</v>
      </c>
      <c r="J500" s="1">
        <v>60.0</v>
      </c>
      <c r="K500" s="1">
        <v>64.0</v>
      </c>
      <c r="L500" s="1">
        <v>346.0</v>
      </c>
      <c r="M500" s="1">
        <v>69.2</v>
      </c>
      <c r="N500" s="1">
        <v>64.0</v>
      </c>
      <c r="O500" s="1" t="s">
        <v>21</v>
      </c>
    </row>
    <row r="501" ht="15.75" customHeight="1">
      <c r="A501" s="1" t="s">
        <v>771</v>
      </c>
      <c r="B501" s="1" t="s">
        <v>16</v>
      </c>
      <c r="C501" s="1" t="s">
        <v>32</v>
      </c>
      <c r="D501" s="1" t="s">
        <v>24</v>
      </c>
      <c r="E501" s="1" t="s">
        <v>19</v>
      </c>
      <c r="F501" s="1" t="s">
        <v>37</v>
      </c>
      <c r="G501" s="1">
        <v>66.0</v>
      </c>
      <c r="H501" s="1">
        <v>54.0</v>
      </c>
      <c r="I501" s="1">
        <v>81.0</v>
      </c>
      <c r="J501" s="1">
        <v>44.0</v>
      </c>
      <c r="K501" s="1">
        <v>61.0</v>
      </c>
      <c r="L501" s="1">
        <v>306.0</v>
      </c>
      <c r="M501" s="1">
        <v>61.2</v>
      </c>
      <c r="N501" s="1">
        <v>71.0</v>
      </c>
      <c r="O501" s="1" t="s">
        <v>21</v>
      </c>
    </row>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76.29"/>
    <col customWidth="1" min="2" max="2" width="57.29"/>
    <col customWidth="1" min="3" max="6" width="14.43"/>
  </cols>
  <sheetData>
    <row r="1">
      <c r="A1" s="2" t="s">
        <v>772</v>
      </c>
      <c r="B1" s="2" t="s">
        <v>773</v>
      </c>
    </row>
    <row r="2">
      <c r="A2" s="3" t="s">
        <v>774</v>
      </c>
      <c r="B2" s="4">
        <f>COUNTA(Student_Data!A2:A501)</f>
        <v>500</v>
      </c>
    </row>
    <row r="3">
      <c r="A3" s="5" t="s">
        <v>775</v>
      </c>
      <c r="B3" s="6" t="s">
        <v>776</v>
      </c>
    </row>
    <row r="4">
      <c r="A4" s="7" t="s">
        <v>777</v>
      </c>
      <c r="B4" s="8" t="s">
        <v>778</v>
      </c>
    </row>
    <row r="5">
      <c r="A5" s="5" t="s">
        <v>779</v>
      </c>
      <c r="B5" s="6">
        <f>COUNTIF(Student_Data!G2:G501, "&gt;75")</f>
        <v>207</v>
      </c>
    </row>
    <row r="6">
      <c r="A6" s="7" t="s">
        <v>780</v>
      </c>
      <c r="B6" s="8">
        <f>COUNTIF(Student_Data!N2:N501, "&gt;90")</f>
        <v>135</v>
      </c>
    </row>
    <row r="7">
      <c r="A7" s="5" t="s">
        <v>781</v>
      </c>
      <c r="B7" s="6">
        <f>COUNTIFS(Student_Data!C2:C501, "Female", Student_Data!D2:D501, 10)</f>
        <v>59</v>
      </c>
    </row>
    <row r="8">
      <c r="A8" s="7" t="s">
        <v>782</v>
      </c>
      <c r="B8" s="8">
        <f>COUNTIFS(Student_Data!O2:O501, "Pass", Student_Data!N2:N501, "&lt;75")</f>
        <v>169</v>
      </c>
    </row>
    <row r="9">
      <c r="A9" s="5" t="s">
        <v>783</v>
      </c>
      <c r="B9" s="6">
        <f>COUNTIFS(Student_Data!G2:G501, "&gt;80", Student_Data!H2:H501, "&gt;80")</f>
        <v>51</v>
      </c>
    </row>
    <row r="10">
      <c r="A10" s="7" t="s">
        <v>784</v>
      </c>
      <c r="B10" s="8">
        <f>COUNTIFS(Student_Data!E2:E501, "A", Student_Data!D2:D501, 9)</f>
        <v>38</v>
      </c>
    </row>
    <row r="11">
      <c r="A11" s="5" t="s">
        <v>785</v>
      </c>
      <c r="B11" s="6">
        <f>SUMIF(Student_Data!F2:F501, "Delhi", Student_Data!L2:L501)</f>
        <v>19058</v>
      </c>
    </row>
    <row r="12">
      <c r="A12" s="7" t="s">
        <v>786</v>
      </c>
      <c r="B12" s="8">
        <f>SUMIF(Student_Data!D2:D501, 8, Student_Data!G2:G501)</f>
        <v>6288</v>
      </c>
    </row>
    <row r="13">
      <c r="A13" s="5" t="s">
        <v>787</v>
      </c>
      <c r="B13" s="6">
        <f>SUMIFS(Student_Data!L2:L501, Student_Data!C2:C501, "Female", Student_Data!F2:F501, "Mumbai")</f>
        <v>10649</v>
      </c>
    </row>
    <row r="14">
      <c r="A14" s="7" t="s">
        <v>788</v>
      </c>
      <c r="B14" s="8">
        <f>SUMIF(Student_Data!E2:E501, "B", Student_Data!N2:N501)</f>
        <v>13512</v>
      </c>
    </row>
    <row r="15">
      <c r="A15" s="5" t="s">
        <v>789</v>
      </c>
      <c r="B15" s="6">
        <f>AVERAGEIF(Student_Data!D2:D501, 10, Student_Data!M2:M501)</f>
        <v>70.23738318</v>
      </c>
    </row>
    <row r="16">
      <c r="A16" s="7" t="s">
        <v>790</v>
      </c>
      <c r="B16" s="8">
        <f>AVERAGEIF(Student_Data!C2:C501, "Male", Student_Data!I2:I501)</f>
        <v>70.036</v>
      </c>
    </row>
    <row r="17">
      <c r="A17" s="5" t="s">
        <v>791</v>
      </c>
      <c r="B17" s="6">
        <f>AVERAGEIF(Student_Data!F2:F501, "Jaipur", Student_Data!M2:M501)</f>
        <v>71.31212121</v>
      </c>
    </row>
    <row r="18">
      <c r="A18" s="7" t="s">
        <v>792</v>
      </c>
      <c r="B18" s="8">
        <f>AVERAGEIF(Student_Data!O2:O501, "Pass", Student_Data!N2:N501)</f>
        <v>80.5490982</v>
      </c>
    </row>
    <row r="19">
      <c r="A19" s="5" t="s">
        <v>793</v>
      </c>
      <c r="B19" s="6" t="str">
        <f>COUNTIF(Student_Data!M2:M501, "&gt;85") &amp; " Toppers, " &amp; COUNTIF(Student_Data!M2:M501, "&lt;=85") &amp; " Average"</f>
        <v>6 Toppers, 494 Average</v>
      </c>
    </row>
    <row r="20">
      <c r="A20" s="7" t="s">
        <v>794</v>
      </c>
      <c r="B20" s="8" t="str">
        <f>IFERROR(__xludf.DUMMYFUNCTION("IFERROR(TEXTJOIN("", "", TRUE, FILTER(Student_Data!B2:B501, Student_Data!N2:N501&lt;70)), ""None"")"),"Aarav Kulkarni, Kavya Gupta, Sai Verma, Pooja Jain, Rohan Singh, Karan Iyer, Rahul Singh, Shreya Verma, Kavya Kulkarni, Tanvi Choudhary, Priya Jain, Aditya Iyer, Karan Kulkarni, Shreya Singh, Vivaan Verma, Karan Sharma, Karan Nair, Kavya Yadav, Sneha Yada"&amp;"v, Pooja Verma, Sneha Verma, Sai Yadav, Pooja Kulkarni, Priya Banerjee, Ananya Choudhary, Neha Singh, Shreya Jain, Rohan Gupta, Ishita Nair, Simran Jain, Ananya Yadav, Aditya Choudhary, Ritika Verma, Vivaan Iyer, Sai Jain, Aarav Yadav, Ritika Verma, Anany"&amp;"a Yadav, Tanvi Verma, Aarav Iyer, Kavya Jain, Priya Iyer, Meera Singh, Aditya Sharma, Rahul Sharma, Meera Jain, Ishita Sharma, Vivaan Kaur, Ritika Gupta, Kavya Patel, Aarav Choudhary, Pooja Iyer, Aditya Das, Kavya Nair, Ritika Das, Tanvi Patel, Ritika Das"&amp;", Aditya Sharma, Meera Yadav, Simran Nair, Priya Reddy, Aditya Kulkarni, Sai Kaur, Priya Jain, Ananya Jain, Sneha Nair, Priya Choudhary, Ananya Das, Shreya Choudhary, Pooja Iyer, Sai Das, Aditya Kulkarni, Ishita Banerjee, Rohan Jain, Arjun Kaur, Vivaan Si"&amp;"ngh, Karan Das, Sai Choudhary, Pooja Sharma, Tanvi Gupta, Aarav Singh, Shreya Singh, Ananya Choudhary, Sneha Verma, Arjun Singh, Shreya Kulkarni, Priya Verma, Pooja Verma, Arjun Sharma, Arjun Banerjee, Priya Jain, Karan Kulkarni, Shreya Das, Ritika Das, A"&amp;"ditya Banerjee, Sneha Jain, Sneha Singh, Karan Sharma, Arjun Yadav, Aarav Verma, Meera Kulkarni, Sneha Reddy, Ritika Banerjee, Pooja Kulkarni, Simran Singh, Tanvi Das, Neha Das, Pooja Kulkarni, Kavya Verma, Ananya Banerjee, Vivaan Banerjee, Pooja Yadav, K"&amp;"avya Iyer, Sneha Kaur, Tanvi Choudhary, Aditya Banerjee, Meera Banerjee, Kavya Iyer")</f>
        <v>Aarav Kulkarni, Kavya Gupta, Sai Verma, Pooja Jain, Rohan Singh, Karan Iyer, Rahul Singh, Shreya Verma, Kavya Kulkarni, Tanvi Choudhary, Priya Jain, Aditya Iyer, Karan Kulkarni, Shreya Singh, Vivaan Verma, Karan Sharma, Karan Nair, Kavya Yadav, Sneha Yadav, Pooja Verma, Sneha Verma, Sai Yadav, Pooja Kulkarni, Priya Banerjee, Ananya Choudhary, Neha Singh, Shreya Jain, Rohan Gupta, Ishita Nair, Simran Jain, Ananya Yadav, Aditya Choudhary, Ritika Verma, Vivaan Iyer, Sai Jain, Aarav Yadav, Ritika Verma, Ananya Yadav, Tanvi Verma, Aarav Iyer, Kavya Jain, Priya Iyer, Meera Singh, Aditya Sharma, Rahul Sharma, Meera Jain, Ishita Sharma, Vivaan Kaur, Ritika Gupta, Kavya Patel, Aarav Choudhary, Pooja Iyer, Aditya Das, Kavya Nair, Ritika Das, Tanvi Patel, Ritika Das, Aditya Sharma, Meera Yadav, Simran Nair, Priya Reddy, Aditya Kulkarni, Sai Kaur, Priya Jain, Ananya Jain, Sneha Nair, Priya Choudhary, Ananya Das, Shreya Choudhary, Pooja Iyer, Sai Das, Aditya Kulkarni, Ishita Banerjee, Rohan Jain, Arjun Kaur, Vivaan Singh, Karan Das, Sai Choudhary, Pooja Sharma, Tanvi Gupta, Aarav Singh, Shreya Singh, Ananya Choudhary, Sneha Verma, Arjun Singh, Shreya Kulkarni, Priya Verma, Pooja Verma, Arjun Sharma, Arjun Banerjee, Priya Jain, Karan Kulkarni, Shreya Das, Ritika Das, Aditya Banerjee, Sneha Jain, Sneha Singh, Karan Sharma, Arjun Yadav, Aarav Verma, Meera Kulkarni, Sneha Reddy, Ritika Banerjee, Pooja Kulkarni, Simran Singh, Tanvi Das, Neha Das, Pooja Kulkarni, Kavya Verma, Ananya Banerjee, Vivaan Banerjee, Pooja Yadav, Kavya Iyer, Sneha Kaur, Tanvi Choudhary, Aditya Banerjee, Meera Banerjee, Kavya Iyer</v>
      </c>
    </row>
    <row r="21" ht="15.75" customHeight="1">
      <c r="A21" s="5" t="s">
        <v>795</v>
      </c>
      <c r="B21" s="6" t="str">
        <f>IFERROR(__xludf.DUMMYFUNCTION("IFERROR(TEXTJOIN("", "", TRUE, FILTER(Student_Data!B2:B501, (Student_Data!G2:G501&lt;40)+(Student_Data!H2:H501&lt;40)+(Student_Data!I2:I501&lt;40)+(Student_Data!J2:J501&lt;40)+(Student_Data!K2:K501&lt;40)&gt;0)), ""None"")"),"None")</f>
        <v>None</v>
      </c>
    </row>
    <row r="22" ht="15.75" customHeight="1">
      <c r="A22" s="7" t="s">
        <v>796</v>
      </c>
      <c r="B22" s="8" t="str">
        <f>IFERROR(__xludf.DUMMYFUNCTION("TEXTJOIN("" | "", TRUE, FILTER(Student_Data!A2:O501, Student_Data!A2:A501=""STD-1001""))"),"STD-1001 | Priya Choudhary | Male | 10 | A | Chandigarh | 45 | 97 | 58 | 76 | 71 | 347 | 69.4 | 84 | Pass")</f>
        <v>STD-1001 | Priya Choudhary | Male | 10 | A | Chandigarh | 45 | 97 | 58 | 76 | 71 | 347 | 69.4 | 84 | Pass</v>
      </c>
    </row>
    <row r="23" ht="15.75" customHeight="1">
      <c r="A23" s="5" t="s">
        <v>797</v>
      </c>
      <c r="B23" s="6">
        <f>VLOOKUP("STD-1001", Student_Data!A2:O501, 13, FALSE)</f>
        <v>69.4</v>
      </c>
    </row>
    <row r="24" ht="15.75" customHeight="1">
      <c r="A24" s="7" t="s">
        <v>798</v>
      </c>
      <c r="B24" s="8" t="str">
        <f>VLOOKUP("STD-1001", Student_Data!A2:O501, 6, FALSE)</f>
        <v>Chandigarh</v>
      </c>
    </row>
    <row r="25" ht="15.75" customHeight="1">
      <c r="A25" s="5" t="s">
        <v>799</v>
      </c>
      <c r="B25" s="6" t="str">
        <f>IFERROR(__xludf.DUMMYFUNCTION("IFERROR(TEXTJOIN("", "", TRUE, FILTER(Student_Data!B2:B501, Student_Data!M2:M501&gt;80)), ""None"")"),"Karan Iyer, Shreya Singh, Karan Choudhary, Kavya Reddy, Arjun Banerjee, Rahul Choudhary, Neha Verma, Ishita Choudhary, Neha Choudhary, Priya Nair, Ritika Das, Sneha Nair, Priya Choudhary, Ishita Sharma, Aditya Kulkarni, Rohan Jain, Rohan Das, Karan Das, N"&amp;"eha Das, Sai Das, Pooja Sharma, Ritika Sharma, Aarav Patel, Priya Verma, Pooja Verma, Arjun Banerjee, Ritika Patel, Shreya Das, Karan Sharma, Ritika Banerjee, Vivaan Gupta, Rahul Choudhary, Rohan Yadav, Priya Reddy, Aarav Gupta, Kavya Verma, Sai Patel, Ri"&amp;"tika Yadav, Ritika Jain, Pooja Yadav, Simran Choudhary, Meera Iyer")</f>
        <v>Karan Iyer, Shreya Singh, Karan Choudhary, Kavya Reddy, Arjun Banerjee, Rahul Choudhary, Neha Verma, Ishita Choudhary, Neha Choudhary, Priya Nair, Ritika Das, Sneha Nair, Priya Choudhary, Ishita Sharma, Aditya Kulkarni, Rohan Jain, Rohan Das, Karan Das, Neha Das, Sai Das, Pooja Sharma, Ritika Sharma, Aarav Patel, Priya Verma, Pooja Verma, Arjun Banerjee, Ritika Patel, Shreya Das, Karan Sharma, Ritika Banerjee, Vivaan Gupta, Rahul Choudhary, Rohan Yadav, Priya Reddy, Aarav Gupta, Kavya Verma, Sai Patel, Ritika Yadav, Ritika Jain, Pooja Yadav, Simran Choudhary, Meera Iyer</v>
      </c>
    </row>
    <row r="26" ht="15.75" customHeight="1">
      <c r="A26" s="7" t="s">
        <v>800</v>
      </c>
      <c r="B26" s="8" t="str">
        <f>IFERROR(__xludf.DUMMYFUNCTION("IFERROR(TEXTJOIN("", "", TRUE, FILTER(Student_Data!B2:B501, Student_Data!C2:C501=""Female"", Student_Data!D2:D501=""9"")), ""None"")"),"Ananya Yadav, Arjun Reddy, Arjun Singh, Ishita Kulkarni, Sneha Gupta, Shreya Singh, Ananya Iyer, Karan Verma, Vivaan Gupta, Pooja Verma, Pooja Nair, Rahul Choudhary, Sai Sharma, Aarav Gupta, Sai Jain, Neha Kulkarni, Meera Kulkarni, Rahul Verma, Rahul Verm"&amp;"a, Rahul Jain, Ananya Reddy, Kavya Das, Karan Verma, Sai Das, Kavya Jain, Karan Verma, Vivaan Singh, Ananya Nair, Meera Das, Rohan Nair, Sai Choudhary, Arjun Singh, Pooja Sharma, Aarav Singh, Priya Nair, Pooja Iyer, Pooja Verma, Simran Banerjee, Vivaan Na"&amp;"ir, Vivaan Singh, Vivaan Banerjee, Kavya Jain, Neha Gupta, Priya Reddy, Rahul Das, Aarav Gupta, Ananya Jain, Kavya Singh, Vivaan Banerjee, Shreya Singh")</f>
        <v>Ananya Yadav, Arjun Reddy, Arjun Singh, Ishita Kulkarni, Sneha Gupta, Shreya Singh, Ananya Iyer, Karan Verma, Vivaan Gupta, Pooja Verma, Pooja Nair, Rahul Choudhary, Sai Sharma, Aarav Gupta, Sai Jain, Neha Kulkarni, Meera Kulkarni, Rahul Verma, Rahul Verma, Rahul Jain, Ananya Reddy, Kavya Das, Karan Verma, Sai Das, Kavya Jain, Karan Verma, Vivaan Singh, Ananya Nair, Meera Das, Rohan Nair, Sai Choudhary, Arjun Singh, Pooja Sharma, Aarav Singh, Priya Nair, Pooja Iyer, Pooja Verma, Simran Banerjee, Vivaan Nair, Vivaan Singh, Vivaan Banerjee, Kavya Jain, Neha Gupta, Priya Reddy, Rahul Das, Aarav Gupta, Ananya Jain, Kavya Singh, Vivaan Banerjee, Shreya Singh</v>
      </c>
    </row>
    <row r="27" ht="15.75" customHeight="1">
      <c r="A27" s="5" t="s">
        <v>801</v>
      </c>
      <c r="B27" s="6" t="s">
        <v>802</v>
      </c>
    </row>
    <row r="28" ht="15.75" customHeight="1">
      <c r="A28" s="7" t="s">
        <v>803</v>
      </c>
      <c r="B28" s="8" t="s">
        <v>778</v>
      </c>
    </row>
    <row r="29" ht="15.75" customHeight="1">
      <c r="A29" s="9" t="s">
        <v>804</v>
      </c>
      <c r="B29" s="6">
        <f t="array" ref="B29">COUNTA(UNIQUE(Student_Data!F2:F501))</f>
        <v>8</v>
      </c>
    </row>
    <row r="30" ht="15.75" customHeight="1">
      <c r="A30" s="7" t="s">
        <v>805</v>
      </c>
      <c r="B30" s="4" t="str">
        <f>IF(COUNTBLANK(Student_Data!A2:O501)&gt;0, "Yes", "No")</f>
        <v>No</v>
      </c>
    </row>
    <row r="31" ht="15.75" customHeight="1">
      <c r="A31" s="5" t="s">
        <v>806</v>
      </c>
      <c r="B31" s="6" t="str">
        <f>"Pass: " &amp; COUNTIF(Student_Data!O2:O501, "Pass") &amp; " | Fail: " &amp; COUNTIF(Student_Data!O2:O501, "Fail")</f>
        <v>Pass: 499 | Fail: 1</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6" width="14.43"/>
  </cols>
  <sheetData>
    <row r="1">
      <c r="A1" s="2" t="str">
        <f t="array" ref="A1">'Questions Answers'!A2</f>
        <v>1. Find the total number of students in the dataset.</v>
      </c>
      <c r="B1" s="2"/>
      <c r="C1" s="2"/>
      <c r="D1" s="2"/>
    </row>
    <row r="3">
      <c r="A3" s="1" t="s">
        <v>807</v>
      </c>
    </row>
    <row r="4">
      <c r="A4" s="1">
        <v>500.0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56.43"/>
    <col customWidth="1" min="2" max="6" width="14.43"/>
  </cols>
  <sheetData>
    <row r="1">
      <c r="A1" s="2" t="str">
        <f t="array" ref="A1">'Questions Answers'!A3</f>
        <v>2. Count how many students belong to each Class.</v>
      </c>
      <c r="B1" s="2"/>
    </row>
    <row r="3">
      <c r="A3" s="1" t="str">
        <f>IFERROR(__xludf.DUMMYFUNCTION("QUERY(Student_Data!A1:O1000, ""SELECT D, COUNT(A) WHERE A IS NOT NULL GROUP BY D LABEL D 'Class', COUNT(A) 'Student Count'"")"),"Class")</f>
        <v>Class</v>
      </c>
      <c r="B3" s="1" t="str">
        <f>IFERROR(__xludf.DUMMYFUNCTION("""COMPUTED_VALUE"""),"Student Count")</f>
        <v>Student Count</v>
      </c>
    </row>
    <row r="4">
      <c r="A4" s="1" t="str">
        <f>IFERROR(__xludf.DUMMYFUNCTION("""COMPUTED_VALUE"""),"10")</f>
        <v>10</v>
      </c>
      <c r="B4" s="1">
        <f>IFERROR(__xludf.DUMMYFUNCTION("""COMPUTED_VALUE"""),107.0)</f>
        <v>107</v>
      </c>
    </row>
    <row r="5">
      <c r="A5" s="1" t="str">
        <f>IFERROR(__xludf.DUMMYFUNCTION("""COMPUTED_VALUE"""),"6")</f>
        <v>6</v>
      </c>
      <c r="B5" s="1">
        <f>IFERROR(__xludf.DUMMYFUNCTION("""COMPUTED_VALUE"""),98.0)</f>
        <v>98</v>
      </c>
    </row>
    <row r="6">
      <c r="A6" s="1" t="str">
        <f>IFERROR(__xludf.DUMMYFUNCTION("""COMPUTED_VALUE"""),"7")</f>
        <v>7</v>
      </c>
      <c r="B6" s="1">
        <f>IFERROR(__xludf.DUMMYFUNCTION("""COMPUTED_VALUE"""),107.0)</f>
        <v>107</v>
      </c>
    </row>
    <row r="7">
      <c r="A7" s="1" t="str">
        <f>IFERROR(__xludf.DUMMYFUNCTION("""COMPUTED_VALUE"""),"8")</f>
        <v>8</v>
      </c>
      <c r="B7" s="1">
        <f>IFERROR(__xludf.DUMMYFUNCTION("""COMPUTED_VALUE"""),88.0)</f>
        <v>88</v>
      </c>
    </row>
    <row r="8">
      <c r="A8" s="1" t="str">
        <f>IFERROR(__xludf.DUMMYFUNCTION("""COMPUTED_VALUE"""),"9")</f>
        <v>9</v>
      </c>
      <c r="B8" s="1">
        <f>IFERROR(__xludf.DUMMYFUNCTION("""COMPUTED_VALUE"""),100.0)</f>
        <v>100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53.0"/>
    <col customWidth="1" min="2" max="6" width="14.43"/>
  </cols>
  <sheetData>
    <row r="1">
      <c r="A1" s="2" t="str">
        <f t="array" ref="A1">'Questions Answers'!A4</f>
        <v>3. Identify how many students are from each City.</v>
      </c>
      <c r="B1" s="2"/>
    </row>
    <row r="3">
      <c r="A3" s="1" t="str">
        <f>IFERROR(__xludf.DUMMYFUNCTION("QUERY(Student_Data!A1:O1000, ""SELECT F, COUNT(A) WHERE A IS NOT NULL GROUP BY F LABEL F 'City', COUNT(A) 'Student Count'"")"),"City")</f>
        <v>City</v>
      </c>
      <c r="B3" s="1" t="str">
        <f>IFERROR(__xludf.DUMMYFUNCTION("""COMPUTED_VALUE"""),"Student Count")</f>
        <v>Student Count</v>
      </c>
    </row>
    <row r="4">
      <c r="A4" s="1" t="str">
        <f>IFERROR(__xludf.DUMMYFUNCTION("""COMPUTED_VALUE"""),"Bhopal")</f>
        <v>Bhopal</v>
      </c>
      <c r="B4" s="1">
        <f>IFERROR(__xludf.DUMMYFUNCTION("""COMPUTED_VALUE"""),64.0)</f>
        <v>64</v>
      </c>
    </row>
    <row r="5">
      <c r="A5" s="1" t="str">
        <f>IFERROR(__xludf.DUMMYFUNCTION("""COMPUTED_VALUE"""),"Chandigarh")</f>
        <v>Chandigarh</v>
      </c>
      <c r="B5" s="1">
        <f>IFERROR(__xludf.DUMMYFUNCTION("""COMPUTED_VALUE"""),69.0)</f>
        <v>69</v>
      </c>
    </row>
    <row r="6">
      <c r="A6" s="1" t="str">
        <f>IFERROR(__xludf.DUMMYFUNCTION("""COMPUTED_VALUE"""),"Delhi")</f>
        <v>Delhi</v>
      </c>
      <c r="B6" s="1">
        <f>IFERROR(__xludf.DUMMYFUNCTION("""COMPUTED_VALUE"""),55.0)</f>
        <v>55</v>
      </c>
    </row>
    <row r="7">
      <c r="A7" s="1" t="str">
        <f>IFERROR(__xludf.DUMMYFUNCTION("""COMPUTED_VALUE"""),"Jaipur")</f>
        <v>Jaipur</v>
      </c>
      <c r="B7" s="1">
        <f>IFERROR(__xludf.DUMMYFUNCTION("""COMPUTED_VALUE"""),66.0)</f>
        <v>66</v>
      </c>
    </row>
    <row r="8">
      <c r="A8" s="1" t="str">
        <f>IFERROR(__xludf.DUMMYFUNCTION("""COMPUTED_VALUE"""),"Kolkata")</f>
        <v>Kolkata</v>
      </c>
      <c r="B8" s="1">
        <f>IFERROR(__xludf.DUMMYFUNCTION("""COMPUTED_VALUE"""),64.0)</f>
        <v>64</v>
      </c>
    </row>
    <row r="9">
      <c r="A9" s="1" t="str">
        <f>IFERROR(__xludf.DUMMYFUNCTION("""COMPUTED_VALUE"""),"Lucknow")</f>
        <v>Lucknow</v>
      </c>
      <c r="B9" s="1">
        <f>IFERROR(__xludf.DUMMYFUNCTION("""COMPUTED_VALUE"""),65.0)</f>
        <v>65</v>
      </c>
    </row>
    <row r="10">
      <c r="A10" s="1" t="str">
        <f>IFERROR(__xludf.DUMMYFUNCTION("""COMPUTED_VALUE"""),"Mumbai")</f>
        <v>Mumbai</v>
      </c>
      <c r="B10" s="1">
        <f>IFERROR(__xludf.DUMMYFUNCTION("""COMPUTED_VALUE"""),64.0)</f>
        <v>64</v>
      </c>
    </row>
    <row r="11">
      <c r="A11" s="1" t="str">
        <f>IFERROR(__xludf.DUMMYFUNCTION("""COMPUTED_VALUE"""),"Patna")</f>
        <v>Patna</v>
      </c>
      <c r="B11" s="1">
        <f>IFERROR(__xludf.DUMMYFUNCTION("""COMPUTED_VALUE"""),53.0)</f>
        <v>53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6" width="14.43"/>
  </cols>
  <sheetData>
    <row r="1">
      <c r="A1" s="2" t="str">
        <f t="array" ref="A1">'Questions Answers'!A5</f>
        <v>4. Count students who scored more than 75 marks in Maths.</v>
      </c>
      <c r="B1" s="2"/>
      <c r="C1" s="2"/>
      <c r="D1" s="2"/>
      <c r="F1" s="1"/>
    </row>
    <row r="2" ht="15.0" customHeight="1">
      <c r="A2" s="10" t="s">
        <v>808</v>
      </c>
    </row>
    <row r="3">
      <c r="A3" s="1" t="str">
        <f>IFERROR(__xludf.DUMMYFUNCTION("QUERY(Student_Data!A1:O1000, ""SELECT * WHERE G &gt; 75"")"),"Student_ID")</f>
        <v>Student_ID</v>
      </c>
      <c r="B3" s="1" t="str">
        <f>IFERROR(__xludf.DUMMYFUNCTION("""COMPUTED_VALUE"""),"Full_Name")</f>
        <v>Full_Name</v>
      </c>
      <c r="C3" s="1" t="str">
        <f>IFERROR(__xludf.DUMMYFUNCTION("""COMPUTED_VALUE"""),"Gender")</f>
        <v>Gender</v>
      </c>
      <c r="D3" s="1" t="str">
        <f>IFERROR(__xludf.DUMMYFUNCTION("""COMPUTED_VALUE"""),"Class")</f>
        <v>Class</v>
      </c>
      <c r="E3" s="1" t="str">
        <f>IFERROR(__xludf.DUMMYFUNCTION("""COMPUTED_VALUE"""),"Section")</f>
        <v>Section</v>
      </c>
      <c r="F3" s="1" t="str">
        <f>IFERROR(__xludf.DUMMYFUNCTION("""COMPUTED_VALUE"""),"City")</f>
        <v>City</v>
      </c>
      <c r="G3" s="1" t="str">
        <f>IFERROR(__xludf.DUMMYFUNCTION("""COMPUTED_VALUE"""),"Maths")</f>
        <v>Maths</v>
      </c>
      <c r="H3" s="1" t="str">
        <f>IFERROR(__xludf.DUMMYFUNCTION("""COMPUTED_VALUE"""),"Science")</f>
        <v>Science</v>
      </c>
      <c r="I3" s="1" t="str">
        <f>IFERROR(__xludf.DUMMYFUNCTION("""COMPUTED_VALUE"""),"English")</f>
        <v>English</v>
      </c>
      <c r="J3" s="1" t="str">
        <f>IFERROR(__xludf.DUMMYFUNCTION("""COMPUTED_VALUE"""),"Hindi")</f>
        <v>Hindi</v>
      </c>
      <c r="K3" s="1" t="str">
        <f>IFERROR(__xludf.DUMMYFUNCTION("""COMPUTED_VALUE"""),"Social_Studies")</f>
        <v>Social_Studies</v>
      </c>
      <c r="L3" s="1" t="str">
        <f>IFERROR(__xludf.DUMMYFUNCTION("""COMPUTED_VALUE"""),"Total")</f>
        <v>Total</v>
      </c>
      <c r="M3" s="1" t="str">
        <f>IFERROR(__xludf.DUMMYFUNCTION("""COMPUTED_VALUE"""),"Percentage")</f>
        <v>Percentage</v>
      </c>
      <c r="N3" s="1" t="str">
        <f>IFERROR(__xludf.DUMMYFUNCTION("""COMPUTED_VALUE"""),"Attendance")</f>
        <v>Attendance</v>
      </c>
      <c r="O3" s="1" t="str">
        <f>IFERROR(__xludf.DUMMYFUNCTION("""COMPUTED_VALUE"""),"Status")</f>
        <v>Status</v>
      </c>
    </row>
    <row r="4">
      <c r="A4" s="1" t="str">
        <f>IFERROR(__xludf.DUMMYFUNCTION("""COMPUTED_VALUE"""),"STD-1002")</f>
        <v>STD-1002</v>
      </c>
      <c r="B4" s="1" t="str">
        <f>IFERROR(__xludf.DUMMYFUNCTION("""COMPUTED_VALUE"""),"Aarav Verma")</f>
        <v>Aarav Verma</v>
      </c>
      <c r="C4" s="1" t="str">
        <f>IFERROR(__xludf.DUMMYFUNCTION("""COMPUTED_VALUE"""),"Male")</f>
        <v>Male</v>
      </c>
      <c r="D4" s="1" t="str">
        <f>IFERROR(__xludf.DUMMYFUNCTION("""COMPUTED_VALUE"""),"7")</f>
        <v>7</v>
      </c>
      <c r="E4" s="1" t="str">
        <f>IFERROR(__xludf.DUMMYFUNCTION("""COMPUTED_VALUE"""),"C")</f>
        <v>C</v>
      </c>
      <c r="F4" s="1" t="str">
        <f>IFERROR(__xludf.DUMMYFUNCTION("""COMPUTED_VALUE"""),"Kolkata")</f>
        <v>Kolkata</v>
      </c>
      <c r="G4" s="1">
        <f>IFERROR(__xludf.DUMMYFUNCTION("""COMPUTED_VALUE"""),89.0)</f>
        <v>89</v>
      </c>
      <c r="H4" s="1">
        <f>IFERROR(__xludf.DUMMYFUNCTION("""COMPUTED_VALUE"""),83.0)</f>
        <v>83</v>
      </c>
      <c r="I4" s="1">
        <f>IFERROR(__xludf.DUMMYFUNCTION("""COMPUTED_VALUE"""),96.0)</f>
        <v>96</v>
      </c>
      <c r="J4" s="1">
        <f>IFERROR(__xludf.DUMMYFUNCTION("""COMPUTED_VALUE"""),54.0)</f>
        <v>54</v>
      </c>
      <c r="K4" s="1">
        <f>IFERROR(__xludf.DUMMYFUNCTION("""COMPUTED_VALUE"""),57.0)</f>
        <v>57</v>
      </c>
      <c r="L4" s="1">
        <f>IFERROR(__xludf.DUMMYFUNCTION("""COMPUTED_VALUE"""),379.0)</f>
        <v>379</v>
      </c>
      <c r="M4" s="1">
        <f>IFERROR(__xludf.DUMMYFUNCTION("""COMPUTED_VALUE"""),75.8)</f>
        <v>75.8</v>
      </c>
      <c r="N4" s="1">
        <f>IFERROR(__xludf.DUMMYFUNCTION("""COMPUTED_VALUE"""),89.0)</f>
        <v>89</v>
      </c>
      <c r="O4" s="1" t="str">
        <f>IFERROR(__xludf.DUMMYFUNCTION("""COMPUTED_VALUE"""),"Pass")</f>
        <v>Pass</v>
      </c>
    </row>
    <row r="5">
      <c r="A5" s="1" t="str">
        <f>IFERROR(__xludf.DUMMYFUNCTION("""COMPUTED_VALUE"""),"STD-1004")</f>
        <v>STD-1004</v>
      </c>
      <c r="B5" s="1" t="str">
        <f>IFERROR(__xludf.DUMMYFUNCTION("""COMPUTED_VALUE"""),"Ananya Singh")</f>
        <v>Ananya Singh</v>
      </c>
      <c r="C5" s="1" t="str">
        <f>IFERROR(__xludf.DUMMYFUNCTION("""COMPUTED_VALUE"""),"Female")</f>
        <v>Female</v>
      </c>
      <c r="D5" s="1" t="str">
        <f>IFERROR(__xludf.DUMMYFUNCTION("""COMPUTED_VALUE"""),"8")</f>
        <v>8</v>
      </c>
      <c r="E5" s="1" t="str">
        <f>IFERROR(__xludf.DUMMYFUNCTION("""COMPUTED_VALUE"""),"C")</f>
        <v>C</v>
      </c>
      <c r="F5" s="1" t="str">
        <f>IFERROR(__xludf.DUMMYFUNCTION("""COMPUTED_VALUE"""),"Kolkata")</f>
        <v>Kolkata</v>
      </c>
      <c r="G5" s="1">
        <f>IFERROR(__xludf.DUMMYFUNCTION("""COMPUTED_VALUE"""),84.0)</f>
        <v>84</v>
      </c>
      <c r="H5" s="1">
        <f>IFERROR(__xludf.DUMMYFUNCTION("""COMPUTED_VALUE"""),56.0)</f>
        <v>56</v>
      </c>
      <c r="I5" s="1">
        <f>IFERROR(__xludf.DUMMYFUNCTION("""COMPUTED_VALUE"""),72.0)</f>
        <v>72</v>
      </c>
      <c r="J5" s="1">
        <f>IFERROR(__xludf.DUMMYFUNCTION("""COMPUTED_VALUE"""),92.0)</f>
        <v>92</v>
      </c>
      <c r="K5" s="1">
        <f>IFERROR(__xludf.DUMMYFUNCTION("""COMPUTED_VALUE"""),68.0)</f>
        <v>68</v>
      </c>
      <c r="L5" s="1">
        <f>IFERROR(__xludf.DUMMYFUNCTION("""COMPUTED_VALUE"""),372.0)</f>
        <v>372</v>
      </c>
      <c r="M5" s="1">
        <f>IFERROR(__xludf.DUMMYFUNCTION("""COMPUTED_VALUE"""),74.4)</f>
        <v>74.4</v>
      </c>
      <c r="N5" s="1">
        <f>IFERROR(__xludf.DUMMYFUNCTION("""COMPUTED_VALUE"""),84.0)</f>
        <v>84</v>
      </c>
      <c r="O5" s="1" t="str">
        <f>IFERROR(__xludf.DUMMYFUNCTION("""COMPUTED_VALUE"""),"Pass")</f>
        <v>Pass</v>
      </c>
    </row>
    <row r="6">
      <c r="A6" s="1" t="str">
        <f>IFERROR(__xludf.DUMMYFUNCTION("""COMPUTED_VALUE"""),"STD-1006")</f>
        <v>STD-1006</v>
      </c>
      <c r="B6" s="1" t="str">
        <f>IFERROR(__xludf.DUMMYFUNCTION("""COMPUTED_VALUE"""),"Aarav Kulkarni")</f>
        <v>Aarav Kulkarni</v>
      </c>
      <c r="C6" s="1" t="str">
        <f>IFERROR(__xludf.DUMMYFUNCTION("""COMPUTED_VALUE"""),"Female")</f>
        <v>Female</v>
      </c>
      <c r="D6" s="1" t="str">
        <f>IFERROR(__xludf.DUMMYFUNCTION("""COMPUTED_VALUE"""),"7")</f>
        <v>7</v>
      </c>
      <c r="E6" s="1" t="str">
        <f>IFERROR(__xludf.DUMMYFUNCTION("""COMPUTED_VALUE"""),"C")</f>
        <v>C</v>
      </c>
      <c r="F6" s="1" t="str">
        <f>IFERROR(__xludf.DUMMYFUNCTION("""COMPUTED_VALUE"""),"Delhi")</f>
        <v>Delhi</v>
      </c>
      <c r="G6" s="1">
        <f>IFERROR(__xludf.DUMMYFUNCTION("""COMPUTED_VALUE"""),97.0)</f>
        <v>97</v>
      </c>
      <c r="H6" s="1">
        <f>IFERROR(__xludf.DUMMYFUNCTION("""COMPUTED_VALUE"""),44.0)</f>
        <v>44</v>
      </c>
      <c r="I6" s="1">
        <f>IFERROR(__xludf.DUMMYFUNCTION("""COMPUTED_VALUE"""),81.0)</f>
        <v>81</v>
      </c>
      <c r="J6" s="1">
        <f>IFERROR(__xludf.DUMMYFUNCTION("""COMPUTED_VALUE"""),69.0)</f>
        <v>69</v>
      </c>
      <c r="K6" s="1">
        <f>IFERROR(__xludf.DUMMYFUNCTION("""COMPUTED_VALUE"""),57.0)</f>
        <v>57</v>
      </c>
      <c r="L6" s="1">
        <f>IFERROR(__xludf.DUMMYFUNCTION("""COMPUTED_VALUE"""),348.0)</f>
        <v>348</v>
      </c>
      <c r="M6" s="1">
        <f>IFERROR(__xludf.DUMMYFUNCTION("""COMPUTED_VALUE"""),69.6)</f>
        <v>69.6</v>
      </c>
      <c r="N6" s="1">
        <f>IFERROR(__xludf.DUMMYFUNCTION("""COMPUTED_VALUE"""),66.0)</f>
        <v>66</v>
      </c>
      <c r="O6" s="1" t="str">
        <f>IFERROR(__xludf.DUMMYFUNCTION("""COMPUTED_VALUE"""),"Pass")</f>
        <v>Pass</v>
      </c>
    </row>
    <row r="7">
      <c r="A7" s="1" t="str">
        <f>IFERROR(__xludf.DUMMYFUNCTION("""COMPUTED_VALUE"""),"STD-1007")</f>
        <v>STD-1007</v>
      </c>
      <c r="B7" s="1" t="str">
        <f>IFERROR(__xludf.DUMMYFUNCTION("""COMPUTED_VALUE"""),"Meera Gupta")</f>
        <v>Meera Gupta</v>
      </c>
      <c r="C7" s="1" t="str">
        <f>IFERROR(__xludf.DUMMYFUNCTION("""COMPUTED_VALUE"""),"Male")</f>
        <v>Male</v>
      </c>
      <c r="D7" s="1" t="str">
        <f>IFERROR(__xludf.DUMMYFUNCTION("""COMPUTED_VALUE"""),"9")</f>
        <v>9</v>
      </c>
      <c r="E7" s="1" t="str">
        <f>IFERROR(__xludf.DUMMYFUNCTION("""COMPUTED_VALUE"""),"C")</f>
        <v>C</v>
      </c>
      <c r="F7" s="1" t="str">
        <f>IFERROR(__xludf.DUMMYFUNCTION("""COMPUTED_VALUE"""),"Lucknow")</f>
        <v>Lucknow</v>
      </c>
      <c r="G7" s="1">
        <f>IFERROR(__xludf.DUMMYFUNCTION("""COMPUTED_VALUE"""),93.0)</f>
        <v>93</v>
      </c>
      <c r="H7" s="1">
        <f>IFERROR(__xludf.DUMMYFUNCTION("""COMPUTED_VALUE"""),100.0)</f>
        <v>100</v>
      </c>
      <c r="I7" s="1">
        <f>IFERROR(__xludf.DUMMYFUNCTION("""COMPUTED_VALUE"""),58.0)</f>
        <v>58</v>
      </c>
      <c r="J7" s="1">
        <f>IFERROR(__xludf.DUMMYFUNCTION("""COMPUTED_VALUE"""),46.0)</f>
        <v>46</v>
      </c>
      <c r="K7" s="1">
        <f>IFERROR(__xludf.DUMMYFUNCTION("""COMPUTED_VALUE"""),67.0)</f>
        <v>67</v>
      </c>
      <c r="L7" s="1">
        <f>IFERROR(__xludf.DUMMYFUNCTION("""COMPUTED_VALUE"""),364.0)</f>
        <v>364</v>
      </c>
      <c r="M7" s="1">
        <f>IFERROR(__xludf.DUMMYFUNCTION("""COMPUTED_VALUE"""),72.8)</f>
        <v>72.8</v>
      </c>
      <c r="N7" s="1">
        <f>IFERROR(__xludf.DUMMYFUNCTION("""COMPUTED_VALUE"""),74.0)</f>
        <v>74</v>
      </c>
      <c r="O7" s="1" t="str">
        <f>IFERROR(__xludf.DUMMYFUNCTION("""COMPUTED_VALUE"""),"Pass")</f>
        <v>Pass</v>
      </c>
    </row>
    <row r="8">
      <c r="A8" s="1" t="str">
        <f>IFERROR(__xludf.DUMMYFUNCTION("""COMPUTED_VALUE"""),"STD-1009")</f>
        <v>STD-1009</v>
      </c>
      <c r="B8" s="1" t="str">
        <f>IFERROR(__xludf.DUMMYFUNCTION("""COMPUTED_VALUE"""),"Vivaan Verma")</f>
        <v>Vivaan Verma</v>
      </c>
      <c r="C8" s="1" t="str">
        <f>IFERROR(__xludf.DUMMYFUNCTION("""COMPUTED_VALUE"""),"Male")</f>
        <v>Male</v>
      </c>
      <c r="D8" s="1" t="str">
        <f>IFERROR(__xludf.DUMMYFUNCTION("""COMPUTED_VALUE"""),"9")</f>
        <v>9</v>
      </c>
      <c r="E8" s="1" t="str">
        <f>IFERROR(__xludf.DUMMYFUNCTION("""COMPUTED_VALUE"""),"B")</f>
        <v>B</v>
      </c>
      <c r="F8" s="1" t="str">
        <f>IFERROR(__xludf.DUMMYFUNCTION("""COMPUTED_VALUE"""),"Kolkata")</f>
        <v>Kolkata</v>
      </c>
      <c r="G8" s="1">
        <f>IFERROR(__xludf.DUMMYFUNCTION("""COMPUTED_VALUE"""),81.0)</f>
        <v>81</v>
      </c>
      <c r="H8" s="1">
        <f>IFERROR(__xludf.DUMMYFUNCTION("""COMPUTED_VALUE"""),62.0)</f>
        <v>62</v>
      </c>
      <c r="I8" s="1">
        <f>IFERROR(__xludf.DUMMYFUNCTION("""COMPUTED_VALUE"""),65.0)</f>
        <v>65</v>
      </c>
      <c r="J8" s="1">
        <f>IFERROR(__xludf.DUMMYFUNCTION("""COMPUTED_VALUE"""),47.0)</f>
        <v>47</v>
      </c>
      <c r="K8" s="1">
        <f>IFERROR(__xludf.DUMMYFUNCTION("""COMPUTED_VALUE"""),57.0)</f>
        <v>57</v>
      </c>
      <c r="L8" s="1">
        <f>IFERROR(__xludf.DUMMYFUNCTION("""COMPUTED_VALUE"""),312.0)</f>
        <v>312</v>
      </c>
      <c r="M8" s="1">
        <f>IFERROR(__xludf.DUMMYFUNCTION("""COMPUTED_VALUE"""),62.4)</f>
        <v>62.4</v>
      </c>
      <c r="N8" s="1">
        <f>IFERROR(__xludf.DUMMYFUNCTION("""COMPUTED_VALUE"""),73.0)</f>
        <v>73</v>
      </c>
      <c r="O8" s="1" t="str">
        <f>IFERROR(__xludf.DUMMYFUNCTION("""COMPUTED_VALUE"""),"Pass")</f>
        <v>Pass</v>
      </c>
    </row>
    <row r="9">
      <c r="A9" s="1" t="str">
        <f>IFERROR(__xludf.DUMMYFUNCTION("""COMPUTED_VALUE"""),"STD-1014")</f>
        <v>STD-1014</v>
      </c>
      <c r="B9" s="1" t="str">
        <f>IFERROR(__xludf.DUMMYFUNCTION("""COMPUTED_VALUE"""),"Ananya Yadav")</f>
        <v>Ananya Yadav</v>
      </c>
      <c r="C9" s="1" t="str">
        <f>IFERROR(__xludf.DUMMYFUNCTION("""COMPUTED_VALUE"""),"Female")</f>
        <v>Female</v>
      </c>
      <c r="D9" s="1" t="str">
        <f>IFERROR(__xludf.DUMMYFUNCTION("""COMPUTED_VALUE"""),"9")</f>
        <v>9</v>
      </c>
      <c r="E9" s="1" t="str">
        <f>IFERROR(__xludf.DUMMYFUNCTION("""COMPUTED_VALUE"""),"C")</f>
        <v>C</v>
      </c>
      <c r="F9" s="1" t="str">
        <f>IFERROR(__xludf.DUMMYFUNCTION("""COMPUTED_VALUE"""),"Chandigarh")</f>
        <v>Chandigarh</v>
      </c>
      <c r="G9" s="1">
        <f>IFERROR(__xludf.DUMMYFUNCTION("""COMPUTED_VALUE"""),78.0)</f>
        <v>78</v>
      </c>
      <c r="H9" s="1">
        <f>IFERROR(__xludf.DUMMYFUNCTION("""COMPUTED_VALUE"""),92.0)</f>
        <v>92</v>
      </c>
      <c r="I9" s="1">
        <f>IFERROR(__xludf.DUMMYFUNCTION("""COMPUTED_VALUE"""),58.0)</f>
        <v>58</v>
      </c>
      <c r="J9" s="1">
        <f>IFERROR(__xludf.DUMMYFUNCTION("""COMPUTED_VALUE"""),42.0)</f>
        <v>42</v>
      </c>
      <c r="K9" s="1">
        <f>IFERROR(__xludf.DUMMYFUNCTION("""COMPUTED_VALUE"""),69.0)</f>
        <v>69</v>
      </c>
      <c r="L9" s="1">
        <f>IFERROR(__xludf.DUMMYFUNCTION("""COMPUTED_VALUE"""),339.0)</f>
        <v>339</v>
      </c>
      <c r="M9" s="1">
        <f>IFERROR(__xludf.DUMMYFUNCTION("""COMPUTED_VALUE"""),67.8)</f>
        <v>67.8</v>
      </c>
      <c r="N9" s="1">
        <f>IFERROR(__xludf.DUMMYFUNCTION("""COMPUTED_VALUE"""),85.0)</f>
        <v>85</v>
      </c>
      <c r="O9" s="1" t="str">
        <f>IFERROR(__xludf.DUMMYFUNCTION("""COMPUTED_VALUE"""),"Pass")</f>
        <v>Pass</v>
      </c>
    </row>
    <row r="10">
      <c r="A10" s="1" t="str">
        <f>IFERROR(__xludf.DUMMYFUNCTION("""COMPUTED_VALUE"""),"STD-1017")</f>
        <v>STD-1017</v>
      </c>
      <c r="B10" s="1" t="str">
        <f>IFERROR(__xludf.DUMMYFUNCTION("""COMPUTED_VALUE"""),"Rohan Singh")</f>
        <v>Rohan Singh</v>
      </c>
      <c r="C10" s="1" t="str">
        <f>IFERROR(__xludf.DUMMYFUNCTION("""COMPUTED_VALUE"""),"Male")</f>
        <v>Male</v>
      </c>
      <c r="D10" s="1" t="str">
        <f>IFERROR(__xludf.DUMMYFUNCTION("""COMPUTED_VALUE"""),"6")</f>
        <v>6</v>
      </c>
      <c r="E10" s="1" t="str">
        <f>IFERROR(__xludf.DUMMYFUNCTION("""COMPUTED_VALUE"""),"C")</f>
        <v>C</v>
      </c>
      <c r="F10" s="1" t="str">
        <f>IFERROR(__xludf.DUMMYFUNCTION("""COMPUTED_VALUE"""),"Delhi")</f>
        <v>Delhi</v>
      </c>
      <c r="G10" s="1">
        <f>IFERROR(__xludf.DUMMYFUNCTION("""COMPUTED_VALUE"""),90.0)</f>
        <v>90</v>
      </c>
      <c r="H10" s="1">
        <f>IFERROR(__xludf.DUMMYFUNCTION("""COMPUTED_VALUE"""),77.0)</f>
        <v>77</v>
      </c>
      <c r="I10" s="1">
        <f>IFERROR(__xludf.DUMMYFUNCTION("""COMPUTED_VALUE"""),48.0)</f>
        <v>48</v>
      </c>
      <c r="J10" s="1">
        <f>IFERROR(__xludf.DUMMYFUNCTION("""COMPUTED_VALUE"""),79.0)</f>
        <v>79</v>
      </c>
      <c r="K10" s="1">
        <f>IFERROR(__xludf.DUMMYFUNCTION("""COMPUTED_VALUE"""),71.0)</f>
        <v>71</v>
      </c>
      <c r="L10" s="1">
        <f>IFERROR(__xludf.DUMMYFUNCTION("""COMPUTED_VALUE"""),365.0)</f>
        <v>365</v>
      </c>
      <c r="M10" s="1">
        <f>IFERROR(__xludf.DUMMYFUNCTION("""COMPUTED_VALUE"""),73.0)</f>
        <v>73</v>
      </c>
      <c r="N10" s="1">
        <f>IFERROR(__xludf.DUMMYFUNCTION("""COMPUTED_VALUE"""),61.0)</f>
        <v>61</v>
      </c>
      <c r="O10" s="1" t="str">
        <f>IFERROR(__xludf.DUMMYFUNCTION("""COMPUTED_VALUE"""),"Pass")</f>
        <v>Pass</v>
      </c>
    </row>
    <row r="11">
      <c r="A11" s="1" t="str">
        <f>IFERROR(__xludf.DUMMYFUNCTION("""COMPUTED_VALUE"""),"STD-1019")</f>
        <v>STD-1019</v>
      </c>
      <c r="B11" s="1" t="str">
        <f>IFERROR(__xludf.DUMMYFUNCTION("""COMPUTED_VALUE"""),"Karan Iyer")</f>
        <v>Karan Iyer</v>
      </c>
      <c r="C11" s="1" t="str">
        <f>IFERROR(__xludf.DUMMYFUNCTION("""COMPUTED_VALUE"""),"Male")</f>
        <v>Male</v>
      </c>
      <c r="D11" s="1" t="str">
        <f>IFERROR(__xludf.DUMMYFUNCTION("""COMPUTED_VALUE"""),"6")</f>
        <v>6</v>
      </c>
      <c r="E11" s="1" t="str">
        <f>IFERROR(__xludf.DUMMYFUNCTION("""COMPUTED_VALUE"""),"B")</f>
        <v>B</v>
      </c>
      <c r="F11" s="1" t="str">
        <f>IFERROR(__xludf.DUMMYFUNCTION("""COMPUTED_VALUE"""),"Chandigarh")</f>
        <v>Chandigarh</v>
      </c>
      <c r="G11" s="1">
        <f>IFERROR(__xludf.DUMMYFUNCTION("""COMPUTED_VALUE"""),83.0)</f>
        <v>83</v>
      </c>
      <c r="H11" s="1">
        <f>IFERROR(__xludf.DUMMYFUNCTION("""COMPUTED_VALUE"""),60.0)</f>
        <v>60</v>
      </c>
      <c r="I11" s="1">
        <f>IFERROR(__xludf.DUMMYFUNCTION("""COMPUTED_VALUE"""),95.0)</f>
        <v>95</v>
      </c>
      <c r="J11" s="1">
        <f>IFERROR(__xludf.DUMMYFUNCTION("""COMPUTED_VALUE"""),99.0)</f>
        <v>99</v>
      </c>
      <c r="K11" s="1">
        <f>IFERROR(__xludf.DUMMYFUNCTION("""COMPUTED_VALUE"""),66.0)</f>
        <v>66</v>
      </c>
      <c r="L11" s="1">
        <f>IFERROR(__xludf.DUMMYFUNCTION("""COMPUTED_VALUE"""),403.0)</f>
        <v>403</v>
      </c>
      <c r="M11" s="1">
        <f>IFERROR(__xludf.DUMMYFUNCTION("""COMPUTED_VALUE"""),80.6)</f>
        <v>80.6</v>
      </c>
      <c r="N11" s="1">
        <f>IFERROR(__xludf.DUMMYFUNCTION("""COMPUTED_VALUE"""),65.0)</f>
        <v>65</v>
      </c>
      <c r="O11" s="1" t="str">
        <f>IFERROR(__xludf.DUMMYFUNCTION("""COMPUTED_VALUE"""),"Pass")</f>
        <v>Pass</v>
      </c>
    </row>
    <row r="12">
      <c r="A12" s="1" t="str">
        <f>IFERROR(__xludf.DUMMYFUNCTION("""COMPUTED_VALUE"""),"STD-1021")</f>
        <v>STD-1021</v>
      </c>
      <c r="B12" s="1" t="str">
        <f>IFERROR(__xludf.DUMMYFUNCTION("""COMPUTED_VALUE"""),"Ishita Kulkarni")</f>
        <v>Ishita Kulkarni</v>
      </c>
      <c r="C12" s="1" t="str">
        <f>IFERROR(__xludf.DUMMYFUNCTION("""COMPUTED_VALUE"""),"Female")</f>
        <v>Female</v>
      </c>
      <c r="D12" s="1" t="str">
        <f>IFERROR(__xludf.DUMMYFUNCTION("""COMPUTED_VALUE"""),"9")</f>
        <v>9</v>
      </c>
      <c r="E12" s="1" t="str">
        <f>IFERROR(__xludf.DUMMYFUNCTION("""COMPUTED_VALUE"""),"C")</f>
        <v>C</v>
      </c>
      <c r="F12" s="1" t="str">
        <f>IFERROR(__xludf.DUMMYFUNCTION("""COMPUTED_VALUE"""),"Lucknow")</f>
        <v>Lucknow</v>
      </c>
      <c r="G12" s="1">
        <f>IFERROR(__xludf.DUMMYFUNCTION("""COMPUTED_VALUE"""),88.0)</f>
        <v>88</v>
      </c>
      <c r="H12" s="1">
        <f>IFERROR(__xludf.DUMMYFUNCTION("""COMPUTED_VALUE"""),65.0)</f>
        <v>65</v>
      </c>
      <c r="I12" s="1">
        <f>IFERROR(__xludf.DUMMYFUNCTION("""COMPUTED_VALUE"""),57.0)</f>
        <v>57</v>
      </c>
      <c r="J12" s="1">
        <f>IFERROR(__xludf.DUMMYFUNCTION("""COMPUTED_VALUE"""),52.0)</f>
        <v>52</v>
      </c>
      <c r="K12" s="1">
        <f>IFERROR(__xludf.DUMMYFUNCTION("""COMPUTED_VALUE"""),53.0)</f>
        <v>53</v>
      </c>
      <c r="L12" s="1">
        <f>IFERROR(__xludf.DUMMYFUNCTION("""COMPUTED_VALUE"""),315.0)</f>
        <v>315</v>
      </c>
      <c r="M12" s="1">
        <f>IFERROR(__xludf.DUMMYFUNCTION("""COMPUTED_VALUE"""),63.0)</f>
        <v>63</v>
      </c>
      <c r="N12" s="1">
        <f>IFERROR(__xludf.DUMMYFUNCTION("""COMPUTED_VALUE"""),98.0)</f>
        <v>98</v>
      </c>
      <c r="O12" s="1" t="str">
        <f>IFERROR(__xludf.DUMMYFUNCTION("""COMPUTED_VALUE"""),"Pass")</f>
        <v>Pass</v>
      </c>
    </row>
    <row r="13">
      <c r="A13" s="1" t="str">
        <f>IFERROR(__xludf.DUMMYFUNCTION("""COMPUTED_VALUE"""),"STD-1023")</f>
        <v>STD-1023</v>
      </c>
      <c r="B13" s="1" t="str">
        <f>IFERROR(__xludf.DUMMYFUNCTION("""COMPUTED_VALUE"""),"Sneha Gupta")</f>
        <v>Sneha Gupta</v>
      </c>
      <c r="C13" s="1" t="str">
        <f>IFERROR(__xludf.DUMMYFUNCTION("""COMPUTED_VALUE"""),"Male")</f>
        <v>Male</v>
      </c>
      <c r="D13" s="1" t="str">
        <f>IFERROR(__xludf.DUMMYFUNCTION("""COMPUTED_VALUE"""),"10")</f>
        <v>10</v>
      </c>
      <c r="E13" s="1" t="str">
        <f>IFERROR(__xludf.DUMMYFUNCTION("""COMPUTED_VALUE"""),"A")</f>
        <v>A</v>
      </c>
      <c r="F13" s="1" t="str">
        <f>IFERROR(__xludf.DUMMYFUNCTION("""COMPUTED_VALUE"""),"Chandigarh")</f>
        <v>Chandigarh</v>
      </c>
      <c r="G13" s="1">
        <f>IFERROR(__xludf.DUMMYFUNCTION("""COMPUTED_VALUE"""),77.0)</f>
        <v>77</v>
      </c>
      <c r="H13" s="1">
        <f>IFERROR(__xludf.DUMMYFUNCTION("""COMPUTED_VALUE"""),93.0)</f>
        <v>93</v>
      </c>
      <c r="I13" s="1">
        <f>IFERROR(__xludf.DUMMYFUNCTION("""COMPUTED_VALUE"""),90.0)</f>
        <v>90</v>
      </c>
      <c r="J13" s="1">
        <f>IFERROR(__xludf.DUMMYFUNCTION("""COMPUTED_VALUE"""),84.0)</f>
        <v>84</v>
      </c>
      <c r="K13" s="1">
        <f>IFERROR(__xludf.DUMMYFUNCTION("""COMPUTED_VALUE"""),46.0)</f>
        <v>46</v>
      </c>
      <c r="L13" s="1">
        <f>IFERROR(__xludf.DUMMYFUNCTION("""COMPUTED_VALUE"""),390.0)</f>
        <v>390</v>
      </c>
      <c r="M13" s="1">
        <f>IFERROR(__xludf.DUMMYFUNCTION("""COMPUTED_VALUE"""),78.0)</f>
        <v>78</v>
      </c>
      <c r="N13" s="1">
        <f>IFERROR(__xludf.DUMMYFUNCTION("""COMPUTED_VALUE"""),75.0)</f>
        <v>75</v>
      </c>
      <c r="O13" s="1" t="str">
        <f>IFERROR(__xludf.DUMMYFUNCTION("""COMPUTED_VALUE"""),"Pass")</f>
        <v>Pass</v>
      </c>
    </row>
    <row r="14">
      <c r="A14" s="1" t="str">
        <f>IFERROR(__xludf.DUMMYFUNCTION("""COMPUTED_VALUE"""),"STD-1025")</f>
        <v>STD-1025</v>
      </c>
      <c r="B14" s="1" t="str">
        <f>IFERROR(__xludf.DUMMYFUNCTION("""COMPUTED_VALUE"""),"Ananya Nair")</f>
        <v>Ananya Nair</v>
      </c>
      <c r="C14" s="1" t="str">
        <f>IFERROR(__xludf.DUMMYFUNCTION("""COMPUTED_VALUE"""),"Male")</f>
        <v>Male</v>
      </c>
      <c r="D14" s="1" t="str">
        <f>IFERROR(__xludf.DUMMYFUNCTION("""COMPUTED_VALUE"""),"10")</f>
        <v>10</v>
      </c>
      <c r="E14" s="1" t="str">
        <f>IFERROR(__xludf.DUMMYFUNCTION("""COMPUTED_VALUE"""),"B")</f>
        <v>B</v>
      </c>
      <c r="F14" s="1" t="str">
        <f>IFERROR(__xludf.DUMMYFUNCTION("""COMPUTED_VALUE"""),"Bhopal")</f>
        <v>Bhopal</v>
      </c>
      <c r="G14" s="1">
        <f>IFERROR(__xludf.DUMMYFUNCTION("""COMPUTED_VALUE"""),90.0)</f>
        <v>90</v>
      </c>
      <c r="H14" s="1">
        <f>IFERROR(__xludf.DUMMYFUNCTION("""COMPUTED_VALUE"""),54.0)</f>
        <v>54</v>
      </c>
      <c r="I14" s="1">
        <f>IFERROR(__xludf.DUMMYFUNCTION("""COMPUTED_VALUE"""),64.0)</f>
        <v>64</v>
      </c>
      <c r="J14" s="1">
        <f>IFERROR(__xludf.DUMMYFUNCTION("""COMPUTED_VALUE"""),49.0)</f>
        <v>49</v>
      </c>
      <c r="K14" s="1">
        <f>IFERROR(__xludf.DUMMYFUNCTION("""COMPUTED_VALUE"""),67.0)</f>
        <v>67</v>
      </c>
      <c r="L14" s="1">
        <f>IFERROR(__xludf.DUMMYFUNCTION("""COMPUTED_VALUE"""),324.0)</f>
        <v>324</v>
      </c>
      <c r="M14" s="1">
        <f>IFERROR(__xludf.DUMMYFUNCTION("""COMPUTED_VALUE"""),64.8)</f>
        <v>64.8</v>
      </c>
      <c r="N14" s="1">
        <f>IFERROR(__xludf.DUMMYFUNCTION("""COMPUTED_VALUE"""),76.0)</f>
        <v>76</v>
      </c>
      <c r="O14" s="1" t="str">
        <f>IFERROR(__xludf.DUMMYFUNCTION("""COMPUTED_VALUE"""),"Pass")</f>
        <v>Pass</v>
      </c>
    </row>
    <row r="15">
      <c r="A15" s="1" t="str">
        <f>IFERROR(__xludf.DUMMYFUNCTION("""COMPUTED_VALUE"""),"STD-1027")</f>
        <v>STD-1027</v>
      </c>
      <c r="B15" s="1" t="str">
        <f>IFERROR(__xludf.DUMMYFUNCTION("""COMPUTED_VALUE"""),"Ishita Yadav")</f>
        <v>Ishita Yadav</v>
      </c>
      <c r="C15" s="1" t="str">
        <f>IFERROR(__xludf.DUMMYFUNCTION("""COMPUTED_VALUE"""),"Female")</f>
        <v>Female</v>
      </c>
      <c r="D15" s="1" t="str">
        <f>IFERROR(__xludf.DUMMYFUNCTION("""COMPUTED_VALUE"""),"8")</f>
        <v>8</v>
      </c>
      <c r="E15" s="1" t="str">
        <f>IFERROR(__xludf.DUMMYFUNCTION("""COMPUTED_VALUE"""),"B")</f>
        <v>B</v>
      </c>
      <c r="F15" s="1" t="str">
        <f>IFERROR(__xludf.DUMMYFUNCTION("""COMPUTED_VALUE"""),"Mumbai")</f>
        <v>Mumbai</v>
      </c>
      <c r="G15" s="1">
        <f>IFERROR(__xludf.DUMMYFUNCTION("""COMPUTED_VALUE"""),100.0)</f>
        <v>100</v>
      </c>
      <c r="H15" s="1">
        <f>IFERROR(__xludf.DUMMYFUNCTION("""COMPUTED_VALUE"""),49.0)</f>
        <v>49</v>
      </c>
      <c r="I15" s="1">
        <f>IFERROR(__xludf.DUMMYFUNCTION("""COMPUTED_VALUE"""),69.0)</f>
        <v>69</v>
      </c>
      <c r="J15" s="1">
        <f>IFERROR(__xludf.DUMMYFUNCTION("""COMPUTED_VALUE"""),66.0)</f>
        <v>66</v>
      </c>
      <c r="K15" s="1">
        <f>IFERROR(__xludf.DUMMYFUNCTION("""COMPUTED_VALUE"""),72.0)</f>
        <v>72</v>
      </c>
      <c r="L15" s="1">
        <f>IFERROR(__xludf.DUMMYFUNCTION("""COMPUTED_VALUE"""),356.0)</f>
        <v>356</v>
      </c>
      <c r="M15" s="1">
        <f>IFERROR(__xludf.DUMMYFUNCTION("""COMPUTED_VALUE"""),71.2)</f>
        <v>71.2</v>
      </c>
      <c r="N15" s="1">
        <f>IFERROR(__xludf.DUMMYFUNCTION("""COMPUTED_VALUE"""),70.0)</f>
        <v>70</v>
      </c>
      <c r="O15" s="1" t="str">
        <f>IFERROR(__xludf.DUMMYFUNCTION("""COMPUTED_VALUE"""),"Pass")</f>
        <v>Pass</v>
      </c>
    </row>
    <row r="16">
      <c r="A16" s="1" t="str">
        <f>IFERROR(__xludf.DUMMYFUNCTION("""COMPUTED_VALUE"""),"STD-1028")</f>
        <v>STD-1028</v>
      </c>
      <c r="B16" s="1" t="str">
        <f>IFERROR(__xludf.DUMMYFUNCTION("""COMPUTED_VALUE"""),"Ritika Nair")</f>
        <v>Ritika Nair</v>
      </c>
      <c r="C16" s="1" t="str">
        <f>IFERROR(__xludf.DUMMYFUNCTION("""COMPUTED_VALUE"""),"Female")</f>
        <v>Female</v>
      </c>
      <c r="D16" s="1" t="str">
        <f>IFERROR(__xludf.DUMMYFUNCTION("""COMPUTED_VALUE"""),"7")</f>
        <v>7</v>
      </c>
      <c r="E16" s="1" t="str">
        <f>IFERROR(__xludf.DUMMYFUNCTION("""COMPUTED_VALUE"""),"A")</f>
        <v>A</v>
      </c>
      <c r="F16" s="1" t="str">
        <f>IFERROR(__xludf.DUMMYFUNCTION("""COMPUTED_VALUE"""),"Kolkata")</f>
        <v>Kolkata</v>
      </c>
      <c r="G16" s="1">
        <f>IFERROR(__xludf.DUMMYFUNCTION("""COMPUTED_VALUE"""),77.0)</f>
        <v>77</v>
      </c>
      <c r="H16" s="1">
        <f>IFERROR(__xludf.DUMMYFUNCTION("""COMPUTED_VALUE"""),72.0)</f>
        <v>72</v>
      </c>
      <c r="I16" s="1">
        <f>IFERROR(__xludf.DUMMYFUNCTION("""COMPUTED_VALUE"""),81.0)</f>
        <v>81</v>
      </c>
      <c r="J16" s="1">
        <f>IFERROR(__xludf.DUMMYFUNCTION("""COMPUTED_VALUE"""),83.0)</f>
        <v>83</v>
      </c>
      <c r="K16" s="1">
        <f>IFERROR(__xludf.DUMMYFUNCTION("""COMPUTED_VALUE"""),76.0)</f>
        <v>76</v>
      </c>
      <c r="L16" s="1">
        <f>IFERROR(__xludf.DUMMYFUNCTION("""COMPUTED_VALUE"""),389.0)</f>
        <v>389</v>
      </c>
      <c r="M16" s="1">
        <f>IFERROR(__xludf.DUMMYFUNCTION("""COMPUTED_VALUE"""),77.8)</f>
        <v>77.8</v>
      </c>
      <c r="N16" s="1">
        <f>IFERROR(__xludf.DUMMYFUNCTION("""COMPUTED_VALUE"""),80.0)</f>
        <v>80</v>
      </c>
      <c r="O16" s="1" t="str">
        <f>IFERROR(__xludf.DUMMYFUNCTION("""COMPUTED_VALUE"""),"Pass")</f>
        <v>Pass</v>
      </c>
    </row>
    <row r="17">
      <c r="A17" s="1" t="str">
        <f>IFERROR(__xludf.DUMMYFUNCTION("""COMPUTED_VALUE"""),"STD-1029")</f>
        <v>STD-1029</v>
      </c>
      <c r="B17" s="1" t="str">
        <f>IFERROR(__xludf.DUMMYFUNCTION("""COMPUTED_VALUE"""),"Ananya Patel")</f>
        <v>Ananya Patel</v>
      </c>
      <c r="C17" s="1" t="str">
        <f>IFERROR(__xludf.DUMMYFUNCTION("""COMPUTED_VALUE"""),"Female")</f>
        <v>Female</v>
      </c>
      <c r="D17" s="1" t="str">
        <f>IFERROR(__xludf.DUMMYFUNCTION("""COMPUTED_VALUE"""),"6")</f>
        <v>6</v>
      </c>
      <c r="E17" s="1" t="str">
        <f>IFERROR(__xludf.DUMMYFUNCTION("""COMPUTED_VALUE"""),"C")</f>
        <v>C</v>
      </c>
      <c r="F17" s="1" t="str">
        <f>IFERROR(__xludf.DUMMYFUNCTION("""COMPUTED_VALUE"""),"Jaipur")</f>
        <v>Jaipur</v>
      </c>
      <c r="G17" s="1">
        <f>IFERROR(__xludf.DUMMYFUNCTION("""COMPUTED_VALUE"""),91.0)</f>
        <v>91</v>
      </c>
      <c r="H17" s="1">
        <f>IFERROR(__xludf.DUMMYFUNCTION("""COMPUTED_VALUE"""),91.0)</f>
        <v>91</v>
      </c>
      <c r="I17" s="1">
        <f>IFERROR(__xludf.DUMMYFUNCTION("""COMPUTED_VALUE"""),68.0)</f>
        <v>68</v>
      </c>
      <c r="J17" s="1">
        <f>IFERROR(__xludf.DUMMYFUNCTION("""COMPUTED_VALUE"""),55.0)</f>
        <v>55</v>
      </c>
      <c r="K17" s="1">
        <f>IFERROR(__xludf.DUMMYFUNCTION("""COMPUTED_VALUE"""),94.0)</f>
        <v>94</v>
      </c>
      <c r="L17" s="1">
        <f>IFERROR(__xludf.DUMMYFUNCTION("""COMPUTED_VALUE"""),399.0)</f>
        <v>399</v>
      </c>
      <c r="M17" s="1">
        <f>IFERROR(__xludf.DUMMYFUNCTION("""COMPUTED_VALUE"""),79.8)</f>
        <v>79.8</v>
      </c>
      <c r="N17" s="1">
        <f>IFERROR(__xludf.DUMMYFUNCTION("""COMPUTED_VALUE"""),91.0)</f>
        <v>91</v>
      </c>
      <c r="O17" s="1" t="str">
        <f>IFERROR(__xludf.DUMMYFUNCTION("""COMPUTED_VALUE"""),"Pass")</f>
        <v>Pass</v>
      </c>
    </row>
    <row r="18">
      <c r="A18" s="1" t="str">
        <f>IFERROR(__xludf.DUMMYFUNCTION("""COMPUTED_VALUE"""),"STD-1037")</f>
        <v>STD-1037</v>
      </c>
      <c r="B18" s="1" t="str">
        <f>IFERROR(__xludf.DUMMYFUNCTION("""COMPUTED_VALUE"""),"Ananya Das")</f>
        <v>Ananya Das</v>
      </c>
      <c r="C18" s="1" t="str">
        <f>IFERROR(__xludf.DUMMYFUNCTION("""COMPUTED_VALUE"""),"Male")</f>
        <v>Male</v>
      </c>
      <c r="D18" s="1" t="str">
        <f>IFERROR(__xludf.DUMMYFUNCTION("""COMPUTED_VALUE"""),"10")</f>
        <v>10</v>
      </c>
      <c r="E18" s="1" t="str">
        <f>IFERROR(__xludf.DUMMYFUNCTION("""COMPUTED_VALUE"""),"A")</f>
        <v>A</v>
      </c>
      <c r="F18" s="1" t="str">
        <f>IFERROR(__xludf.DUMMYFUNCTION("""COMPUTED_VALUE"""),"Kolkata")</f>
        <v>Kolkata</v>
      </c>
      <c r="G18" s="1">
        <f>IFERROR(__xludf.DUMMYFUNCTION("""COMPUTED_VALUE"""),92.0)</f>
        <v>92</v>
      </c>
      <c r="H18" s="1">
        <f>IFERROR(__xludf.DUMMYFUNCTION("""COMPUTED_VALUE"""),73.0)</f>
        <v>73</v>
      </c>
      <c r="I18" s="1">
        <f>IFERROR(__xludf.DUMMYFUNCTION("""COMPUTED_VALUE"""),44.0)</f>
        <v>44</v>
      </c>
      <c r="J18" s="1">
        <f>IFERROR(__xludf.DUMMYFUNCTION("""COMPUTED_VALUE"""),45.0)</f>
        <v>45</v>
      </c>
      <c r="K18" s="1">
        <f>IFERROR(__xludf.DUMMYFUNCTION("""COMPUTED_VALUE"""),91.0)</f>
        <v>91</v>
      </c>
      <c r="L18" s="1">
        <f>IFERROR(__xludf.DUMMYFUNCTION("""COMPUTED_VALUE"""),345.0)</f>
        <v>345</v>
      </c>
      <c r="M18" s="1">
        <f>IFERROR(__xludf.DUMMYFUNCTION("""COMPUTED_VALUE"""),69.0)</f>
        <v>69</v>
      </c>
      <c r="N18" s="1">
        <f>IFERROR(__xludf.DUMMYFUNCTION("""COMPUTED_VALUE"""),75.0)</f>
        <v>75</v>
      </c>
      <c r="O18" s="1" t="str">
        <f>IFERROR(__xludf.DUMMYFUNCTION("""COMPUTED_VALUE"""),"Pass")</f>
        <v>Pass</v>
      </c>
    </row>
    <row r="19">
      <c r="A19" s="1" t="str">
        <f>IFERROR(__xludf.DUMMYFUNCTION("""COMPUTED_VALUE"""),"STD-1038")</f>
        <v>STD-1038</v>
      </c>
      <c r="B19" s="1" t="str">
        <f>IFERROR(__xludf.DUMMYFUNCTION("""COMPUTED_VALUE"""),"Ishita Nair")</f>
        <v>Ishita Nair</v>
      </c>
      <c r="C19" s="1" t="str">
        <f>IFERROR(__xludf.DUMMYFUNCTION("""COMPUTED_VALUE"""),"Male")</f>
        <v>Male</v>
      </c>
      <c r="D19" s="1" t="str">
        <f>IFERROR(__xludf.DUMMYFUNCTION("""COMPUTED_VALUE"""),"8")</f>
        <v>8</v>
      </c>
      <c r="E19" s="1" t="str">
        <f>IFERROR(__xludf.DUMMYFUNCTION("""COMPUTED_VALUE"""),"A")</f>
        <v>A</v>
      </c>
      <c r="F19" s="1" t="str">
        <f>IFERROR(__xludf.DUMMYFUNCTION("""COMPUTED_VALUE"""),"Mumbai")</f>
        <v>Mumbai</v>
      </c>
      <c r="G19" s="1">
        <f>IFERROR(__xludf.DUMMYFUNCTION("""COMPUTED_VALUE"""),94.0)</f>
        <v>94</v>
      </c>
      <c r="H19" s="1">
        <f>IFERROR(__xludf.DUMMYFUNCTION("""COMPUTED_VALUE"""),52.0)</f>
        <v>52</v>
      </c>
      <c r="I19" s="1">
        <f>IFERROR(__xludf.DUMMYFUNCTION("""COMPUTED_VALUE"""),54.0)</f>
        <v>54</v>
      </c>
      <c r="J19" s="1">
        <f>IFERROR(__xludf.DUMMYFUNCTION("""COMPUTED_VALUE"""),75.0)</f>
        <v>75</v>
      </c>
      <c r="K19" s="1">
        <f>IFERROR(__xludf.DUMMYFUNCTION("""COMPUTED_VALUE"""),54.0)</f>
        <v>54</v>
      </c>
      <c r="L19" s="1">
        <f>IFERROR(__xludf.DUMMYFUNCTION("""COMPUTED_VALUE"""),329.0)</f>
        <v>329</v>
      </c>
      <c r="M19" s="1">
        <f>IFERROR(__xludf.DUMMYFUNCTION("""COMPUTED_VALUE"""),65.8)</f>
        <v>65.8</v>
      </c>
      <c r="N19" s="1">
        <f>IFERROR(__xludf.DUMMYFUNCTION("""COMPUTED_VALUE"""),82.0)</f>
        <v>82</v>
      </c>
      <c r="O19" s="1" t="str">
        <f>IFERROR(__xludf.DUMMYFUNCTION("""COMPUTED_VALUE"""),"Pass")</f>
        <v>Pass</v>
      </c>
    </row>
    <row r="20">
      <c r="A20" s="1" t="str">
        <f>IFERROR(__xludf.DUMMYFUNCTION("""COMPUTED_VALUE"""),"STD-1043")</f>
        <v>STD-1043</v>
      </c>
      <c r="B20" s="1" t="str">
        <f>IFERROR(__xludf.DUMMYFUNCTION("""COMPUTED_VALUE"""),"Priya Jain")</f>
        <v>Priya Jain</v>
      </c>
      <c r="C20" s="1" t="str">
        <f>IFERROR(__xludf.DUMMYFUNCTION("""COMPUTED_VALUE"""),"Male")</f>
        <v>Male</v>
      </c>
      <c r="D20" s="1" t="str">
        <f>IFERROR(__xludf.DUMMYFUNCTION("""COMPUTED_VALUE"""),"9")</f>
        <v>9</v>
      </c>
      <c r="E20" s="1" t="str">
        <f>IFERROR(__xludf.DUMMYFUNCTION("""COMPUTED_VALUE"""),"A")</f>
        <v>A</v>
      </c>
      <c r="F20" s="1" t="str">
        <f>IFERROR(__xludf.DUMMYFUNCTION("""COMPUTED_VALUE"""),"Mumbai")</f>
        <v>Mumbai</v>
      </c>
      <c r="G20" s="1">
        <f>IFERROR(__xludf.DUMMYFUNCTION("""COMPUTED_VALUE"""),88.0)</f>
        <v>88</v>
      </c>
      <c r="H20" s="1">
        <f>IFERROR(__xludf.DUMMYFUNCTION("""COMPUTED_VALUE"""),98.0)</f>
        <v>98</v>
      </c>
      <c r="I20" s="1">
        <f>IFERROR(__xludf.DUMMYFUNCTION("""COMPUTED_VALUE"""),45.0)</f>
        <v>45</v>
      </c>
      <c r="J20" s="1">
        <f>IFERROR(__xludf.DUMMYFUNCTION("""COMPUTED_VALUE"""),50.0)</f>
        <v>50</v>
      </c>
      <c r="K20" s="1">
        <f>IFERROR(__xludf.DUMMYFUNCTION("""COMPUTED_VALUE"""),53.0)</f>
        <v>53</v>
      </c>
      <c r="L20" s="1">
        <f>IFERROR(__xludf.DUMMYFUNCTION("""COMPUTED_VALUE"""),334.0)</f>
        <v>334</v>
      </c>
      <c r="M20" s="1">
        <f>IFERROR(__xludf.DUMMYFUNCTION("""COMPUTED_VALUE"""),66.8)</f>
        <v>66.8</v>
      </c>
      <c r="N20" s="1">
        <f>IFERROR(__xludf.DUMMYFUNCTION("""COMPUTED_VALUE"""),63.0)</f>
        <v>63</v>
      </c>
      <c r="O20" s="1" t="str">
        <f>IFERROR(__xludf.DUMMYFUNCTION("""COMPUTED_VALUE"""),"Pass")</f>
        <v>Pass</v>
      </c>
    </row>
    <row r="21" ht="15.75" customHeight="1">
      <c r="A21" s="1" t="str">
        <f>IFERROR(__xludf.DUMMYFUNCTION("""COMPUTED_VALUE"""),"STD-1044")</f>
        <v>STD-1044</v>
      </c>
      <c r="B21" s="1" t="str">
        <f>IFERROR(__xludf.DUMMYFUNCTION("""COMPUTED_VALUE"""),"Meera Verma")</f>
        <v>Meera Verma</v>
      </c>
      <c r="C21" s="1" t="str">
        <f>IFERROR(__xludf.DUMMYFUNCTION("""COMPUTED_VALUE"""),"Male")</f>
        <v>Male</v>
      </c>
      <c r="D21" s="1" t="str">
        <f>IFERROR(__xludf.DUMMYFUNCTION("""COMPUTED_VALUE"""),"6")</f>
        <v>6</v>
      </c>
      <c r="E21" s="1" t="str">
        <f>IFERROR(__xludf.DUMMYFUNCTION("""COMPUTED_VALUE"""),"C")</f>
        <v>C</v>
      </c>
      <c r="F21" s="1" t="str">
        <f>IFERROR(__xludf.DUMMYFUNCTION("""COMPUTED_VALUE"""),"Bhopal")</f>
        <v>Bhopal</v>
      </c>
      <c r="G21" s="1">
        <f>IFERROR(__xludf.DUMMYFUNCTION("""COMPUTED_VALUE"""),85.0)</f>
        <v>85</v>
      </c>
      <c r="H21" s="1">
        <f>IFERROR(__xludf.DUMMYFUNCTION("""COMPUTED_VALUE"""),78.0)</f>
        <v>78</v>
      </c>
      <c r="I21" s="1">
        <f>IFERROR(__xludf.DUMMYFUNCTION("""COMPUTED_VALUE"""),89.0)</f>
        <v>89</v>
      </c>
      <c r="J21" s="1">
        <f>IFERROR(__xludf.DUMMYFUNCTION("""COMPUTED_VALUE"""),52.0)</f>
        <v>52</v>
      </c>
      <c r="K21" s="1">
        <f>IFERROR(__xludf.DUMMYFUNCTION("""COMPUTED_VALUE"""),47.0)</f>
        <v>47</v>
      </c>
      <c r="L21" s="1">
        <f>IFERROR(__xludf.DUMMYFUNCTION("""COMPUTED_VALUE"""),351.0)</f>
        <v>351</v>
      </c>
      <c r="M21" s="1">
        <f>IFERROR(__xludf.DUMMYFUNCTION("""COMPUTED_VALUE"""),70.2)</f>
        <v>70.2</v>
      </c>
      <c r="N21" s="1">
        <f>IFERROR(__xludf.DUMMYFUNCTION("""COMPUTED_VALUE"""),78.0)</f>
        <v>78</v>
      </c>
      <c r="O21" s="1" t="str">
        <f>IFERROR(__xludf.DUMMYFUNCTION("""COMPUTED_VALUE"""),"Pass")</f>
        <v>Pass</v>
      </c>
    </row>
    <row r="22" ht="15.75" customHeight="1">
      <c r="A22" s="1" t="str">
        <f>IFERROR(__xludf.DUMMYFUNCTION("""COMPUTED_VALUE"""),"STD-1047")</f>
        <v>STD-1047</v>
      </c>
      <c r="B22" s="1" t="str">
        <f>IFERROR(__xludf.DUMMYFUNCTION("""COMPUTED_VALUE"""),"Arjun Banerjee")</f>
        <v>Arjun Banerjee</v>
      </c>
      <c r="C22" s="1" t="str">
        <f>IFERROR(__xludf.DUMMYFUNCTION("""COMPUTED_VALUE"""),"Female")</f>
        <v>Female</v>
      </c>
      <c r="D22" s="1" t="str">
        <f>IFERROR(__xludf.DUMMYFUNCTION("""COMPUTED_VALUE"""),"7")</f>
        <v>7</v>
      </c>
      <c r="E22" s="1" t="str">
        <f>IFERROR(__xludf.DUMMYFUNCTION("""COMPUTED_VALUE"""),"A")</f>
        <v>A</v>
      </c>
      <c r="F22" s="1" t="str">
        <f>IFERROR(__xludf.DUMMYFUNCTION("""COMPUTED_VALUE"""),"Kolkata")</f>
        <v>Kolkata</v>
      </c>
      <c r="G22" s="1">
        <f>IFERROR(__xludf.DUMMYFUNCTION("""COMPUTED_VALUE"""),77.0)</f>
        <v>77</v>
      </c>
      <c r="H22" s="1">
        <f>IFERROR(__xludf.DUMMYFUNCTION("""COMPUTED_VALUE"""),52.0)</f>
        <v>52</v>
      </c>
      <c r="I22" s="1">
        <f>IFERROR(__xludf.DUMMYFUNCTION("""COMPUTED_VALUE"""),45.0)</f>
        <v>45</v>
      </c>
      <c r="J22" s="1">
        <f>IFERROR(__xludf.DUMMYFUNCTION("""COMPUTED_VALUE"""),81.0)</f>
        <v>81</v>
      </c>
      <c r="K22" s="1">
        <f>IFERROR(__xludf.DUMMYFUNCTION("""COMPUTED_VALUE"""),57.0)</f>
        <v>57</v>
      </c>
      <c r="L22" s="1">
        <f>IFERROR(__xludf.DUMMYFUNCTION("""COMPUTED_VALUE"""),312.0)</f>
        <v>312</v>
      </c>
      <c r="M22" s="1">
        <f>IFERROR(__xludf.DUMMYFUNCTION("""COMPUTED_VALUE"""),62.4)</f>
        <v>62.4</v>
      </c>
      <c r="N22" s="1">
        <f>IFERROR(__xludf.DUMMYFUNCTION("""COMPUTED_VALUE"""),91.0)</f>
        <v>91</v>
      </c>
      <c r="O22" s="1" t="str">
        <f>IFERROR(__xludf.DUMMYFUNCTION("""COMPUTED_VALUE"""),"Pass")</f>
        <v>Pass</v>
      </c>
    </row>
    <row r="23" ht="15.75" customHeight="1">
      <c r="A23" s="1" t="str">
        <f>IFERROR(__xludf.DUMMYFUNCTION("""COMPUTED_VALUE"""),"STD-1055")</f>
        <v>STD-1055</v>
      </c>
      <c r="B23" s="1" t="str">
        <f>IFERROR(__xludf.DUMMYFUNCTION("""COMPUTED_VALUE"""),"Shreya Singh")</f>
        <v>Shreya Singh</v>
      </c>
      <c r="C23" s="1" t="str">
        <f>IFERROR(__xludf.DUMMYFUNCTION("""COMPUTED_VALUE"""),"Female")</f>
        <v>Female</v>
      </c>
      <c r="D23" s="1" t="str">
        <f>IFERROR(__xludf.DUMMYFUNCTION("""COMPUTED_VALUE"""),"9")</f>
        <v>9</v>
      </c>
      <c r="E23" s="1" t="str">
        <f>IFERROR(__xludf.DUMMYFUNCTION("""COMPUTED_VALUE"""),"B")</f>
        <v>B</v>
      </c>
      <c r="F23" s="1" t="str">
        <f>IFERROR(__xludf.DUMMYFUNCTION("""COMPUTED_VALUE"""),"Jaipur")</f>
        <v>Jaipur</v>
      </c>
      <c r="G23" s="1">
        <f>IFERROR(__xludf.DUMMYFUNCTION("""COMPUTED_VALUE"""),92.0)</f>
        <v>92</v>
      </c>
      <c r="H23" s="1">
        <f>IFERROR(__xludf.DUMMYFUNCTION("""COMPUTED_VALUE"""),71.0)</f>
        <v>71</v>
      </c>
      <c r="I23" s="1">
        <f>IFERROR(__xludf.DUMMYFUNCTION("""COMPUTED_VALUE"""),71.0)</f>
        <v>71</v>
      </c>
      <c r="J23" s="1">
        <f>IFERROR(__xludf.DUMMYFUNCTION("""COMPUTED_VALUE"""),81.0)</f>
        <v>81</v>
      </c>
      <c r="K23" s="1">
        <f>IFERROR(__xludf.DUMMYFUNCTION("""COMPUTED_VALUE"""),100.0)</f>
        <v>100</v>
      </c>
      <c r="L23" s="1">
        <f>IFERROR(__xludf.DUMMYFUNCTION("""COMPUTED_VALUE"""),415.0)</f>
        <v>415</v>
      </c>
      <c r="M23" s="1">
        <f>IFERROR(__xludf.DUMMYFUNCTION("""COMPUTED_VALUE"""),83.0)</f>
        <v>83</v>
      </c>
      <c r="N23" s="1">
        <f>IFERROR(__xludf.DUMMYFUNCTION("""COMPUTED_VALUE"""),60.0)</f>
        <v>60</v>
      </c>
      <c r="O23" s="1" t="str">
        <f>IFERROR(__xludf.DUMMYFUNCTION("""COMPUTED_VALUE"""),"Pass")</f>
        <v>Pass</v>
      </c>
    </row>
    <row r="24" ht="15.75" customHeight="1">
      <c r="A24" s="1" t="str">
        <f>IFERROR(__xludf.DUMMYFUNCTION("""COMPUTED_VALUE"""),"STD-1058")</f>
        <v>STD-1058</v>
      </c>
      <c r="B24" s="1" t="str">
        <f>IFERROR(__xludf.DUMMYFUNCTION("""COMPUTED_VALUE"""),"Sneha Gupta")</f>
        <v>Sneha Gupta</v>
      </c>
      <c r="C24" s="1" t="str">
        <f>IFERROR(__xludf.DUMMYFUNCTION("""COMPUTED_VALUE"""),"Female")</f>
        <v>Female</v>
      </c>
      <c r="D24" s="1" t="str">
        <f>IFERROR(__xludf.DUMMYFUNCTION("""COMPUTED_VALUE"""),"8")</f>
        <v>8</v>
      </c>
      <c r="E24" s="1" t="str">
        <f>IFERROR(__xludf.DUMMYFUNCTION("""COMPUTED_VALUE"""),"B")</f>
        <v>B</v>
      </c>
      <c r="F24" s="1" t="str">
        <f>IFERROR(__xludf.DUMMYFUNCTION("""COMPUTED_VALUE"""),"Patna")</f>
        <v>Patna</v>
      </c>
      <c r="G24" s="1">
        <f>IFERROR(__xludf.DUMMYFUNCTION("""COMPUTED_VALUE"""),76.0)</f>
        <v>76</v>
      </c>
      <c r="H24" s="1">
        <f>IFERROR(__xludf.DUMMYFUNCTION("""COMPUTED_VALUE"""),71.0)</f>
        <v>71</v>
      </c>
      <c r="I24" s="1">
        <f>IFERROR(__xludf.DUMMYFUNCTION("""COMPUTED_VALUE"""),46.0)</f>
        <v>46</v>
      </c>
      <c r="J24" s="1">
        <f>IFERROR(__xludf.DUMMYFUNCTION("""COMPUTED_VALUE"""),47.0)</f>
        <v>47</v>
      </c>
      <c r="K24" s="1">
        <f>IFERROR(__xludf.DUMMYFUNCTION("""COMPUTED_VALUE"""),66.0)</f>
        <v>66</v>
      </c>
      <c r="L24" s="1">
        <f>IFERROR(__xludf.DUMMYFUNCTION("""COMPUTED_VALUE"""),306.0)</f>
        <v>306</v>
      </c>
      <c r="M24" s="1">
        <f>IFERROR(__xludf.DUMMYFUNCTION("""COMPUTED_VALUE"""),61.2)</f>
        <v>61.2</v>
      </c>
      <c r="N24" s="1">
        <f>IFERROR(__xludf.DUMMYFUNCTION("""COMPUTED_VALUE"""),98.0)</f>
        <v>98</v>
      </c>
      <c r="O24" s="1" t="str">
        <f>IFERROR(__xludf.DUMMYFUNCTION("""COMPUTED_VALUE"""),"Pass")</f>
        <v>Pass</v>
      </c>
    </row>
    <row r="25" ht="15.75" customHeight="1">
      <c r="A25" s="1" t="str">
        <f>IFERROR(__xludf.DUMMYFUNCTION("""COMPUTED_VALUE"""),"STD-1059")</f>
        <v>STD-1059</v>
      </c>
      <c r="B25" s="1" t="str">
        <f>IFERROR(__xludf.DUMMYFUNCTION("""COMPUTED_VALUE"""),"Ananya Iyer")</f>
        <v>Ananya Iyer</v>
      </c>
      <c r="C25" s="1" t="str">
        <f>IFERROR(__xludf.DUMMYFUNCTION("""COMPUTED_VALUE"""),"Female")</f>
        <v>Female</v>
      </c>
      <c r="D25" s="1" t="str">
        <f>IFERROR(__xludf.DUMMYFUNCTION("""COMPUTED_VALUE"""),"9")</f>
        <v>9</v>
      </c>
      <c r="E25" s="1" t="str">
        <f>IFERROR(__xludf.DUMMYFUNCTION("""COMPUTED_VALUE"""),"A")</f>
        <v>A</v>
      </c>
      <c r="F25" s="1" t="str">
        <f>IFERROR(__xludf.DUMMYFUNCTION("""COMPUTED_VALUE"""),"Patna")</f>
        <v>Patna</v>
      </c>
      <c r="G25" s="1">
        <f>IFERROR(__xludf.DUMMYFUNCTION("""COMPUTED_VALUE"""),95.0)</f>
        <v>95</v>
      </c>
      <c r="H25" s="1">
        <f>IFERROR(__xludf.DUMMYFUNCTION("""COMPUTED_VALUE"""),86.0)</f>
        <v>86</v>
      </c>
      <c r="I25" s="1">
        <f>IFERROR(__xludf.DUMMYFUNCTION("""COMPUTED_VALUE"""),87.0)</f>
        <v>87</v>
      </c>
      <c r="J25" s="1">
        <f>IFERROR(__xludf.DUMMYFUNCTION("""COMPUTED_VALUE"""),42.0)</f>
        <v>42</v>
      </c>
      <c r="K25" s="1">
        <f>IFERROR(__xludf.DUMMYFUNCTION("""COMPUTED_VALUE"""),67.0)</f>
        <v>67</v>
      </c>
      <c r="L25" s="1">
        <f>IFERROR(__xludf.DUMMYFUNCTION("""COMPUTED_VALUE"""),377.0)</f>
        <v>377</v>
      </c>
      <c r="M25" s="1">
        <f>IFERROR(__xludf.DUMMYFUNCTION("""COMPUTED_VALUE"""),75.4)</f>
        <v>75.4</v>
      </c>
      <c r="N25" s="1">
        <f>IFERROR(__xludf.DUMMYFUNCTION("""COMPUTED_VALUE"""),77.0)</f>
        <v>77</v>
      </c>
      <c r="O25" s="1" t="str">
        <f>IFERROR(__xludf.DUMMYFUNCTION("""COMPUTED_VALUE"""),"Pass")</f>
        <v>Pass</v>
      </c>
    </row>
    <row r="26" ht="15.75" customHeight="1">
      <c r="A26" s="1" t="str">
        <f>IFERROR(__xludf.DUMMYFUNCTION("""COMPUTED_VALUE"""),"STD-1060")</f>
        <v>STD-1060</v>
      </c>
      <c r="B26" s="1" t="str">
        <f>IFERROR(__xludf.DUMMYFUNCTION("""COMPUTED_VALUE"""),"Ishita Banerjee")</f>
        <v>Ishita Banerjee</v>
      </c>
      <c r="C26" s="1" t="str">
        <f>IFERROR(__xludf.DUMMYFUNCTION("""COMPUTED_VALUE"""),"Male")</f>
        <v>Male</v>
      </c>
      <c r="D26" s="1" t="str">
        <f>IFERROR(__xludf.DUMMYFUNCTION("""COMPUTED_VALUE"""),"7")</f>
        <v>7</v>
      </c>
      <c r="E26" s="1" t="str">
        <f>IFERROR(__xludf.DUMMYFUNCTION("""COMPUTED_VALUE"""),"A")</f>
        <v>A</v>
      </c>
      <c r="F26" s="1" t="str">
        <f>IFERROR(__xludf.DUMMYFUNCTION("""COMPUTED_VALUE"""),"Bhopal")</f>
        <v>Bhopal</v>
      </c>
      <c r="G26" s="1">
        <f>IFERROR(__xludf.DUMMYFUNCTION("""COMPUTED_VALUE"""),91.0)</f>
        <v>91</v>
      </c>
      <c r="H26" s="1">
        <f>IFERROR(__xludf.DUMMYFUNCTION("""COMPUTED_VALUE"""),50.0)</f>
        <v>50</v>
      </c>
      <c r="I26" s="1">
        <f>IFERROR(__xludf.DUMMYFUNCTION("""COMPUTED_VALUE"""),70.0)</f>
        <v>70</v>
      </c>
      <c r="J26" s="1">
        <f>IFERROR(__xludf.DUMMYFUNCTION("""COMPUTED_VALUE"""),57.0)</f>
        <v>57</v>
      </c>
      <c r="K26" s="1">
        <f>IFERROR(__xludf.DUMMYFUNCTION("""COMPUTED_VALUE"""),79.0)</f>
        <v>79</v>
      </c>
      <c r="L26" s="1">
        <f>IFERROR(__xludf.DUMMYFUNCTION("""COMPUTED_VALUE"""),347.0)</f>
        <v>347</v>
      </c>
      <c r="M26" s="1">
        <f>IFERROR(__xludf.DUMMYFUNCTION("""COMPUTED_VALUE"""),69.4)</f>
        <v>69.4</v>
      </c>
      <c r="N26" s="1">
        <f>IFERROR(__xludf.DUMMYFUNCTION("""COMPUTED_VALUE"""),83.0)</f>
        <v>83</v>
      </c>
      <c r="O26" s="1" t="str">
        <f>IFERROR(__xludf.DUMMYFUNCTION("""COMPUTED_VALUE"""),"Pass")</f>
        <v>Pass</v>
      </c>
    </row>
    <row r="27" ht="15.75" customHeight="1">
      <c r="A27" s="1" t="str">
        <f>IFERROR(__xludf.DUMMYFUNCTION("""COMPUTED_VALUE"""),"STD-1061")</f>
        <v>STD-1061</v>
      </c>
      <c r="B27" s="1" t="str">
        <f>IFERROR(__xludf.DUMMYFUNCTION("""COMPUTED_VALUE"""),"Ritika Kulkarni")</f>
        <v>Ritika Kulkarni</v>
      </c>
      <c r="C27" s="1" t="str">
        <f>IFERROR(__xludf.DUMMYFUNCTION("""COMPUTED_VALUE"""),"Female")</f>
        <v>Female</v>
      </c>
      <c r="D27" s="1" t="str">
        <f>IFERROR(__xludf.DUMMYFUNCTION("""COMPUTED_VALUE"""),"7")</f>
        <v>7</v>
      </c>
      <c r="E27" s="1" t="str">
        <f>IFERROR(__xludf.DUMMYFUNCTION("""COMPUTED_VALUE"""),"A")</f>
        <v>A</v>
      </c>
      <c r="F27" s="1" t="str">
        <f>IFERROR(__xludf.DUMMYFUNCTION("""COMPUTED_VALUE"""),"Delhi")</f>
        <v>Delhi</v>
      </c>
      <c r="G27" s="1">
        <f>IFERROR(__xludf.DUMMYFUNCTION("""COMPUTED_VALUE"""),87.0)</f>
        <v>87</v>
      </c>
      <c r="H27" s="1">
        <f>IFERROR(__xludf.DUMMYFUNCTION("""COMPUTED_VALUE"""),58.0)</f>
        <v>58</v>
      </c>
      <c r="I27" s="1">
        <f>IFERROR(__xludf.DUMMYFUNCTION("""COMPUTED_VALUE"""),70.0)</f>
        <v>70</v>
      </c>
      <c r="J27" s="1">
        <f>IFERROR(__xludf.DUMMYFUNCTION("""COMPUTED_VALUE"""),94.0)</f>
        <v>94</v>
      </c>
      <c r="K27" s="1">
        <f>IFERROR(__xludf.DUMMYFUNCTION("""COMPUTED_VALUE"""),50.0)</f>
        <v>50</v>
      </c>
      <c r="L27" s="1">
        <f>IFERROR(__xludf.DUMMYFUNCTION("""COMPUTED_VALUE"""),359.0)</f>
        <v>359</v>
      </c>
      <c r="M27" s="1">
        <f>IFERROR(__xludf.DUMMYFUNCTION("""COMPUTED_VALUE"""),71.8)</f>
        <v>71.8</v>
      </c>
      <c r="N27" s="1">
        <f>IFERROR(__xludf.DUMMYFUNCTION("""COMPUTED_VALUE"""),100.0)</f>
        <v>100</v>
      </c>
      <c r="O27" s="1" t="str">
        <f>IFERROR(__xludf.DUMMYFUNCTION("""COMPUTED_VALUE"""),"Pass")</f>
        <v>Pass</v>
      </c>
    </row>
    <row r="28" ht="15.75" customHeight="1">
      <c r="A28" s="1" t="str">
        <f>IFERROR(__xludf.DUMMYFUNCTION("""COMPUTED_VALUE"""),"STD-1062")</f>
        <v>STD-1062</v>
      </c>
      <c r="B28" s="1" t="str">
        <f>IFERROR(__xludf.DUMMYFUNCTION("""COMPUTED_VALUE"""),"Karan Choudhary")</f>
        <v>Karan Choudhary</v>
      </c>
      <c r="C28" s="1" t="str">
        <f>IFERROR(__xludf.DUMMYFUNCTION("""COMPUTED_VALUE"""),"Female")</f>
        <v>Female</v>
      </c>
      <c r="D28" s="1" t="str">
        <f>IFERROR(__xludf.DUMMYFUNCTION("""COMPUTED_VALUE"""),"8")</f>
        <v>8</v>
      </c>
      <c r="E28" s="1" t="str">
        <f>IFERROR(__xludf.DUMMYFUNCTION("""COMPUTED_VALUE"""),"B")</f>
        <v>B</v>
      </c>
      <c r="F28" s="1" t="str">
        <f>IFERROR(__xludf.DUMMYFUNCTION("""COMPUTED_VALUE"""),"Jaipur")</f>
        <v>Jaipur</v>
      </c>
      <c r="G28" s="1">
        <f>IFERROR(__xludf.DUMMYFUNCTION("""COMPUTED_VALUE"""),85.0)</f>
        <v>85</v>
      </c>
      <c r="H28" s="1">
        <f>IFERROR(__xludf.DUMMYFUNCTION("""COMPUTED_VALUE"""),84.0)</f>
        <v>84</v>
      </c>
      <c r="I28" s="1">
        <f>IFERROR(__xludf.DUMMYFUNCTION("""COMPUTED_VALUE"""),83.0)</f>
        <v>83</v>
      </c>
      <c r="J28" s="1">
        <f>IFERROR(__xludf.DUMMYFUNCTION("""COMPUTED_VALUE"""),98.0)</f>
        <v>98</v>
      </c>
      <c r="K28" s="1">
        <f>IFERROR(__xludf.DUMMYFUNCTION("""COMPUTED_VALUE"""),79.0)</f>
        <v>79</v>
      </c>
      <c r="L28" s="1">
        <f>IFERROR(__xludf.DUMMYFUNCTION("""COMPUTED_VALUE"""),429.0)</f>
        <v>429</v>
      </c>
      <c r="M28" s="1">
        <f>IFERROR(__xludf.DUMMYFUNCTION("""COMPUTED_VALUE"""),85.8)</f>
        <v>85.8</v>
      </c>
      <c r="N28" s="1">
        <f>IFERROR(__xludf.DUMMYFUNCTION("""COMPUTED_VALUE"""),100.0)</f>
        <v>100</v>
      </c>
      <c r="O28" s="1" t="str">
        <f>IFERROR(__xludf.DUMMYFUNCTION("""COMPUTED_VALUE"""),"Pass")</f>
        <v>Pass</v>
      </c>
    </row>
    <row r="29" ht="15.75" customHeight="1">
      <c r="A29" s="1" t="str">
        <f>IFERROR(__xludf.DUMMYFUNCTION("""COMPUTED_VALUE"""),"STD-1063")</f>
        <v>STD-1063</v>
      </c>
      <c r="B29" s="1" t="str">
        <f>IFERROR(__xludf.DUMMYFUNCTION("""COMPUTED_VALUE"""),"Karan Sharma")</f>
        <v>Karan Sharma</v>
      </c>
      <c r="C29" s="1" t="str">
        <f>IFERROR(__xludf.DUMMYFUNCTION("""COMPUTED_VALUE"""),"Female")</f>
        <v>Female</v>
      </c>
      <c r="D29" s="1" t="str">
        <f>IFERROR(__xludf.DUMMYFUNCTION("""COMPUTED_VALUE"""),"7")</f>
        <v>7</v>
      </c>
      <c r="E29" s="1" t="str">
        <f>IFERROR(__xludf.DUMMYFUNCTION("""COMPUTED_VALUE"""),"C")</f>
        <v>C</v>
      </c>
      <c r="F29" s="1" t="str">
        <f>IFERROR(__xludf.DUMMYFUNCTION("""COMPUTED_VALUE"""),"Patna")</f>
        <v>Patna</v>
      </c>
      <c r="G29" s="1">
        <f>IFERROR(__xludf.DUMMYFUNCTION("""COMPUTED_VALUE"""),76.0)</f>
        <v>76</v>
      </c>
      <c r="H29" s="1">
        <f>IFERROR(__xludf.DUMMYFUNCTION("""COMPUTED_VALUE"""),91.0)</f>
        <v>91</v>
      </c>
      <c r="I29" s="1">
        <f>IFERROR(__xludf.DUMMYFUNCTION("""COMPUTED_VALUE"""),71.0)</f>
        <v>71</v>
      </c>
      <c r="J29" s="1">
        <f>IFERROR(__xludf.DUMMYFUNCTION("""COMPUTED_VALUE"""),71.0)</f>
        <v>71</v>
      </c>
      <c r="K29" s="1">
        <f>IFERROR(__xludf.DUMMYFUNCTION("""COMPUTED_VALUE"""),80.0)</f>
        <v>80</v>
      </c>
      <c r="L29" s="1">
        <f>IFERROR(__xludf.DUMMYFUNCTION("""COMPUTED_VALUE"""),389.0)</f>
        <v>389</v>
      </c>
      <c r="M29" s="1">
        <f>IFERROR(__xludf.DUMMYFUNCTION("""COMPUTED_VALUE"""),77.8)</f>
        <v>77.8</v>
      </c>
      <c r="N29" s="1">
        <f>IFERROR(__xludf.DUMMYFUNCTION("""COMPUTED_VALUE"""),64.0)</f>
        <v>64</v>
      </c>
      <c r="O29" s="1" t="str">
        <f>IFERROR(__xludf.DUMMYFUNCTION("""COMPUTED_VALUE"""),"Pass")</f>
        <v>Pass</v>
      </c>
    </row>
    <row r="30" ht="15.75" customHeight="1">
      <c r="A30" s="1" t="str">
        <f>IFERROR(__xludf.DUMMYFUNCTION("""COMPUTED_VALUE"""),"STD-1066")</f>
        <v>STD-1066</v>
      </c>
      <c r="B30" s="1" t="str">
        <f>IFERROR(__xludf.DUMMYFUNCTION("""COMPUTED_VALUE"""),"Kavya Yadav")</f>
        <v>Kavya Yadav</v>
      </c>
      <c r="C30" s="1" t="str">
        <f>IFERROR(__xludf.DUMMYFUNCTION("""COMPUTED_VALUE"""),"Female")</f>
        <v>Female</v>
      </c>
      <c r="D30" s="1" t="str">
        <f>IFERROR(__xludf.DUMMYFUNCTION("""COMPUTED_VALUE"""),"10")</f>
        <v>10</v>
      </c>
      <c r="E30" s="1" t="str">
        <f>IFERROR(__xludf.DUMMYFUNCTION("""COMPUTED_VALUE"""),"B")</f>
        <v>B</v>
      </c>
      <c r="F30" s="1" t="str">
        <f>IFERROR(__xludf.DUMMYFUNCTION("""COMPUTED_VALUE"""),"Jaipur")</f>
        <v>Jaipur</v>
      </c>
      <c r="G30" s="1">
        <f>IFERROR(__xludf.DUMMYFUNCTION("""COMPUTED_VALUE"""),88.0)</f>
        <v>88</v>
      </c>
      <c r="H30" s="1">
        <f>IFERROR(__xludf.DUMMYFUNCTION("""COMPUTED_VALUE"""),75.0)</f>
        <v>75</v>
      </c>
      <c r="I30" s="1">
        <f>IFERROR(__xludf.DUMMYFUNCTION("""COMPUTED_VALUE"""),77.0)</f>
        <v>77</v>
      </c>
      <c r="J30" s="1">
        <f>IFERROR(__xludf.DUMMYFUNCTION("""COMPUTED_VALUE"""),41.0)</f>
        <v>41</v>
      </c>
      <c r="K30" s="1">
        <f>IFERROR(__xludf.DUMMYFUNCTION("""COMPUTED_VALUE"""),84.0)</f>
        <v>84</v>
      </c>
      <c r="L30" s="1">
        <f>IFERROR(__xludf.DUMMYFUNCTION("""COMPUTED_VALUE"""),365.0)</f>
        <v>365</v>
      </c>
      <c r="M30" s="1">
        <f>IFERROR(__xludf.DUMMYFUNCTION("""COMPUTED_VALUE"""),73.0)</f>
        <v>73</v>
      </c>
      <c r="N30" s="1">
        <f>IFERROR(__xludf.DUMMYFUNCTION("""COMPUTED_VALUE"""),61.0)</f>
        <v>61</v>
      </c>
      <c r="O30" s="1" t="str">
        <f>IFERROR(__xludf.DUMMYFUNCTION("""COMPUTED_VALUE"""),"Pass")</f>
        <v>Pass</v>
      </c>
    </row>
    <row r="31" ht="15.75" customHeight="1">
      <c r="A31" s="1" t="str">
        <f>IFERROR(__xludf.DUMMYFUNCTION("""COMPUTED_VALUE"""),"STD-1067")</f>
        <v>STD-1067</v>
      </c>
      <c r="B31" s="1" t="str">
        <f>IFERROR(__xludf.DUMMYFUNCTION("""COMPUTED_VALUE"""),"Sneha Yadav")</f>
        <v>Sneha Yadav</v>
      </c>
      <c r="C31" s="1" t="str">
        <f>IFERROR(__xludf.DUMMYFUNCTION("""COMPUTED_VALUE"""),"Male")</f>
        <v>Male</v>
      </c>
      <c r="D31" s="1" t="str">
        <f>IFERROR(__xludf.DUMMYFUNCTION("""COMPUTED_VALUE"""),"9")</f>
        <v>9</v>
      </c>
      <c r="E31" s="1" t="str">
        <f>IFERROR(__xludf.DUMMYFUNCTION("""COMPUTED_VALUE"""),"C")</f>
        <v>C</v>
      </c>
      <c r="F31" s="1" t="str">
        <f>IFERROR(__xludf.DUMMYFUNCTION("""COMPUTED_VALUE"""),"Delhi")</f>
        <v>Delhi</v>
      </c>
      <c r="G31" s="1">
        <f>IFERROR(__xludf.DUMMYFUNCTION("""COMPUTED_VALUE"""),98.0)</f>
        <v>98</v>
      </c>
      <c r="H31" s="1">
        <f>IFERROR(__xludf.DUMMYFUNCTION("""COMPUTED_VALUE"""),43.0)</f>
        <v>43</v>
      </c>
      <c r="I31" s="1">
        <f>IFERROR(__xludf.DUMMYFUNCTION("""COMPUTED_VALUE"""),70.0)</f>
        <v>70</v>
      </c>
      <c r="J31" s="1">
        <f>IFERROR(__xludf.DUMMYFUNCTION("""COMPUTED_VALUE"""),41.0)</f>
        <v>41</v>
      </c>
      <c r="K31" s="1">
        <f>IFERROR(__xludf.DUMMYFUNCTION("""COMPUTED_VALUE"""),94.0)</f>
        <v>94</v>
      </c>
      <c r="L31" s="1">
        <f>IFERROR(__xludf.DUMMYFUNCTION("""COMPUTED_VALUE"""),346.0)</f>
        <v>346</v>
      </c>
      <c r="M31" s="1">
        <f>IFERROR(__xludf.DUMMYFUNCTION("""COMPUTED_VALUE"""),69.2)</f>
        <v>69.2</v>
      </c>
      <c r="N31" s="1">
        <f>IFERROR(__xludf.DUMMYFUNCTION("""COMPUTED_VALUE"""),67.0)</f>
        <v>67</v>
      </c>
      <c r="O31" s="1" t="str">
        <f>IFERROR(__xludf.DUMMYFUNCTION("""COMPUTED_VALUE"""),"Pass")</f>
        <v>Pass</v>
      </c>
    </row>
    <row r="32" ht="15.75" customHeight="1">
      <c r="A32" s="1" t="str">
        <f>IFERROR(__xludf.DUMMYFUNCTION("""COMPUTED_VALUE"""),"STD-1069")</f>
        <v>STD-1069</v>
      </c>
      <c r="B32" s="1" t="str">
        <f>IFERROR(__xludf.DUMMYFUNCTION("""COMPUTED_VALUE"""),"Pooja Kulkarni")</f>
        <v>Pooja Kulkarni</v>
      </c>
      <c r="C32" s="1" t="str">
        <f>IFERROR(__xludf.DUMMYFUNCTION("""COMPUTED_VALUE"""),"Female")</f>
        <v>Female</v>
      </c>
      <c r="D32" s="1" t="str">
        <f>IFERROR(__xludf.DUMMYFUNCTION("""COMPUTED_VALUE"""),"8")</f>
        <v>8</v>
      </c>
      <c r="E32" s="1" t="str">
        <f>IFERROR(__xludf.DUMMYFUNCTION("""COMPUTED_VALUE"""),"A")</f>
        <v>A</v>
      </c>
      <c r="F32" s="1" t="str">
        <f>IFERROR(__xludf.DUMMYFUNCTION("""COMPUTED_VALUE"""),"Patna")</f>
        <v>Patna</v>
      </c>
      <c r="G32" s="1">
        <f>IFERROR(__xludf.DUMMYFUNCTION("""COMPUTED_VALUE"""),82.0)</f>
        <v>82</v>
      </c>
      <c r="H32" s="1">
        <f>IFERROR(__xludf.DUMMYFUNCTION("""COMPUTED_VALUE"""),56.0)</f>
        <v>56</v>
      </c>
      <c r="I32" s="1">
        <f>IFERROR(__xludf.DUMMYFUNCTION("""COMPUTED_VALUE"""),73.0)</f>
        <v>73</v>
      </c>
      <c r="J32" s="1">
        <f>IFERROR(__xludf.DUMMYFUNCTION("""COMPUTED_VALUE"""),80.0)</f>
        <v>80</v>
      </c>
      <c r="K32" s="1">
        <f>IFERROR(__xludf.DUMMYFUNCTION("""COMPUTED_VALUE"""),47.0)</f>
        <v>47</v>
      </c>
      <c r="L32" s="1">
        <f>IFERROR(__xludf.DUMMYFUNCTION("""COMPUTED_VALUE"""),338.0)</f>
        <v>338</v>
      </c>
      <c r="M32" s="1">
        <f>IFERROR(__xludf.DUMMYFUNCTION("""COMPUTED_VALUE"""),67.6)</f>
        <v>67.6</v>
      </c>
      <c r="N32" s="1">
        <f>IFERROR(__xludf.DUMMYFUNCTION("""COMPUTED_VALUE"""),100.0)</f>
        <v>100</v>
      </c>
      <c r="O32" s="1" t="str">
        <f>IFERROR(__xludf.DUMMYFUNCTION("""COMPUTED_VALUE"""),"Pass")</f>
        <v>Pass</v>
      </c>
    </row>
    <row r="33" ht="15.75" customHeight="1">
      <c r="A33" s="1" t="str">
        <f>IFERROR(__xludf.DUMMYFUNCTION("""COMPUTED_VALUE"""),"STD-1073")</f>
        <v>STD-1073</v>
      </c>
      <c r="B33" s="1" t="str">
        <f>IFERROR(__xludf.DUMMYFUNCTION("""COMPUTED_VALUE"""),"Neha Patel")</f>
        <v>Neha Patel</v>
      </c>
      <c r="C33" s="1" t="str">
        <f>IFERROR(__xludf.DUMMYFUNCTION("""COMPUTED_VALUE"""),"Female")</f>
        <v>Female</v>
      </c>
      <c r="D33" s="1" t="str">
        <f>IFERROR(__xludf.DUMMYFUNCTION("""COMPUTED_VALUE"""),"10")</f>
        <v>10</v>
      </c>
      <c r="E33" s="1" t="str">
        <f>IFERROR(__xludf.DUMMYFUNCTION("""COMPUTED_VALUE"""),"C")</f>
        <v>C</v>
      </c>
      <c r="F33" s="1" t="str">
        <f>IFERROR(__xludf.DUMMYFUNCTION("""COMPUTED_VALUE"""),"Mumbai")</f>
        <v>Mumbai</v>
      </c>
      <c r="G33" s="1">
        <f>IFERROR(__xludf.DUMMYFUNCTION("""COMPUTED_VALUE"""),87.0)</f>
        <v>87</v>
      </c>
      <c r="H33" s="1">
        <f>IFERROR(__xludf.DUMMYFUNCTION("""COMPUTED_VALUE"""),60.0)</f>
        <v>60</v>
      </c>
      <c r="I33" s="1">
        <f>IFERROR(__xludf.DUMMYFUNCTION("""COMPUTED_VALUE"""),71.0)</f>
        <v>71</v>
      </c>
      <c r="J33" s="1">
        <f>IFERROR(__xludf.DUMMYFUNCTION("""COMPUTED_VALUE"""),91.0)</f>
        <v>91</v>
      </c>
      <c r="K33" s="1">
        <f>IFERROR(__xludf.DUMMYFUNCTION("""COMPUTED_VALUE"""),42.0)</f>
        <v>42</v>
      </c>
      <c r="L33" s="1">
        <f>IFERROR(__xludf.DUMMYFUNCTION("""COMPUTED_VALUE"""),351.0)</f>
        <v>351</v>
      </c>
      <c r="M33" s="1">
        <f>IFERROR(__xludf.DUMMYFUNCTION("""COMPUTED_VALUE"""),70.2)</f>
        <v>70.2</v>
      </c>
      <c r="N33" s="1">
        <f>IFERROR(__xludf.DUMMYFUNCTION("""COMPUTED_VALUE"""),79.0)</f>
        <v>79</v>
      </c>
      <c r="O33" s="1" t="str">
        <f>IFERROR(__xludf.DUMMYFUNCTION("""COMPUTED_VALUE"""),"Pass")</f>
        <v>Pass</v>
      </c>
    </row>
    <row r="34" ht="15.75" customHeight="1">
      <c r="A34" s="1" t="str">
        <f>IFERROR(__xludf.DUMMYFUNCTION("""COMPUTED_VALUE"""),"STD-1074")</f>
        <v>STD-1074</v>
      </c>
      <c r="B34" s="1" t="str">
        <f>IFERROR(__xludf.DUMMYFUNCTION("""COMPUTED_VALUE"""),"Pooja Verma")</f>
        <v>Pooja Verma</v>
      </c>
      <c r="C34" s="1" t="str">
        <f>IFERROR(__xludf.DUMMYFUNCTION("""COMPUTED_VALUE"""),"Female")</f>
        <v>Female</v>
      </c>
      <c r="D34" s="1" t="str">
        <f>IFERROR(__xludf.DUMMYFUNCTION("""COMPUTED_VALUE"""),"9")</f>
        <v>9</v>
      </c>
      <c r="E34" s="1" t="str">
        <f>IFERROR(__xludf.DUMMYFUNCTION("""COMPUTED_VALUE"""),"A")</f>
        <v>A</v>
      </c>
      <c r="F34" s="1" t="str">
        <f>IFERROR(__xludf.DUMMYFUNCTION("""COMPUTED_VALUE"""),"Bhopal")</f>
        <v>Bhopal</v>
      </c>
      <c r="G34" s="1">
        <f>IFERROR(__xludf.DUMMYFUNCTION("""COMPUTED_VALUE"""),88.0)</f>
        <v>88</v>
      </c>
      <c r="H34" s="1">
        <f>IFERROR(__xludf.DUMMYFUNCTION("""COMPUTED_VALUE"""),88.0)</f>
        <v>88</v>
      </c>
      <c r="I34" s="1">
        <f>IFERROR(__xludf.DUMMYFUNCTION("""COMPUTED_VALUE"""),40.0)</f>
        <v>40</v>
      </c>
      <c r="J34" s="1">
        <f>IFERROR(__xludf.DUMMYFUNCTION("""COMPUTED_VALUE"""),100.0)</f>
        <v>100</v>
      </c>
      <c r="K34" s="1">
        <f>IFERROR(__xludf.DUMMYFUNCTION("""COMPUTED_VALUE"""),78.0)</f>
        <v>78</v>
      </c>
      <c r="L34" s="1">
        <f>IFERROR(__xludf.DUMMYFUNCTION("""COMPUTED_VALUE"""),394.0)</f>
        <v>394</v>
      </c>
      <c r="M34" s="1">
        <f>IFERROR(__xludf.DUMMYFUNCTION("""COMPUTED_VALUE"""),78.8)</f>
        <v>78.8</v>
      </c>
      <c r="N34" s="1">
        <f>IFERROR(__xludf.DUMMYFUNCTION("""COMPUTED_VALUE"""),64.0)</f>
        <v>64</v>
      </c>
      <c r="O34" s="1" t="str">
        <f>IFERROR(__xludf.DUMMYFUNCTION("""COMPUTED_VALUE"""),"Pass")</f>
        <v>Pass</v>
      </c>
    </row>
    <row r="35" ht="15.75" customHeight="1">
      <c r="A35" s="1" t="str">
        <f>IFERROR(__xludf.DUMMYFUNCTION("""COMPUTED_VALUE"""),"STD-1078")</f>
        <v>STD-1078</v>
      </c>
      <c r="B35" s="1" t="str">
        <f>IFERROR(__xludf.DUMMYFUNCTION("""COMPUTED_VALUE"""),"Kavya Reddy")</f>
        <v>Kavya Reddy</v>
      </c>
      <c r="C35" s="1" t="str">
        <f>IFERROR(__xludf.DUMMYFUNCTION("""COMPUTED_VALUE"""),"Female")</f>
        <v>Female</v>
      </c>
      <c r="D35" s="1" t="str">
        <f>IFERROR(__xludf.DUMMYFUNCTION("""COMPUTED_VALUE"""),"10")</f>
        <v>10</v>
      </c>
      <c r="E35" s="1" t="str">
        <f>IFERROR(__xludf.DUMMYFUNCTION("""COMPUTED_VALUE"""),"A")</f>
        <v>A</v>
      </c>
      <c r="F35" s="1" t="str">
        <f>IFERROR(__xludf.DUMMYFUNCTION("""COMPUTED_VALUE"""),"Lucknow")</f>
        <v>Lucknow</v>
      </c>
      <c r="G35" s="1">
        <f>IFERROR(__xludf.DUMMYFUNCTION("""COMPUTED_VALUE"""),84.0)</f>
        <v>84</v>
      </c>
      <c r="H35" s="1">
        <f>IFERROR(__xludf.DUMMYFUNCTION("""COMPUTED_VALUE"""),91.0)</f>
        <v>91</v>
      </c>
      <c r="I35" s="1">
        <f>IFERROR(__xludf.DUMMYFUNCTION("""COMPUTED_VALUE"""),96.0)</f>
        <v>96</v>
      </c>
      <c r="J35" s="1">
        <f>IFERROR(__xludf.DUMMYFUNCTION("""COMPUTED_VALUE"""),54.0)</f>
        <v>54</v>
      </c>
      <c r="K35" s="1">
        <f>IFERROR(__xludf.DUMMYFUNCTION("""COMPUTED_VALUE"""),89.0)</f>
        <v>89</v>
      </c>
      <c r="L35" s="1">
        <f>IFERROR(__xludf.DUMMYFUNCTION("""COMPUTED_VALUE"""),414.0)</f>
        <v>414</v>
      </c>
      <c r="M35" s="1">
        <f>IFERROR(__xludf.DUMMYFUNCTION("""COMPUTED_VALUE"""),82.8)</f>
        <v>82.8</v>
      </c>
      <c r="N35" s="1">
        <f>IFERROR(__xludf.DUMMYFUNCTION("""COMPUTED_VALUE"""),71.0)</f>
        <v>71</v>
      </c>
      <c r="O35" s="1" t="str">
        <f>IFERROR(__xludf.DUMMYFUNCTION("""COMPUTED_VALUE"""),"Pass")</f>
        <v>Pass</v>
      </c>
    </row>
    <row r="36" ht="15.75" customHeight="1">
      <c r="A36" s="1" t="str">
        <f>IFERROR(__xludf.DUMMYFUNCTION("""COMPUTED_VALUE"""),"STD-1080")</f>
        <v>STD-1080</v>
      </c>
      <c r="B36" s="1" t="str">
        <f>IFERROR(__xludf.DUMMYFUNCTION("""COMPUTED_VALUE"""),"Aarav Sharma")</f>
        <v>Aarav Sharma</v>
      </c>
      <c r="C36" s="1" t="str">
        <f>IFERROR(__xludf.DUMMYFUNCTION("""COMPUTED_VALUE"""),"Female")</f>
        <v>Female</v>
      </c>
      <c r="D36" s="1" t="str">
        <f>IFERROR(__xludf.DUMMYFUNCTION("""COMPUTED_VALUE"""),"7")</f>
        <v>7</v>
      </c>
      <c r="E36" s="1" t="str">
        <f>IFERROR(__xludf.DUMMYFUNCTION("""COMPUTED_VALUE"""),"B")</f>
        <v>B</v>
      </c>
      <c r="F36" s="1" t="str">
        <f>IFERROR(__xludf.DUMMYFUNCTION("""COMPUTED_VALUE"""),"Kolkata")</f>
        <v>Kolkata</v>
      </c>
      <c r="G36" s="1">
        <f>IFERROR(__xludf.DUMMYFUNCTION("""COMPUTED_VALUE"""),96.0)</f>
        <v>96</v>
      </c>
      <c r="H36" s="1">
        <f>IFERROR(__xludf.DUMMYFUNCTION("""COMPUTED_VALUE"""),43.0)</f>
        <v>43</v>
      </c>
      <c r="I36" s="1">
        <f>IFERROR(__xludf.DUMMYFUNCTION("""COMPUTED_VALUE"""),88.0)</f>
        <v>88</v>
      </c>
      <c r="J36" s="1">
        <f>IFERROR(__xludf.DUMMYFUNCTION("""COMPUTED_VALUE"""),55.0)</f>
        <v>55</v>
      </c>
      <c r="K36" s="1">
        <f>IFERROR(__xludf.DUMMYFUNCTION("""COMPUTED_VALUE"""),56.0)</f>
        <v>56</v>
      </c>
      <c r="L36" s="1">
        <f>IFERROR(__xludf.DUMMYFUNCTION("""COMPUTED_VALUE"""),338.0)</f>
        <v>338</v>
      </c>
      <c r="M36" s="1">
        <f>IFERROR(__xludf.DUMMYFUNCTION("""COMPUTED_VALUE"""),67.6)</f>
        <v>67.6</v>
      </c>
      <c r="N36" s="1">
        <f>IFERROR(__xludf.DUMMYFUNCTION("""COMPUTED_VALUE"""),93.0)</f>
        <v>93</v>
      </c>
      <c r="O36" s="1" t="str">
        <f>IFERROR(__xludf.DUMMYFUNCTION("""COMPUTED_VALUE"""),"Pass")</f>
        <v>Pass</v>
      </c>
    </row>
    <row r="37" ht="15.75" customHeight="1">
      <c r="A37" s="1" t="str">
        <f>IFERROR(__xludf.DUMMYFUNCTION("""COMPUTED_VALUE"""),"STD-1086")</f>
        <v>STD-1086</v>
      </c>
      <c r="B37" s="1" t="str">
        <f>IFERROR(__xludf.DUMMYFUNCTION("""COMPUTED_VALUE"""),"Sai Yadav")</f>
        <v>Sai Yadav</v>
      </c>
      <c r="C37" s="1" t="str">
        <f>IFERROR(__xludf.DUMMYFUNCTION("""COMPUTED_VALUE"""),"Male")</f>
        <v>Male</v>
      </c>
      <c r="D37" s="1" t="str">
        <f>IFERROR(__xludf.DUMMYFUNCTION("""COMPUTED_VALUE"""),"9")</f>
        <v>9</v>
      </c>
      <c r="E37" s="1" t="str">
        <f>IFERROR(__xludf.DUMMYFUNCTION("""COMPUTED_VALUE"""),"B")</f>
        <v>B</v>
      </c>
      <c r="F37" s="1" t="str">
        <f>IFERROR(__xludf.DUMMYFUNCTION("""COMPUTED_VALUE"""),"Kolkata")</f>
        <v>Kolkata</v>
      </c>
      <c r="G37" s="1">
        <f>IFERROR(__xludf.DUMMYFUNCTION("""COMPUTED_VALUE"""),84.0)</f>
        <v>84</v>
      </c>
      <c r="H37" s="1">
        <f>IFERROR(__xludf.DUMMYFUNCTION("""COMPUTED_VALUE"""),91.0)</f>
        <v>91</v>
      </c>
      <c r="I37" s="1">
        <f>IFERROR(__xludf.DUMMYFUNCTION("""COMPUTED_VALUE"""),97.0)</f>
        <v>97</v>
      </c>
      <c r="J37" s="1">
        <f>IFERROR(__xludf.DUMMYFUNCTION("""COMPUTED_VALUE"""),73.0)</f>
        <v>73</v>
      </c>
      <c r="K37" s="1">
        <f>IFERROR(__xludf.DUMMYFUNCTION("""COMPUTED_VALUE"""),53.0)</f>
        <v>53</v>
      </c>
      <c r="L37" s="1">
        <f>IFERROR(__xludf.DUMMYFUNCTION("""COMPUTED_VALUE"""),398.0)</f>
        <v>398</v>
      </c>
      <c r="M37" s="1">
        <f>IFERROR(__xludf.DUMMYFUNCTION("""COMPUTED_VALUE"""),79.6)</f>
        <v>79.6</v>
      </c>
      <c r="N37" s="1">
        <f>IFERROR(__xludf.DUMMYFUNCTION("""COMPUTED_VALUE"""),60.0)</f>
        <v>60</v>
      </c>
      <c r="O37" s="1" t="str">
        <f>IFERROR(__xludf.DUMMYFUNCTION("""COMPUTED_VALUE"""),"Pass")</f>
        <v>Pass</v>
      </c>
    </row>
    <row r="38" ht="15.75" customHeight="1">
      <c r="A38" s="1" t="str">
        <f>IFERROR(__xludf.DUMMYFUNCTION("""COMPUTED_VALUE"""),"STD-1087")</f>
        <v>STD-1087</v>
      </c>
      <c r="B38" s="1" t="str">
        <f>IFERROR(__xludf.DUMMYFUNCTION("""COMPUTED_VALUE"""),"Simran Verma")</f>
        <v>Simran Verma</v>
      </c>
      <c r="C38" s="1" t="str">
        <f>IFERROR(__xludf.DUMMYFUNCTION("""COMPUTED_VALUE"""),"Female")</f>
        <v>Female</v>
      </c>
      <c r="D38" s="1" t="str">
        <f>IFERROR(__xludf.DUMMYFUNCTION("""COMPUTED_VALUE"""),"6")</f>
        <v>6</v>
      </c>
      <c r="E38" s="1" t="str">
        <f>IFERROR(__xludf.DUMMYFUNCTION("""COMPUTED_VALUE"""),"B")</f>
        <v>B</v>
      </c>
      <c r="F38" s="1" t="str">
        <f>IFERROR(__xludf.DUMMYFUNCTION("""COMPUTED_VALUE"""),"Delhi")</f>
        <v>Delhi</v>
      </c>
      <c r="G38" s="1">
        <f>IFERROR(__xludf.DUMMYFUNCTION("""COMPUTED_VALUE"""),85.0)</f>
        <v>85</v>
      </c>
      <c r="H38" s="1">
        <f>IFERROR(__xludf.DUMMYFUNCTION("""COMPUTED_VALUE"""),42.0)</f>
        <v>42</v>
      </c>
      <c r="I38" s="1">
        <f>IFERROR(__xludf.DUMMYFUNCTION("""COMPUTED_VALUE"""),72.0)</f>
        <v>72</v>
      </c>
      <c r="J38" s="1">
        <f>IFERROR(__xludf.DUMMYFUNCTION("""COMPUTED_VALUE"""),60.0)</f>
        <v>60</v>
      </c>
      <c r="K38" s="1">
        <f>IFERROR(__xludf.DUMMYFUNCTION("""COMPUTED_VALUE"""),81.0)</f>
        <v>81</v>
      </c>
      <c r="L38" s="1">
        <f>IFERROR(__xludf.DUMMYFUNCTION("""COMPUTED_VALUE"""),340.0)</f>
        <v>340</v>
      </c>
      <c r="M38" s="1">
        <f>IFERROR(__xludf.DUMMYFUNCTION("""COMPUTED_VALUE"""),68.0)</f>
        <v>68</v>
      </c>
      <c r="N38" s="1">
        <f>IFERROR(__xludf.DUMMYFUNCTION("""COMPUTED_VALUE"""),84.0)</f>
        <v>84</v>
      </c>
      <c r="O38" s="1" t="str">
        <f>IFERROR(__xludf.DUMMYFUNCTION("""COMPUTED_VALUE"""),"Pass")</f>
        <v>Pass</v>
      </c>
    </row>
    <row r="39" ht="15.75" customHeight="1">
      <c r="A39" s="1" t="str">
        <f>IFERROR(__xludf.DUMMYFUNCTION("""COMPUTED_VALUE"""),"STD-1088")</f>
        <v>STD-1088</v>
      </c>
      <c r="B39" s="1" t="str">
        <f>IFERROR(__xludf.DUMMYFUNCTION("""COMPUTED_VALUE"""),"Pooja Kulkarni")</f>
        <v>Pooja Kulkarni</v>
      </c>
      <c r="C39" s="1" t="str">
        <f>IFERROR(__xludf.DUMMYFUNCTION("""COMPUTED_VALUE"""),"Female")</f>
        <v>Female</v>
      </c>
      <c r="D39" s="1" t="str">
        <f>IFERROR(__xludf.DUMMYFUNCTION("""COMPUTED_VALUE"""),"6")</f>
        <v>6</v>
      </c>
      <c r="E39" s="1" t="str">
        <f>IFERROR(__xludf.DUMMYFUNCTION("""COMPUTED_VALUE"""),"B")</f>
        <v>B</v>
      </c>
      <c r="F39" s="1" t="str">
        <f>IFERROR(__xludf.DUMMYFUNCTION("""COMPUTED_VALUE"""),"Delhi")</f>
        <v>Delhi</v>
      </c>
      <c r="G39" s="1">
        <f>IFERROR(__xludf.DUMMYFUNCTION("""COMPUTED_VALUE"""),84.0)</f>
        <v>84</v>
      </c>
      <c r="H39" s="1">
        <f>IFERROR(__xludf.DUMMYFUNCTION("""COMPUTED_VALUE"""),80.0)</f>
        <v>80</v>
      </c>
      <c r="I39" s="1">
        <f>IFERROR(__xludf.DUMMYFUNCTION("""COMPUTED_VALUE"""),58.0)</f>
        <v>58</v>
      </c>
      <c r="J39" s="1">
        <f>IFERROR(__xludf.DUMMYFUNCTION("""COMPUTED_VALUE"""),88.0)</f>
        <v>88</v>
      </c>
      <c r="K39" s="1">
        <f>IFERROR(__xludf.DUMMYFUNCTION("""COMPUTED_VALUE"""),90.0)</f>
        <v>90</v>
      </c>
      <c r="L39" s="1">
        <f>IFERROR(__xludf.DUMMYFUNCTION("""COMPUTED_VALUE"""),400.0)</f>
        <v>400</v>
      </c>
      <c r="M39" s="1">
        <f>IFERROR(__xludf.DUMMYFUNCTION("""COMPUTED_VALUE"""),80.0)</f>
        <v>80</v>
      </c>
      <c r="N39" s="1">
        <f>IFERROR(__xludf.DUMMYFUNCTION("""COMPUTED_VALUE"""),63.0)</f>
        <v>63</v>
      </c>
      <c r="O39" s="1" t="str">
        <f>IFERROR(__xludf.DUMMYFUNCTION("""COMPUTED_VALUE"""),"Pass")</f>
        <v>Pass</v>
      </c>
    </row>
    <row r="40" ht="15.75" customHeight="1">
      <c r="A40" s="1" t="str">
        <f>IFERROR(__xludf.DUMMYFUNCTION("""COMPUTED_VALUE"""),"STD-1090")</f>
        <v>STD-1090</v>
      </c>
      <c r="B40" s="1" t="str">
        <f>IFERROR(__xludf.DUMMYFUNCTION("""COMPUTED_VALUE"""),"Rahul Reddy")</f>
        <v>Rahul Reddy</v>
      </c>
      <c r="C40" s="1" t="str">
        <f>IFERROR(__xludf.DUMMYFUNCTION("""COMPUTED_VALUE"""),"Male")</f>
        <v>Male</v>
      </c>
      <c r="D40" s="1" t="str">
        <f>IFERROR(__xludf.DUMMYFUNCTION("""COMPUTED_VALUE"""),"10")</f>
        <v>10</v>
      </c>
      <c r="E40" s="1" t="str">
        <f>IFERROR(__xludf.DUMMYFUNCTION("""COMPUTED_VALUE"""),"C")</f>
        <v>C</v>
      </c>
      <c r="F40" s="1" t="str">
        <f>IFERROR(__xludf.DUMMYFUNCTION("""COMPUTED_VALUE"""),"Jaipur")</f>
        <v>Jaipur</v>
      </c>
      <c r="G40" s="1">
        <f>IFERROR(__xludf.DUMMYFUNCTION("""COMPUTED_VALUE"""),85.0)</f>
        <v>85</v>
      </c>
      <c r="H40" s="1">
        <f>IFERROR(__xludf.DUMMYFUNCTION("""COMPUTED_VALUE"""),68.0)</f>
        <v>68</v>
      </c>
      <c r="I40" s="1">
        <f>IFERROR(__xludf.DUMMYFUNCTION("""COMPUTED_VALUE"""),41.0)</f>
        <v>41</v>
      </c>
      <c r="J40" s="1">
        <f>IFERROR(__xludf.DUMMYFUNCTION("""COMPUTED_VALUE"""),88.0)</f>
        <v>88</v>
      </c>
      <c r="K40" s="1">
        <f>IFERROR(__xludf.DUMMYFUNCTION("""COMPUTED_VALUE"""),75.0)</f>
        <v>75</v>
      </c>
      <c r="L40" s="1">
        <f>IFERROR(__xludf.DUMMYFUNCTION("""COMPUTED_VALUE"""),357.0)</f>
        <v>357</v>
      </c>
      <c r="M40" s="1">
        <f>IFERROR(__xludf.DUMMYFUNCTION("""COMPUTED_VALUE"""),71.4)</f>
        <v>71.4</v>
      </c>
      <c r="N40" s="1">
        <f>IFERROR(__xludf.DUMMYFUNCTION("""COMPUTED_VALUE"""),91.0)</f>
        <v>91</v>
      </c>
      <c r="O40" s="1" t="str">
        <f>IFERROR(__xludf.DUMMYFUNCTION("""COMPUTED_VALUE"""),"Pass")</f>
        <v>Pass</v>
      </c>
    </row>
    <row r="41" ht="15.75" customHeight="1">
      <c r="A41" s="1" t="str">
        <f>IFERROR(__xludf.DUMMYFUNCTION("""COMPUTED_VALUE"""),"STD-1098")</f>
        <v>STD-1098</v>
      </c>
      <c r="B41" s="1" t="str">
        <f>IFERROR(__xludf.DUMMYFUNCTION("""COMPUTED_VALUE"""),"Arjun Banerjee")</f>
        <v>Arjun Banerjee</v>
      </c>
      <c r="C41" s="1" t="str">
        <f>IFERROR(__xludf.DUMMYFUNCTION("""COMPUTED_VALUE"""),"Male")</f>
        <v>Male</v>
      </c>
      <c r="D41" s="1" t="str">
        <f>IFERROR(__xludf.DUMMYFUNCTION("""COMPUTED_VALUE"""),"7")</f>
        <v>7</v>
      </c>
      <c r="E41" s="1" t="str">
        <f>IFERROR(__xludf.DUMMYFUNCTION("""COMPUTED_VALUE"""),"B")</f>
        <v>B</v>
      </c>
      <c r="F41" s="1" t="str">
        <f>IFERROR(__xludf.DUMMYFUNCTION("""COMPUTED_VALUE"""),"Lucknow")</f>
        <v>Lucknow</v>
      </c>
      <c r="G41" s="1">
        <f>IFERROR(__xludf.DUMMYFUNCTION("""COMPUTED_VALUE"""),87.0)</f>
        <v>87</v>
      </c>
      <c r="H41" s="1">
        <f>IFERROR(__xludf.DUMMYFUNCTION("""COMPUTED_VALUE"""),62.0)</f>
        <v>62</v>
      </c>
      <c r="I41" s="1">
        <f>IFERROR(__xludf.DUMMYFUNCTION("""COMPUTED_VALUE"""),91.0)</f>
        <v>91</v>
      </c>
      <c r="J41" s="1">
        <f>IFERROR(__xludf.DUMMYFUNCTION("""COMPUTED_VALUE"""),94.0)</f>
        <v>94</v>
      </c>
      <c r="K41" s="1">
        <f>IFERROR(__xludf.DUMMYFUNCTION("""COMPUTED_VALUE"""),68.0)</f>
        <v>68</v>
      </c>
      <c r="L41" s="1">
        <f>IFERROR(__xludf.DUMMYFUNCTION("""COMPUTED_VALUE"""),402.0)</f>
        <v>402</v>
      </c>
      <c r="M41" s="1">
        <f>IFERROR(__xludf.DUMMYFUNCTION("""COMPUTED_VALUE"""),80.4)</f>
        <v>80.4</v>
      </c>
      <c r="N41" s="1">
        <f>IFERROR(__xludf.DUMMYFUNCTION("""COMPUTED_VALUE"""),89.0)</f>
        <v>89</v>
      </c>
      <c r="O41" s="1" t="str">
        <f>IFERROR(__xludf.DUMMYFUNCTION("""COMPUTED_VALUE"""),"Pass")</f>
        <v>Pass</v>
      </c>
    </row>
    <row r="42" ht="15.75" customHeight="1">
      <c r="A42" s="1" t="str">
        <f>IFERROR(__xludf.DUMMYFUNCTION("""COMPUTED_VALUE"""),"STD-1099")</f>
        <v>STD-1099</v>
      </c>
      <c r="B42" s="1" t="str">
        <f>IFERROR(__xludf.DUMMYFUNCTION("""COMPUTED_VALUE"""),"Sneha Iyer")</f>
        <v>Sneha Iyer</v>
      </c>
      <c r="C42" s="1" t="str">
        <f>IFERROR(__xludf.DUMMYFUNCTION("""COMPUTED_VALUE"""),"Male")</f>
        <v>Male</v>
      </c>
      <c r="D42" s="1" t="str">
        <f>IFERROR(__xludf.DUMMYFUNCTION("""COMPUTED_VALUE"""),"9")</f>
        <v>9</v>
      </c>
      <c r="E42" s="1" t="str">
        <f>IFERROR(__xludf.DUMMYFUNCTION("""COMPUTED_VALUE"""),"C")</f>
        <v>C</v>
      </c>
      <c r="F42" s="1" t="str">
        <f>IFERROR(__xludf.DUMMYFUNCTION("""COMPUTED_VALUE"""),"Jaipur")</f>
        <v>Jaipur</v>
      </c>
      <c r="G42" s="1">
        <f>IFERROR(__xludf.DUMMYFUNCTION("""COMPUTED_VALUE"""),100.0)</f>
        <v>100</v>
      </c>
      <c r="H42" s="1">
        <f>IFERROR(__xludf.DUMMYFUNCTION("""COMPUTED_VALUE"""),100.0)</f>
        <v>100</v>
      </c>
      <c r="I42" s="1">
        <f>IFERROR(__xludf.DUMMYFUNCTION("""COMPUTED_VALUE"""),53.0)</f>
        <v>53</v>
      </c>
      <c r="J42" s="1">
        <f>IFERROR(__xludf.DUMMYFUNCTION("""COMPUTED_VALUE"""),42.0)</f>
        <v>42</v>
      </c>
      <c r="K42" s="1">
        <f>IFERROR(__xludf.DUMMYFUNCTION("""COMPUTED_VALUE"""),65.0)</f>
        <v>65</v>
      </c>
      <c r="L42" s="1">
        <f>IFERROR(__xludf.DUMMYFUNCTION("""COMPUTED_VALUE"""),360.0)</f>
        <v>360</v>
      </c>
      <c r="M42" s="1">
        <f>IFERROR(__xludf.DUMMYFUNCTION("""COMPUTED_VALUE"""),72.0)</f>
        <v>72</v>
      </c>
      <c r="N42" s="1">
        <f>IFERROR(__xludf.DUMMYFUNCTION("""COMPUTED_VALUE"""),96.0)</f>
        <v>96</v>
      </c>
      <c r="O42" s="1" t="str">
        <f>IFERROR(__xludf.DUMMYFUNCTION("""COMPUTED_VALUE"""),"Pass")</f>
        <v>Pass</v>
      </c>
    </row>
    <row r="43" ht="15.75" customHeight="1">
      <c r="A43" s="1" t="str">
        <f>IFERROR(__xludf.DUMMYFUNCTION("""COMPUTED_VALUE"""),"STD-1101")</f>
        <v>STD-1101</v>
      </c>
      <c r="B43" s="1" t="str">
        <f>IFERROR(__xludf.DUMMYFUNCTION("""COMPUTED_VALUE"""),"Meera Choudhary")</f>
        <v>Meera Choudhary</v>
      </c>
      <c r="C43" s="1" t="str">
        <f>IFERROR(__xludf.DUMMYFUNCTION("""COMPUTED_VALUE"""),"Female")</f>
        <v>Female</v>
      </c>
      <c r="D43" s="1" t="str">
        <f>IFERROR(__xludf.DUMMYFUNCTION("""COMPUTED_VALUE"""),"7")</f>
        <v>7</v>
      </c>
      <c r="E43" s="1" t="str">
        <f>IFERROR(__xludf.DUMMYFUNCTION("""COMPUTED_VALUE"""),"B")</f>
        <v>B</v>
      </c>
      <c r="F43" s="1" t="str">
        <f>IFERROR(__xludf.DUMMYFUNCTION("""COMPUTED_VALUE"""),"Jaipur")</f>
        <v>Jaipur</v>
      </c>
      <c r="G43" s="1">
        <f>IFERROR(__xludf.DUMMYFUNCTION("""COMPUTED_VALUE"""),76.0)</f>
        <v>76</v>
      </c>
      <c r="H43" s="1">
        <f>IFERROR(__xludf.DUMMYFUNCTION("""COMPUTED_VALUE"""),47.0)</f>
        <v>47</v>
      </c>
      <c r="I43" s="1">
        <f>IFERROR(__xludf.DUMMYFUNCTION("""COMPUTED_VALUE"""),52.0)</f>
        <v>52</v>
      </c>
      <c r="J43" s="1">
        <f>IFERROR(__xludf.DUMMYFUNCTION("""COMPUTED_VALUE"""),68.0)</f>
        <v>68</v>
      </c>
      <c r="K43" s="1">
        <f>IFERROR(__xludf.DUMMYFUNCTION("""COMPUTED_VALUE"""),65.0)</f>
        <v>65</v>
      </c>
      <c r="L43" s="1">
        <f>IFERROR(__xludf.DUMMYFUNCTION("""COMPUTED_VALUE"""),308.0)</f>
        <v>308</v>
      </c>
      <c r="M43" s="1">
        <f>IFERROR(__xludf.DUMMYFUNCTION("""COMPUTED_VALUE"""),61.6)</f>
        <v>61.6</v>
      </c>
      <c r="N43" s="1">
        <f>IFERROR(__xludf.DUMMYFUNCTION("""COMPUTED_VALUE"""),77.0)</f>
        <v>77</v>
      </c>
      <c r="O43" s="1" t="str">
        <f>IFERROR(__xludf.DUMMYFUNCTION("""COMPUTED_VALUE"""),"Pass")</f>
        <v>Pass</v>
      </c>
    </row>
    <row r="44" ht="15.75" customHeight="1">
      <c r="A44" s="1" t="str">
        <f>IFERROR(__xludf.DUMMYFUNCTION("""COMPUTED_VALUE"""),"STD-1102")</f>
        <v>STD-1102</v>
      </c>
      <c r="B44" s="1" t="str">
        <f>IFERROR(__xludf.DUMMYFUNCTION("""COMPUTED_VALUE"""),"Meera Kaur")</f>
        <v>Meera Kaur</v>
      </c>
      <c r="C44" s="1" t="str">
        <f>IFERROR(__xludf.DUMMYFUNCTION("""COMPUTED_VALUE"""),"Male")</f>
        <v>Male</v>
      </c>
      <c r="D44" s="1" t="str">
        <f>IFERROR(__xludf.DUMMYFUNCTION("""COMPUTED_VALUE"""),"9")</f>
        <v>9</v>
      </c>
      <c r="E44" s="1" t="str">
        <f>IFERROR(__xludf.DUMMYFUNCTION("""COMPUTED_VALUE"""),"C")</f>
        <v>C</v>
      </c>
      <c r="F44" s="1" t="str">
        <f>IFERROR(__xludf.DUMMYFUNCTION("""COMPUTED_VALUE"""),"Kolkata")</f>
        <v>Kolkata</v>
      </c>
      <c r="G44" s="1">
        <f>IFERROR(__xludf.DUMMYFUNCTION("""COMPUTED_VALUE"""),89.0)</f>
        <v>89</v>
      </c>
      <c r="H44" s="1">
        <f>IFERROR(__xludf.DUMMYFUNCTION("""COMPUTED_VALUE"""),68.0)</f>
        <v>68</v>
      </c>
      <c r="I44" s="1">
        <f>IFERROR(__xludf.DUMMYFUNCTION("""COMPUTED_VALUE"""),47.0)</f>
        <v>47</v>
      </c>
      <c r="J44" s="1">
        <f>IFERROR(__xludf.DUMMYFUNCTION("""COMPUTED_VALUE"""),56.0)</f>
        <v>56</v>
      </c>
      <c r="K44" s="1">
        <f>IFERROR(__xludf.DUMMYFUNCTION("""COMPUTED_VALUE"""),58.0)</f>
        <v>58</v>
      </c>
      <c r="L44" s="1">
        <f>IFERROR(__xludf.DUMMYFUNCTION("""COMPUTED_VALUE"""),318.0)</f>
        <v>318</v>
      </c>
      <c r="M44" s="1">
        <f>IFERROR(__xludf.DUMMYFUNCTION("""COMPUTED_VALUE"""),63.6)</f>
        <v>63.6</v>
      </c>
      <c r="N44" s="1">
        <f>IFERROR(__xludf.DUMMYFUNCTION("""COMPUTED_VALUE"""),71.0)</f>
        <v>71</v>
      </c>
      <c r="O44" s="1" t="str">
        <f>IFERROR(__xludf.DUMMYFUNCTION("""COMPUTED_VALUE"""),"Pass")</f>
        <v>Pass</v>
      </c>
    </row>
    <row r="45" ht="15.75" customHeight="1">
      <c r="A45" s="1" t="str">
        <f>IFERROR(__xludf.DUMMYFUNCTION("""COMPUTED_VALUE"""),"STD-1104")</f>
        <v>STD-1104</v>
      </c>
      <c r="B45" s="1" t="str">
        <f>IFERROR(__xludf.DUMMYFUNCTION("""COMPUTED_VALUE"""),"Ananya Choudhary")</f>
        <v>Ananya Choudhary</v>
      </c>
      <c r="C45" s="1" t="str">
        <f>IFERROR(__xludf.DUMMYFUNCTION("""COMPUTED_VALUE"""),"Female")</f>
        <v>Female</v>
      </c>
      <c r="D45" s="1" t="str">
        <f>IFERROR(__xludf.DUMMYFUNCTION("""COMPUTED_VALUE"""),"7")</f>
        <v>7</v>
      </c>
      <c r="E45" s="1" t="str">
        <f>IFERROR(__xludf.DUMMYFUNCTION("""COMPUTED_VALUE"""),"B")</f>
        <v>B</v>
      </c>
      <c r="F45" s="1" t="str">
        <f>IFERROR(__xludf.DUMMYFUNCTION("""COMPUTED_VALUE"""),"Mumbai")</f>
        <v>Mumbai</v>
      </c>
      <c r="G45" s="1">
        <f>IFERROR(__xludf.DUMMYFUNCTION("""COMPUTED_VALUE"""),83.0)</f>
        <v>83</v>
      </c>
      <c r="H45" s="1">
        <f>IFERROR(__xludf.DUMMYFUNCTION("""COMPUTED_VALUE"""),70.0)</f>
        <v>70</v>
      </c>
      <c r="I45" s="1">
        <f>IFERROR(__xludf.DUMMYFUNCTION("""COMPUTED_VALUE"""),57.0)</f>
        <v>57</v>
      </c>
      <c r="J45" s="1">
        <f>IFERROR(__xludf.DUMMYFUNCTION("""COMPUTED_VALUE"""),81.0)</f>
        <v>81</v>
      </c>
      <c r="K45" s="1">
        <f>IFERROR(__xludf.DUMMYFUNCTION("""COMPUTED_VALUE"""),96.0)</f>
        <v>96</v>
      </c>
      <c r="L45" s="1">
        <f>IFERROR(__xludf.DUMMYFUNCTION("""COMPUTED_VALUE"""),387.0)</f>
        <v>387</v>
      </c>
      <c r="M45" s="1">
        <f>IFERROR(__xludf.DUMMYFUNCTION("""COMPUTED_VALUE"""),77.4)</f>
        <v>77.4</v>
      </c>
      <c r="N45" s="1">
        <f>IFERROR(__xludf.DUMMYFUNCTION("""COMPUTED_VALUE"""),62.0)</f>
        <v>62</v>
      </c>
      <c r="O45" s="1" t="str">
        <f>IFERROR(__xludf.DUMMYFUNCTION("""COMPUTED_VALUE"""),"Pass")</f>
        <v>Pass</v>
      </c>
    </row>
    <row r="46" ht="15.75" customHeight="1">
      <c r="A46" s="1" t="str">
        <f>IFERROR(__xludf.DUMMYFUNCTION("""COMPUTED_VALUE"""),"STD-1107")</f>
        <v>STD-1107</v>
      </c>
      <c r="B46" s="1" t="str">
        <f>IFERROR(__xludf.DUMMYFUNCTION("""COMPUTED_VALUE"""),"Vivaan Reddy")</f>
        <v>Vivaan Reddy</v>
      </c>
      <c r="C46" s="1" t="str">
        <f>IFERROR(__xludf.DUMMYFUNCTION("""COMPUTED_VALUE"""),"Female")</f>
        <v>Female</v>
      </c>
      <c r="D46" s="1" t="str">
        <f>IFERROR(__xludf.DUMMYFUNCTION("""COMPUTED_VALUE"""),"10")</f>
        <v>10</v>
      </c>
      <c r="E46" s="1" t="str">
        <f>IFERROR(__xludf.DUMMYFUNCTION("""COMPUTED_VALUE"""),"B")</f>
        <v>B</v>
      </c>
      <c r="F46" s="1" t="str">
        <f>IFERROR(__xludf.DUMMYFUNCTION("""COMPUTED_VALUE"""),"Chandigarh")</f>
        <v>Chandigarh</v>
      </c>
      <c r="G46" s="1">
        <f>IFERROR(__xludf.DUMMYFUNCTION("""COMPUTED_VALUE"""),93.0)</f>
        <v>93</v>
      </c>
      <c r="H46" s="1">
        <f>IFERROR(__xludf.DUMMYFUNCTION("""COMPUTED_VALUE"""),68.0)</f>
        <v>68</v>
      </c>
      <c r="I46" s="1">
        <f>IFERROR(__xludf.DUMMYFUNCTION("""COMPUTED_VALUE"""),70.0)</f>
        <v>70</v>
      </c>
      <c r="J46" s="1">
        <f>IFERROR(__xludf.DUMMYFUNCTION("""COMPUTED_VALUE"""),67.0)</f>
        <v>67</v>
      </c>
      <c r="K46" s="1">
        <f>IFERROR(__xludf.DUMMYFUNCTION("""COMPUTED_VALUE"""),96.0)</f>
        <v>96</v>
      </c>
      <c r="L46" s="1">
        <f>IFERROR(__xludf.DUMMYFUNCTION("""COMPUTED_VALUE"""),394.0)</f>
        <v>394</v>
      </c>
      <c r="M46" s="1">
        <f>IFERROR(__xludf.DUMMYFUNCTION("""COMPUTED_VALUE"""),78.8)</f>
        <v>78.8</v>
      </c>
      <c r="N46" s="1">
        <f>IFERROR(__xludf.DUMMYFUNCTION("""COMPUTED_VALUE"""),71.0)</f>
        <v>71</v>
      </c>
      <c r="O46" s="1" t="str">
        <f>IFERROR(__xludf.DUMMYFUNCTION("""COMPUTED_VALUE"""),"Pass")</f>
        <v>Pass</v>
      </c>
    </row>
    <row r="47" ht="15.75" customHeight="1">
      <c r="A47" s="1" t="str">
        <f>IFERROR(__xludf.DUMMYFUNCTION("""COMPUTED_VALUE"""),"STD-1111")</f>
        <v>STD-1111</v>
      </c>
      <c r="B47" s="1" t="str">
        <f>IFERROR(__xludf.DUMMYFUNCTION("""COMPUTED_VALUE"""),"Neha Singh")</f>
        <v>Neha Singh</v>
      </c>
      <c r="C47" s="1" t="str">
        <f>IFERROR(__xludf.DUMMYFUNCTION("""COMPUTED_VALUE"""),"Female")</f>
        <v>Female</v>
      </c>
      <c r="D47" s="1" t="str">
        <f>IFERROR(__xludf.DUMMYFUNCTION("""COMPUTED_VALUE"""),"6")</f>
        <v>6</v>
      </c>
      <c r="E47" s="1" t="str">
        <f>IFERROR(__xludf.DUMMYFUNCTION("""COMPUTED_VALUE"""),"B")</f>
        <v>B</v>
      </c>
      <c r="F47" s="1" t="str">
        <f>IFERROR(__xludf.DUMMYFUNCTION("""COMPUTED_VALUE"""),"Bhopal")</f>
        <v>Bhopal</v>
      </c>
      <c r="G47" s="1">
        <f>IFERROR(__xludf.DUMMYFUNCTION("""COMPUTED_VALUE"""),88.0)</f>
        <v>88</v>
      </c>
      <c r="H47" s="1">
        <f>IFERROR(__xludf.DUMMYFUNCTION("""COMPUTED_VALUE"""),89.0)</f>
        <v>89</v>
      </c>
      <c r="I47" s="1">
        <f>IFERROR(__xludf.DUMMYFUNCTION("""COMPUTED_VALUE"""),72.0)</f>
        <v>72</v>
      </c>
      <c r="J47" s="1">
        <f>IFERROR(__xludf.DUMMYFUNCTION("""COMPUTED_VALUE"""),42.0)</f>
        <v>42</v>
      </c>
      <c r="K47" s="1">
        <f>IFERROR(__xludf.DUMMYFUNCTION("""COMPUTED_VALUE"""),74.0)</f>
        <v>74</v>
      </c>
      <c r="L47" s="1">
        <f>IFERROR(__xludf.DUMMYFUNCTION("""COMPUTED_VALUE"""),365.0)</f>
        <v>365</v>
      </c>
      <c r="M47" s="1">
        <f>IFERROR(__xludf.DUMMYFUNCTION("""COMPUTED_VALUE"""),73.0)</f>
        <v>73</v>
      </c>
      <c r="N47" s="1">
        <f>IFERROR(__xludf.DUMMYFUNCTION("""COMPUTED_VALUE"""),64.0)</f>
        <v>64</v>
      </c>
      <c r="O47" s="1" t="str">
        <f>IFERROR(__xludf.DUMMYFUNCTION("""COMPUTED_VALUE"""),"Pass")</f>
        <v>Pass</v>
      </c>
    </row>
    <row r="48" ht="15.75" customHeight="1">
      <c r="A48" s="1" t="str">
        <f>IFERROR(__xludf.DUMMYFUNCTION("""COMPUTED_VALUE"""),"STD-1112")</f>
        <v>STD-1112</v>
      </c>
      <c r="B48" s="1" t="str">
        <f>IFERROR(__xludf.DUMMYFUNCTION("""COMPUTED_VALUE"""),"Meera Yadav")</f>
        <v>Meera Yadav</v>
      </c>
      <c r="C48" s="1" t="str">
        <f>IFERROR(__xludf.DUMMYFUNCTION("""COMPUTED_VALUE"""),"Male")</f>
        <v>Male</v>
      </c>
      <c r="D48" s="1" t="str">
        <f>IFERROR(__xludf.DUMMYFUNCTION("""COMPUTED_VALUE"""),"8")</f>
        <v>8</v>
      </c>
      <c r="E48" s="1" t="str">
        <f>IFERROR(__xludf.DUMMYFUNCTION("""COMPUTED_VALUE"""),"A")</f>
        <v>A</v>
      </c>
      <c r="F48" s="1" t="str">
        <f>IFERROR(__xludf.DUMMYFUNCTION("""COMPUTED_VALUE"""),"Patna")</f>
        <v>Patna</v>
      </c>
      <c r="G48" s="1">
        <f>IFERROR(__xludf.DUMMYFUNCTION("""COMPUTED_VALUE"""),83.0)</f>
        <v>83</v>
      </c>
      <c r="H48" s="1">
        <f>IFERROR(__xludf.DUMMYFUNCTION("""COMPUTED_VALUE"""),42.0)</f>
        <v>42</v>
      </c>
      <c r="I48" s="1">
        <f>IFERROR(__xludf.DUMMYFUNCTION("""COMPUTED_VALUE"""),62.0)</f>
        <v>62</v>
      </c>
      <c r="J48" s="1">
        <f>IFERROR(__xludf.DUMMYFUNCTION("""COMPUTED_VALUE"""),42.0)</f>
        <v>42</v>
      </c>
      <c r="K48" s="1">
        <f>IFERROR(__xludf.DUMMYFUNCTION("""COMPUTED_VALUE"""),50.0)</f>
        <v>50</v>
      </c>
      <c r="L48" s="1">
        <f>IFERROR(__xludf.DUMMYFUNCTION("""COMPUTED_VALUE"""),279.0)</f>
        <v>279</v>
      </c>
      <c r="M48" s="1">
        <f>IFERROR(__xludf.DUMMYFUNCTION("""COMPUTED_VALUE"""),55.8)</f>
        <v>55.8</v>
      </c>
      <c r="N48" s="1">
        <f>IFERROR(__xludf.DUMMYFUNCTION("""COMPUTED_VALUE"""),78.0)</f>
        <v>78</v>
      </c>
      <c r="O48" s="1" t="str">
        <f>IFERROR(__xludf.DUMMYFUNCTION("""COMPUTED_VALUE"""),"Pass")</f>
        <v>Pass</v>
      </c>
    </row>
    <row r="49" ht="15.75" customHeight="1">
      <c r="A49" s="1" t="str">
        <f>IFERROR(__xludf.DUMMYFUNCTION("""COMPUTED_VALUE"""),"STD-1121")</f>
        <v>STD-1121</v>
      </c>
      <c r="B49" s="1" t="str">
        <f>IFERROR(__xludf.DUMMYFUNCTION("""COMPUTED_VALUE"""),"Rohan Gupta")</f>
        <v>Rohan Gupta</v>
      </c>
      <c r="C49" s="1" t="str">
        <f>IFERROR(__xludf.DUMMYFUNCTION("""COMPUTED_VALUE"""),"Female")</f>
        <v>Female</v>
      </c>
      <c r="D49" s="1" t="str">
        <f>IFERROR(__xludf.DUMMYFUNCTION("""COMPUTED_VALUE"""),"7")</f>
        <v>7</v>
      </c>
      <c r="E49" s="1" t="str">
        <f>IFERROR(__xludf.DUMMYFUNCTION("""COMPUTED_VALUE"""),"A")</f>
        <v>A</v>
      </c>
      <c r="F49" s="1" t="str">
        <f>IFERROR(__xludf.DUMMYFUNCTION("""COMPUTED_VALUE"""),"Jaipur")</f>
        <v>Jaipur</v>
      </c>
      <c r="G49" s="1">
        <f>IFERROR(__xludf.DUMMYFUNCTION("""COMPUTED_VALUE"""),84.0)</f>
        <v>84</v>
      </c>
      <c r="H49" s="1">
        <f>IFERROR(__xludf.DUMMYFUNCTION("""COMPUTED_VALUE"""),75.0)</f>
        <v>75</v>
      </c>
      <c r="I49" s="1">
        <f>IFERROR(__xludf.DUMMYFUNCTION("""COMPUTED_VALUE"""),54.0)</f>
        <v>54</v>
      </c>
      <c r="J49" s="1">
        <f>IFERROR(__xludf.DUMMYFUNCTION("""COMPUTED_VALUE"""),88.0)</f>
        <v>88</v>
      </c>
      <c r="K49" s="1">
        <f>IFERROR(__xludf.DUMMYFUNCTION("""COMPUTED_VALUE"""),88.0)</f>
        <v>88</v>
      </c>
      <c r="L49" s="1">
        <f>IFERROR(__xludf.DUMMYFUNCTION("""COMPUTED_VALUE"""),389.0)</f>
        <v>389</v>
      </c>
      <c r="M49" s="1">
        <f>IFERROR(__xludf.DUMMYFUNCTION("""COMPUTED_VALUE"""),77.8)</f>
        <v>77.8</v>
      </c>
      <c r="N49" s="1">
        <f>IFERROR(__xludf.DUMMYFUNCTION("""COMPUTED_VALUE"""),61.0)</f>
        <v>61</v>
      </c>
      <c r="O49" s="1" t="str">
        <f>IFERROR(__xludf.DUMMYFUNCTION("""COMPUTED_VALUE"""),"Pass")</f>
        <v>Pass</v>
      </c>
    </row>
    <row r="50" ht="15.75" customHeight="1">
      <c r="A50" s="1" t="str">
        <f>IFERROR(__xludf.DUMMYFUNCTION("""COMPUTED_VALUE"""),"STD-1126")</f>
        <v>STD-1126</v>
      </c>
      <c r="B50" s="1" t="str">
        <f>IFERROR(__xludf.DUMMYFUNCTION("""COMPUTED_VALUE"""),"Simran Jain")</f>
        <v>Simran Jain</v>
      </c>
      <c r="C50" s="1" t="str">
        <f>IFERROR(__xludf.DUMMYFUNCTION("""COMPUTED_VALUE"""),"Male")</f>
        <v>Male</v>
      </c>
      <c r="D50" s="1" t="str">
        <f>IFERROR(__xludf.DUMMYFUNCTION("""COMPUTED_VALUE"""),"6")</f>
        <v>6</v>
      </c>
      <c r="E50" s="1" t="str">
        <f>IFERROR(__xludf.DUMMYFUNCTION("""COMPUTED_VALUE"""),"A")</f>
        <v>A</v>
      </c>
      <c r="F50" s="1" t="str">
        <f>IFERROR(__xludf.DUMMYFUNCTION("""COMPUTED_VALUE"""),"Chandigarh")</f>
        <v>Chandigarh</v>
      </c>
      <c r="G50" s="1">
        <f>IFERROR(__xludf.DUMMYFUNCTION("""COMPUTED_VALUE"""),95.0)</f>
        <v>95</v>
      </c>
      <c r="H50" s="1">
        <f>IFERROR(__xludf.DUMMYFUNCTION("""COMPUTED_VALUE"""),58.0)</f>
        <v>58</v>
      </c>
      <c r="I50" s="1">
        <f>IFERROR(__xludf.DUMMYFUNCTION("""COMPUTED_VALUE"""),65.0)</f>
        <v>65</v>
      </c>
      <c r="J50" s="1">
        <f>IFERROR(__xludf.DUMMYFUNCTION("""COMPUTED_VALUE"""),58.0)</f>
        <v>58</v>
      </c>
      <c r="K50" s="1">
        <f>IFERROR(__xludf.DUMMYFUNCTION("""COMPUTED_VALUE"""),71.0)</f>
        <v>71</v>
      </c>
      <c r="L50" s="1">
        <f>IFERROR(__xludf.DUMMYFUNCTION("""COMPUTED_VALUE"""),347.0)</f>
        <v>347</v>
      </c>
      <c r="M50" s="1">
        <f>IFERROR(__xludf.DUMMYFUNCTION("""COMPUTED_VALUE"""),69.4)</f>
        <v>69.4</v>
      </c>
      <c r="N50" s="1">
        <f>IFERROR(__xludf.DUMMYFUNCTION("""COMPUTED_VALUE"""),63.0)</f>
        <v>63</v>
      </c>
      <c r="O50" s="1" t="str">
        <f>IFERROR(__xludf.DUMMYFUNCTION("""COMPUTED_VALUE"""),"Pass")</f>
        <v>Pass</v>
      </c>
    </row>
    <row r="51" ht="15.75" customHeight="1">
      <c r="A51" s="1" t="str">
        <f>IFERROR(__xludf.DUMMYFUNCTION("""COMPUTED_VALUE"""),"STD-1132")</f>
        <v>STD-1132</v>
      </c>
      <c r="B51" s="1" t="str">
        <f>IFERROR(__xludf.DUMMYFUNCTION("""COMPUTED_VALUE"""),"Ishita Iyer")</f>
        <v>Ishita Iyer</v>
      </c>
      <c r="C51" s="1" t="str">
        <f>IFERROR(__xludf.DUMMYFUNCTION("""COMPUTED_VALUE"""),"Male")</f>
        <v>Male</v>
      </c>
      <c r="D51" s="1" t="str">
        <f>IFERROR(__xludf.DUMMYFUNCTION("""COMPUTED_VALUE"""),"6")</f>
        <v>6</v>
      </c>
      <c r="E51" s="1" t="str">
        <f>IFERROR(__xludf.DUMMYFUNCTION("""COMPUTED_VALUE"""),"C")</f>
        <v>C</v>
      </c>
      <c r="F51" s="1" t="str">
        <f>IFERROR(__xludf.DUMMYFUNCTION("""COMPUTED_VALUE"""),"Jaipur")</f>
        <v>Jaipur</v>
      </c>
      <c r="G51" s="1">
        <f>IFERROR(__xludf.DUMMYFUNCTION("""COMPUTED_VALUE"""),93.0)</f>
        <v>93</v>
      </c>
      <c r="H51" s="1">
        <f>IFERROR(__xludf.DUMMYFUNCTION("""COMPUTED_VALUE"""),94.0)</f>
        <v>94</v>
      </c>
      <c r="I51" s="1">
        <f>IFERROR(__xludf.DUMMYFUNCTION("""COMPUTED_VALUE"""),47.0)</f>
        <v>47</v>
      </c>
      <c r="J51" s="1">
        <f>IFERROR(__xludf.DUMMYFUNCTION("""COMPUTED_VALUE"""),45.0)</f>
        <v>45</v>
      </c>
      <c r="K51" s="1">
        <f>IFERROR(__xludf.DUMMYFUNCTION("""COMPUTED_VALUE"""),54.0)</f>
        <v>54</v>
      </c>
      <c r="L51" s="1">
        <f>IFERROR(__xludf.DUMMYFUNCTION("""COMPUTED_VALUE"""),333.0)</f>
        <v>333</v>
      </c>
      <c r="M51" s="1">
        <f>IFERROR(__xludf.DUMMYFUNCTION("""COMPUTED_VALUE"""),66.6)</f>
        <v>66.6</v>
      </c>
      <c r="N51" s="1">
        <f>IFERROR(__xludf.DUMMYFUNCTION("""COMPUTED_VALUE"""),90.0)</f>
        <v>90</v>
      </c>
      <c r="O51" s="1" t="str">
        <f>IFERROR(__xludf.DUMMYFUNCTION("""COMPUTED_VALUE"""),"Pass")</f>
        <v>Pass</v>
      </c>
    </row>
    <row r="52" ht="15.75" customHeight="1">
      <c r="A52" s="1" t="str">
        <f>IFERROR(__xludf.DUMMYFUNCTION("""COMPUTED_VALUE"""),"STD-1133")</f>
        <v>STD-1133</v>
      </c>
      <c r="B52" s="1" t="str">
        <f>IFERROR(__xludf.DUMMYFUNCTION("""COMPUTED_VALUE"""),"Ananya Yadav")</f>
        <v>Ananya Yadav</v>
      </c>
      <c r="C52" s="1" t="str">
        <f>IFERROR(__xludf.DUMMYFUNCTION("""COMPUTED_VALUE"""),"Female")</f>
        <v>Female</v>
      </c>
      <c r="D52" s="1" t="str">
        <f>IFERROR(__xludf.DUMMYFUNCTION("""COMPUTED_VALUE"""),"10")</f>
        <v>10</v>
      </c>
      <c r="E52" s="1" t="str">
        <f>IFERROR(__xludf.DUMMYFUNCTION("""COMPUTED_VALUE"""),"B")</f>
        <v>B</v>
      </c>
      <c r="F52" s="1" t="str">
        <f>IFERROR(__xludf.DUMMYFUNCTION("""COMPUTED_VALUE"""),"Kolkata")</f>
        <v>Kolkata</v>
      </c>
      <c r="G52" s="1">
        <f>IFERROR(__xludf.DUMMYFUNCTION("""COMPUTED_VALUE"""),85.0)</f>
        <v>85</v>
      </c>
      <c r="H52" s="1">
        <f>IFERROR(__xludf.DUMMYFUNCTION("""COMPUTED_VALUE"""),83.0)</f>
        <v>83</v>
      </c>
      <c r="I52" s="1">
        <f>IFERROR(__xludf.DUMMYFUNCTION("""COMPUTED_VALUE"""),67.0)</f>
        <v>67</v>
      </c>
      <c r="J52" s="1">
        <f>IFERROR(__xludf.DUMMYFUNCTION("""COMPUTED_VALUE"""),87.0)</f>
        <v>87</v>
      </c>
      <c r="K52" s="1">
        <f>IFERROR(__xludf.DUMMYFUNCTION("""COMPUTED_VALUE"""),71.0)</f>
        <v>71</v>
      </c>
      <c r="L52" s="1">
        <f>IFERROR(__xludf.DUMMYFUNCTION("""COMPUTED_VALUE"""),393.0)</f>
        <v>393</v>
      </c>
      <c r="M52" s="1">
        <f>IFERROR(__xludf.DUMMYFUNCTION("""COMPUTED_VALUE"""),78.6)</f>
        <v>78.6</v>
      </c>
      <c r="N52" s="1">
        <f>IFERROR(__xludf.DUMMYFUNCTION("""COMPUTED_VALUE"""),66.0)</f>
        <v>66</v>
      </c>
      <c r="O52" s="1" t="str">
        <f>IFERROR(__xludf.DUMMYFUNCTION("""COMPUTED_VALUE"""),"Pass")</f>
        <v>Pass</v>
      </c>
    </row>
    <row r="53" ht="15.75" customHeight="1">
      <c r="A53" s="1" t="str">
        <f>IFERROR(__xludf.DUMMYFUNCTION("""COMPUTED_VALUE"""),"STD-1134")</f>
        <v>STD-1134</v>
      </c>
      <c r="B53" s="1" t="str">
        <f>IFERROR(__xludf.DUMMYFUNCTION("""COMPUTED_VALUE"""),"Aarav Gupta")</f>
        <v>Aarav Gupta</v>
      </c>
      <c r="C53" s="1" t="str">
        <f>IFERROR(__xludf.DUMMYFUNCTION("""COMPUTED_VALUE"""),"Female")</f>
        <v>Female</v>
      </c>
      <c r="D53" s="1" t="str">
        <f>IFERROR(__xludf.DUMMYFUNCTION("""COMPUTED_VALUE"""),"9")</f>
        <v>9</v>
      </c>
      <c r="E53" s="1" t="str">
        <f>IFERROR(__xludf.DUMMYFUNCTION("""COMPUTED_VALUE"""),"C")</f>
        <v>C</v>
      </c>
      <c r="F53" s="1" t="str">
        <f>IFERROR(__xludf.DUMMYFUNCTION("""COMPUTED_VALUE"""),"Lucknow")</f>
        <v>Lucknow</v>
      </c>
      <c r="G53" s="1">
        <f>IFERROR(__xludf.DUMMYFUNCTION("""COMPUTED_VALUE"""),85.0)</f>
        <v>85</v>
      </c>
      <c r="H53" s="1">
        <f>IFERROR(__xludf.DUMMYFUNCTION("""COMPUTED_VALUE"""),83.0)</f>
        <v>83</v>
      </c>
      <c r="I53" s="1">
        <f>IFERROR(__xludf.DUMMYFUNCTION("""COMPUTED_VALUE"""),91.0)</f>
        <v>91</v>
      </c>
      <c r="J53" s="1">
        <f>IFERROR(__xludf.DUMMYFUNCTION("""COMPUTED_VALUE"""),64.0)</f>
        <v>64</v>
      </c>
      <c r="K53" s="1">
        <f>IFERROR(__xludf.DUMMYFUNCTION("""COMPUTED_VALUE"""),47.0)</f>
        <v>47</v>
      </c>
      <c r="L53" s="1">
        <f>IFERROR(__xludf.DUMMYFUNCTION("""COMPUTED_VALUE"""),370.0)</f>
        <v>370</v>
      </c>
      <c r="M53" s="1">
        <f>IFERROR(__xludf.DUMMYFUNCTION("""COMPUTED_VALUE"""),74.0)</f>
        <v>74</v>
      </c>
      <c r="N53" s="1">
        <f>IFERROR(__xludf.DUMMYFUNCTION("""COMPUTED_VALUE"""),75.0)</f>
        <v>75</v>
      </c>
      <c r="O53" s="1" t="str">
        <f>IFERROR(__xludf.DUMMYFUNCTION("""COMPUTED_VALUE"""),"Pass")</f>
        <v>Pass</v>
      </c>
    </row>
    <row r="54" ht="15.75" customHeight="1">
      <c r="A54" s="1" t="str">
        <f>IFERROR(__xludf.DUMMYFUNCTION("""COMPUTED_VALUE"""),"STD-1139")</f>
        <v>STD-1139</v>
      </c>
      <c r="B54" s="1" t="str">
        <f>IFERROR(__xludf.DUMMYFUNCTION("""COMPUTED_VALUE"""),"Sai Jain")</f>
        <v>Sai Jain</v>
      </c>
      <c r="C54" s="1" t="str">
        <f>IFERROR(__xludf.DUMMYFUNCTION("""COMPUTED_VALUE"""),"Female")</f>
        <v>Female</v>
      </c>
      <c r="D54" s="1" t="str">
        <f>IFERROR(__xludf.DUMMYFUNCTION("""COMPUTED_VALUE"""),"9")</f>
        <v>9</v>
      </c>
      <c r="E54" s="1" t="str">
        <f>IFERROR(__xludf.DUMMYFUNCTION("""COMPUTED_VALUE"""),"A")</f>
        <v>A</v>
      </c>
      <c r="F54" s="1" t="str">
        <f>IFERROR(__xludf.DUMMYFUNCTION("""COMPUTED_VALUE"""),"Bhopal")</f>
        <v>Bhopal</v>
      </c>
      <c r="G54" s="1">
        <f>IFERROR(__xludf.DUMMYFUNCTION("""COMPUTED_VALUE"""),93.0)</f>
        <v>93</v>
      </c>
      <c r="H54" s="1">
        <f>IFERROR(__xludf.DUMMYFUNCTION("""COMPUTED_VALUE"""),79.0)</f>
        <v>79</v>
      </c>
      <c r="I54" s="1">
        <f>IFERROR(__xludf.DUMMYFUNCTION("""COMPUTED_VALUE"""),59.0)</f>
        <v>59</v>
      </c>
      <c r="J54" s="1">
        <f>IFERROR(__xludf.DUMMYFUNCTION("""COMPUTED_VALUE"""),56.0)</f>
        <v>56</v>
      </c>
      <c r="K54" s="1">
        <f>IFERROR(__xludf.DUMMYFUNCTION("""COMPUTED_VALUE"""),73.0)</f>
        <v>73</v>
      </c>
      <c r="L54" s="1">
        <f>IFERROR(__xludf.DUMMYFUNCTION("""COMPUTED_VALUE"""),360.0)</f>
        <v>360</v>
      </c>
      <c r="M54" s="1">
        <f>IFERROR(__xludf.DUMMYFUNCTION("""COMPUTED_VALUE"""),72.0)</f>
        <v>72</v>
      </c>
      <c r="N54" s="1">
        <f>IFERROR(__xludf.DUMMYFUNCTION("""COMPUTED_VALUE"""),63.0)</f>
        <v>63</v>
      </c>
      <c r="O54" s="1" t="str">
        <f>IFERROR(__xludf.DUMMYFUNCTION("""COMPUTED_VALUE"""),"Pass")</f>
        <v>Pass</v>
      </c>
    </row>
    <row r="55" ht="15.75" customHeight="1">
      <c r="A55" s="1" t="str">
        <f>IFERROR(__xludf.DUMMYFUNCTION("""COMPUTED_VALUE"""),"STD-1142")</f>
        <v>STD-1142</v>
      </c>
      <c r="B55" s="1" t="str">
        <f>IFERROR(__xludf.DUMMYFUNCTION("""COMPUTED_VALUE"""),"Ishita Reddy")</f>
        <v>Ishita Reddy</v>
      </c>
      <c r="C55" s="1" t="str">
        <f>IFERROR(__xludf.DUMMYFUNCTION("""COMPUTED_VALUE"""),"Male")</f>
        <v>Male</v>
      </c>
      <c r="D55" s="1" t="str">
        <f>IFERROR(__xludf.DUMMYFUNCTION("""COMPUTED_VALUE"""),"9")</f>
        <v>9</v>
      </c>
      <c r="E55" s="1" t="str">
        <f>IFERROR(__xludf.DUMMYFUNCTION("""COMPUTED_VALUE"""),"C")</f>
        <v>C</v>
      </c>
      <c r="F55" s="1" t="str">
        <f>IFERROR(__xludf.DUMMYFUNCTION("""COMPUTED_VALUE"""),"Lucknow")</f>
        <v>Lucknow</v>
      </c>
      <c r="G55" s="1">
        <f>IFERROR(__xludf.DUMMYFUNCTION("""COMPUTED_VALUE"""),85.0)</f>
        <v>85</v>
      </c>
      <c r="H55" s="1">
        <f>IFERROR(__xludf.DUMMYFUNCTION("""COMPUTED_VALUE"""),51.0)</f>
        <v>51</v>
      </c>
      <c r="I55" s="1">
        <f>IFERROR(__xludf.DUMMYFUNCTION("""COMPUTED_VALUE"""),49.0)</f>
        <v>49</v>
      </c>
      <c r="J55" s="1">
        <f>IFERROR(__xludf.DUMMYFUNCTION("""COMPUTED_VALUE"""),99.0)</f>
        <v>99</v>
      </c>
      <c r="K55" s="1">
        <f>IFERROR(__xludf.DUMMYFUNCTION("""COMPUTED_VALUE"""),79.0)</f>
        <v>79</v>
      </c>
      <c r="L55" s="1">
        <f>IFERROR(__xludf.DUMMYFUNCTION("""COMPUTED_VALUE"""),363.0)</f>
        <v>363</v>
      </c>
      <c r="M55" s="1">
        <f>IFERROR(__xludf.DUMMYFUNCTION("""COMPUTED_VALUE"""),72.6)</f>
        <v>72.6</v>
      </c>
      <c r="N55" s="1">
        <f>IFERROR(__xludf.DUMMYFUNCTION("""COMPUTED_VALUE"""),79.0)</f>
        <v>79</v>
      </c>
      <c r="O55" s="1" t="str">
        <f>IFERROR(__xludf.DUMMYFUNCTION("""COMPUTED_VALUE"""),"Pass")</f>
        <v>Pass</v>
      </c>
    </row>
    <row r="56" ht="15.75" customHeight="1">
      <c r="A56" s="1" t="str">
        <f>IFERROR(__xludf.DUMMYFUNCTION("""COMPUTED_VALUE"""),"STD-1143")</f>
        <v>STD-1143</v>
      </c>
      <c r="B56" s="1" t="str">
        <f>IFERROR(__xludf.DUMMYFUNCTION("""COMPUTED_VALUE"""),"Arjun Patel")</f>
        <v>Arjun Patel</v>
      </c>
      <c r="C56" s="1" t="str">
        <f>IFERROR(__xludf.DUMMYFUNCTION("""COMPUTED_VALUE"""),"Male")</f>
        <v>Male</v>
      </c>
      <c r="D56" s="1" t="str">
        <f>IFERROR(__xludf.DUMMYFUNCTION("""COMPUTED_VALUE"""),"7")</f>
        <v>7</v>
      </c>
      <c r="E56" s="1" t="str">
        <f>IFERROR(__xludf.DUMMYFUNCTION("""COMPUTED_VALUE"""),"A")</f>
        <v>A</v>
      </c>
      <c r="F56" s="1" t="str">
        <f>IFERROR(__xludf.DUMMYFUNCTION("""COMPUTED_VALUE"""),"Jaipur")</f>
        <v>Jaipur</v>
      </c>
      <c r="G56" s="1">
        <f>IFERROR(__xludf.DUMMYFUNCTION("""COMPUTED_VALUE"""),77.0)</f>
        <v>77</v>
      </c>
      <c r="H56" s="1">
        <f>IFERROR(__xludf.DUMMYFUNCTION("""COMPUTED_VALUE"""),48.0)</f>
        <v>48</v>
      </c>
      <c r="I56" s="1">
        <f>IFERROR(__xludf.DUMMYFUNCTION("""COMPUTED_VALUE"""),82.0)</f>
        <v>82</v>
      </c>
      <c r="J56" s="1">
        <f>IFERROR(__xludf.DUMMYFUNCTION("""COMPUTED_VALUE"""),44.0)</f>
        <v>44</v>
      </c>
      <c r="K56" s="1">
        <f>IFERROR(__xludf.DUMMYFUNCTION("""COMPUTED_VALUE"""),74.0)</f>
        <v>74</v>
      </c>
      <c r="L56" s="1">
        <f>IFERROR(__xludf.DUMMYFUNCTION("""COMPUTED_VALUE"""),325.0)</f>
        <v>325</v>
      </c>
      <c r="M56" s="1">
        <f>IFERROR(__xludf.DUMMYFUNCTION("""COMPUTED_VALUE"""),65.0)</f>
        <v>65</v>
      </c>
      <c r="N56" s="1">
        <f>IFERROR(__xludf.DUMMYFUNCTION("""COMPUTED_VALUE"""),72.0)</f>
        <v>72</v>
      </c>
      <c r="O56" s="1" t="str">
        <f>IFERROR(__xludf.DUMMYFUNCTION("""COMPUTED_VALUE"""),"Pass")</f>
        <v>Pass</v>
      </c>
    </row>
    <row r="57" ht="15.75" customHeight="1">
      <c r="A57" s="1" t="str">
        <f>IFERROR(__xludf.DUMMYFUNCTION("""COMPUTED_VALUE"""),"STD-1146")</f>
        <v>STD-1146</v>
      </c>
      <c r="B57" s="1" t="str">
        <f>IFERROR(__xludf.DUMMYFUNCTION("""COMPUTED_VALUE"""),"Kavya Iyer")</f>
        <v>Kavya Iyer</v>
      </c>
      <c r="C57" s="1" t="str">
        <f>IFERROR(__xludf.DUMMYFUNCTION("""COMPUTED_VALUE"""),"Male")</f>
        <v>Male</v>
      </c>
      <c r="D57" s="1" t="str">
        <f>IFERROR(__xludf.DUMMYFUNCTION("""COMPUTED_VALUE"""),"7")</f>
        <v>7</v>
      </c>
      <c r="E57" s="1" t="str">
        <f>IFERROR(__xludf.DUMMYFUNCTION("""COMPUTED_VALUE"""),"A")</f>
        <v>A</v>
      </c>
      <c r="F57" s="1" t="str">
        <f>IFERROR(__xludf.DUMMYFUNCTION("""COMPUTED_VALUE"""),"Lucknow")</f>
        <v>Lucknow</v>
      </c>
      <c r="G57" s="1">
        <f>IFERROR(__xludf.DUMMYFUNCTION("""COMPUTED_VALUE"""),100.0)</f>
        <v>100</v>
      </c>
      <c r="H57" s="1">
        <f>IFERROR(__xludf.DUMMYFUNCTION("""COMPUTED_VALUE"""),53.0)</f>
        <v>53</v>
      </c>
      <c r="I57" s="1">
        <f>IFERROR(__xludf.DUMMYFUNCTION("""COMPUTED_VALUE"""),73.0)</f>
        <v>73</v>
      </c>
      <c r="J57" s="1">
        <f>IFERROR(__xludf.DUMMYFUNCTION("""COMPUTED_VALUE"""),66.0)</f>
        <v>66</v>
      </c>
      <c r="K57" s="1">
        <f>IFERROR(__xludf.DUMMYFUNCTION("""COMPUTED_VALUE"""),77.0)</f>
        <v>77</v>
      </c>
      <c r="L57" s="1">
        <f>IFERROR(__xludf.DUMMYFUNCTION("""COMPUTED_VALUE"""),369.0)</f>
        <v>369</v>
      </c>
      <c r="M57" s="1">
        <f>IFERROR(__xludf.DUMMYFUNCTION("""COMPUTED_VALUE"""),73.8)</f>
        <v>73.8</v>
      </c>
      <c r="N57" s="1">
        <f>IFERROR(__xludf.DUMMYFUNCTION("""COMPUTED_VALUE"""),95.0)</f>
        <v>95</v>
      </c>
      <c r="O57" s="1" t="str">
        <f>IFERROR(__xludf.DUMMYFUNCTION("""COMPUTED_VALUE"""),"Pass")</f>
        <v>Pass</v>
      </c>
    </row>
    <row r="58" ht="15.75" customHeight="1">
      <c r="A58" s="1" t="str">
        <f>IFERROR(__xludf.DUMMYFUNCTION("""COMPUTED_VALUE"""),"STD-1148")</f>
        <v>STD-1148</v>
      </c>
      <c r="B58" s="1" t="str">
        <f>IFERROR(__xludf.DUMMYFUNCTION("""COMPUTED_VALUE"""),"Kavya Choudhary")</f>
        <v>Kavya Choudhary</v>
      </c>
      <c r="C58" s="1" t="str">
        <f>IFERROR(__xludf.DUMMYFUNCTION("""COMPUTED_VALUE"""),"Male")</f>
        <v>Male</v>
      </c>
      <c r="D58" s="1" t="str">
        <f>IFERROR(__xludf.DUMMYFUNCTION("""COMPUTED_VALUE"""),"8")</f>
        <v>8</v>
      </c>
      <c r="E58" s="1" t="str">
        <f>IFERROR(__xludf.DUMMYFUNCTION("""COMPUTED_VALUE"""),"B")</f>
        <v>B</v>
      </c>
      <c r="F58" s="1" t="str">
        <f>IFERROR(__xludf.DUMMYFUNCTION("""COMPUTED_VALUE"""),"Jaipur")</f>
        <v>Jaipur</v>
      </c>
      <c r="G58" s="1">
        <f>IFERROR(__xludf.DUMMYFUNCTION("""COMPUTED_VALUE"""),98.0)</f>
        <v>98</v>
      </c>
      <c r="H58" s="1">
        <f>IFERROR(__xludf.DUMMYFUNCTION("""COMPUTED_VALUE"""),68.0)</f>
        <v>68</v>
      </c>
      <c r="I58" s="1">
        <f>IFERROR(__xludf.DUMMYFUNCTION("""COMPUTED_VALUE"""),53.0)</f>
        <v>53</v>
      </c>
      <c r="J58" s="1">
        <f>IFERROR(__xludf.DUMMYFUNCTION("""COMPUTED_VALUE"""),95.0)</f>
        <v>95</v>
      </c>
      <c r="K58" s="1">
        <f>IFERROR(__xludf.DUMMYFUNCTION("""COMPUTED_VALUE"""),68.0)</f>
        <v>68</v>
      </c>
      <c r="L58" s="1">
        <f>IFERROR(__xludf.DUMMYFUNCTION("""COMPUTED_VALUE"""),382.0)</f>
        <v>382</v>
      </c>
      <c r="M58" s="1">
        <f>IFERROR(__xludf.DUMMYFUNCTION("""COMPUTED_VALUE"""),76.4)</f>
        <v>76.4</v>
      </c>
      <c r="N58" s="1">
        <f>IFERROR(__xludf.DUMMYFUNCTION("""COMPUTED_VALUE"""),81.0)</f>
        <v>81</v>
      </c>
      <c r="O58" s="1" t="str">
        <f>IFERROR(__xludf.DUMMYFUNCTION("""COMPUTED_VALUE"""),"Pass")</f>
        <v>Pass</v>
      </c>
    </row>
    <row r="59" ht="15.75" customHeight="1">
      <c r="A59" s="1" t="str">
        <f>IFERROR(__xludf.DUMMYFUNCTION("""COMPUTED_VALUE"""),"STD-1149")</f>
        <v>STD-1149</v>
      </c>
      <c r="B59" s="1" t="str">
        <f>IFERROR(__xludf.DUMMYFUNCTION("""COMPUTED_VALUE"""),"Tanvi Banerjee")</f>
        <v>Tanvi Banerjee</v>
      </c>
      <c r="C59" s="1" t="str">
        <f>IFERROR(__xludf.DUMMYFUNCTION("""COMPUTED_VALUE"""),"Female")</f>
        <v>Female</v>
      </c>
      <c r="D59" s="1" t="str">
        <f>IFERROR(__xludf.DUMMYFUNCTION("""COMPUTED_VALUE"""),"7")</f>
        <v>7</v>
      </c>
      <c r="E59" s="1" t="str">
        <f>IFERROR(__xludf.DUMMYFUNCTION("""COMPUTED_VALUE"""),"A")</f>
        <v>A</v>
      </c>
      <c r="F59" s="1" t="str">
        <f>IFERROR(__xludf.DUMMYFUNCTION("""COMPUTED_VALUE"""),"Patna")</f>
        <v>Patna</v>
      </c>
      <c r="G59" s="1">
        <f>IFERROR(__xludf.DUMMYFUNCTION("""COMPUTED_VALUE"""),88.0)</f>
        <v>88</v>
      </c>
      <c r="H59" s="1">
        <f>IFERROR(__xludf.DUMMYFUNCTION("""COMPUTED_VALUE"""),85.0)</f>
        <v>85</v>
      </c>
      <c r="I59" s="1">
        <f>IFERROR(__xludf.DUMMYFUNCTION("""COMPUTED_VALUE"""),72.0)</f>
        <v>72</v>
      </c>
      <c r="J59" s="1">
        <f>IFERROR(__xludf.DUMMYFUNCTION("""COMPUTED_VALUE"""),72.0)</f>
        <v>72</v>
      </c>
      <c r="K59" s="1">
        <f>IFERROR(__xludf.DUMMYFUNCTION("""COMPUTED_VALUE"""),78.0)</f>
        <v>78</v>
      </c>
      <c r="L59" s="1">
        <f>IFERROR(__xludf.DUMMYFUNCTION("""COMPUTED_VALUE"""),395.0)</f>
        <v>395</v>
      </c>
      <c r="M59" s="1">
        <f>IFERROR(__xludf.DUMMYFUNCTION("""COMPUTED_VALUE"""),79.0)</f>
        <v>79</v>
      </c>
      <c r="N59" s="1">
        <f>IFERROR(__xludf.DUMMYFUNCTION("""COMPUTED_VALUE"""),97.0)</f>
        <v>97</v>
      </c>
      <c r="O59" s="1" t="str">
        <f>IFERROR(__xludf.DUMMYFUNCTION("""COMPUTED_VALUE"""),"Pass")</f>
        <v>Pass</v>
      </c>
    </row>
    <row r="60" ht="15.75" customHeight="1">
      <c r="A60" s="1" t="str">
        <f>IFERROR(__xludf.DUMMYFUNCTION("""COMPUTED_VALUE"""),"STD-1150")</f>
        <v>STD-1150</v>
      </c>
      <c r="B60" s="1" t="str">
        <f>IFERROR(__xludf.DUMMYFUNCTION("""COMPUTED_VALUE"""),"Meera Kulkarni")</f>
        <v>Meera Kulkarni</v>
      </c>
      <c r="C60" s="1" t="str">
        <f>IFERROR(__xludf.DUMMYFUNCTION("""COMPUTED_VALUE"""),"Female")</f>
        <v>Female</v>
      </c>
      <c r="D60" s="1" t="str">
        <f>IFERROR(__xludf.DUMMYFUNCTION("""COMPUTED_VALUE"""),"9")</f>
        <v>9</v>
      </c>
      <c r="E60" s="1" t="str">
        <f>IFERROR(__xludf.DUMMYFUNCTION("""COMPUTED_VALUE"""),"A")</f>
        <v>A</v>
      </c>
      <c r="F60" s="1" t="str">
        <f>IFERROR(__xludf.DUMMYFUNCTION("""COMPUTED_VALUE"""),"Delhi")</f>
        <v>Delhi</v>
      </c>
      <c r="G60" s="1">
        <f>IFERROR(__xludf.DUMMYFUNCTION("""COMPUTED_VALUE"""),77.0)</f>
        <v>77</v>
      </c>
      <c r="H60" s="1">
        <f>IFERROR(__xludf.DUMMYFUNCTION("""COMPUTED_VALUE"""),83.0)</f>
        <v>83</v>
      </c>
      <c r="I60" s="1">
        <f>IFERROR(__xludf.DUMMYFUNCTION("""COMPUTED_VALUE"""),52.0)</f>
        <v>52</v>
      </c>
      <c r="J60" s="1">
        <f>IFERROR(__xludf.DUMMYFUNCTION("""COMPUTED_VALUE"""),98.0)</f>
        <v>98</v>
      </c>
      <c r="K60" s="1">
        <f>IFERROR(__xludf.DUMMYFUNCTION("""COMPUTED_VALUE"""),40.0)</f>
        <v>40</v>
      </c>
      <c r="L60" s="1">
        <f>IFERROR(__xludf.DUMMYFUNCTION("""COMPUTED_VALUE"""),350.0)</f>
        <v>350</v>
      </c>
      <c r="M60" s="1">
        <f>IFERROR(__xludf.DUMMYFUNCTION("""COMPUTED_VALUE"""),70.0)</f>
        <v>70</v>
      </c>
      <c r="N60" s="1">
        <f>IFERROR(__xludf.DUMMYFUNCTION("""COMPUTED_VALUE"""),73.0)</f>
        <v>73</v>
      </c>
      <c r="O60" s="1" t="str">
        <f>IFERROR(__xludf.DUMMYFUNCTION("""COMPUTED_VALUE"""),"Pass")</f>
        <v>Pass</v>
      </c>
    </row>
    <row r="61" ht="15.75" customHeight="1">
      <c r="A61" s="1" t="str">
        <f>IFERROR(__xludf.DUMMYFUNCTION("""COMPUTED_VALUE"""),"STD-1151")</f>
        <v>STD-1151</v>
      </c>
      <c r="B61" s="1" t="str">
        <f>IFERROR(__xludf.DUMMYFUNCTION("""COMPUTED_VALUE"""),"Neha Banerjee")</f>
        <v>Neha Banerjee</v>
      </c>
      <c r="C61" s="1" t="str">
        <f>IFERROR(__xludf.DUMMYFUNCTION("""COMPUTED_VALUE"""),"Male")</f>
        <v>Male</v>
      </c>
      <c r="D61" s="1" t="str">
        <f>IFERROR(__xludf.DUMMYFUNCTION("""COMPUTED_VALUE"""),"7")</f>
        <v>7</v>
      </c>
      <c r="E61" s="1" t="str">
        <f>IFERROR(__xludf.DUMMYFUNCTION("""COMPUTED_VALUE"""),"B")</f>
        <v>B</v>
      </c>
      <c r="F61" s="1" t="str">
        <f>IFERROR(__xludf.DUMMYFUNCTION("""COMPUTED_VALUE"""),"Kolkata")</f>
        <v>Kolkata</v>
      </c>
      <c r="G61" s="1">
        <f>IFERROR(__xludf.DUMMYFUNCTION("""COMPUTED_VALUE"""),96.0)</f>
        <v>96</v>
      </c>
      <c r="H61" s="1">
        <f>IFERROR(__xludf.DUMMYFUNCTION("""COMPUTED_VALUE"""),65.0)</f>
        <v>65</v>
      </c>
      <c r="I61" s="1">
        <f>IFERROR(__xludf.DUMMYFUNCTION("""COMPUTED_VALUE"""),76.0)</f>
        <v>76</v>
      </c>
      <c r="J61" s="1">
        <f>IFERROR(__xludf.DUMMYFUNCTION("""COMPUTED_VALUE"""),48.0)</f>
        <v>48</v>
      </c>
      <c r="K61" s="1">
        <f>IFERROR(__xludf.DUMMYFUNCTION("""COMPUTED_VALUE"""),57.0)</f>
        <v>57</v>
      </c>
      <c r="L61" s="1">
        <f>IFERROR(__xludf.DUMMYFUNCTION("""COMPUTED_VALUE"""),342.0)</f>
        <v>342</v>
      </c>
      <c r="M61" s="1">
        <f>IFERROR(__xludf.DUMMYFUNCTION("""COMPUTED_VALUE"""),68.4)</f>
        <v>68.4</v>
      </c>
      <c r="N61" s="1">
        <f>IFERROR(__xludf.DUMMYFUNCTION("""COMPUTED_VALUE"""),85.0)</f>
        <v>85</v>
      </c>
      <c r="O61" s="1" t="str">
        <f>IFERROR(__xludf.DUMMYFUNCTION("""COMPUTED_VALUE"""),"Pass")</f>
        <v>Pass</v>
      </c>
    </row>
    <row r="62" ht="15.75" customHeight="1">
      <c r="A62" s="1" t="str">
        <f>IFERROR(__xludf.DUMMYFUNCTION("""COMPUTED_VALUE"""),"STD-1153")</f>
        <v>STD-1153</v>
      </c>
      <c r="B62" s="1" t="str">
        <f>IFERROR(__xludf.DUMMYFUNCTION("""COMPUTED_VALUE"""),"Neha Kaur")</f>
        <v>Neha Kaur</v>
      </c>
      <c r="C62" s="1" t="str">
        <f>IFERROR(__xludf.DUMMYFUNCTION("""COMPUTED_VALUE"""),"Female")</f>
        <v>Female</v>
      </c>
      <c r="D62" s="1" t="str">
        <f>IFERROR(__xludf.DUMMYFUNCTION("""COMPUTED_VALUE"""),"8")</f>
        <v>8</v>
      </c>
      <c r="E62" s="1" t="str">
        <f>IFERROR(__xludf.DUMMYFUNCTION("""COMPUTED_VALUE"""),"A")</f>
        <v>A</v>
      </c>
      <c r="F62" s="1" t="str">
        <f>IFERROR(__xludf.DUMMYFUNCTION("""COMPUTED_VALUE"""),"Kolkata")</f>
        <v>Kolkata</v>
      </c>
      <c r="G62" s="1">
        <f>IFERROR(__xludf.DUMMYFUNCTION("""COMPUTED_VALUE"""),92.0)</f>
        <v>92</v>
      </c>
      <c r="H62" s="1">
        <f>IFERROR(__xludf.DUMMYFUNCTION("""COMPUTED_VALUE"""),81.0)</f>
        <v>81</v>
      </c>
      <c r="I62" s="1">
        <f>IFERROR(__xludf.DUMMYFUNCTION("""COMPUTED_VALUE"""),54.0)</f>
        <v>54</v>
      </c>
      <c r="J62" s="1">
        <f>IFERROR(__xludf.DUMMYFUNCTION("""COMPUTED_VALUE"""),46.0)</f>
        <v>46</v>
      </c>
      <c r="K62" s="1">
        <f>IFERROR(__xludf.DUMMYFUNCTION("""COMPUTED_VALUE"""),62.0)</f>
        <v>62</v>
      </c>
      <c r="L62" s="1">
        <f>IFERROR(__xludf.DUMMYFUNCTION("""COMPUTED_VALUE"""),335.0)</f>
        <v>335</v>
      </c>
      <c r="M62" s="1">
        <f>IFERROR(__xludf.DUMMYFUNCTION("""COMPUTED_VALUE"""),67.0)</f>
        <v>67</v>
      </c>
      <c r="N62" s="1">
        <f>IFERROR(__xludf.DUMMYFUNCTION("""COMPUTED_VALUE"""),72.0)</f>
        <v>72</v>
      </c>
      <c r="O62" s="1" t="str">
        <f>IFERROR(__xludf.DUMMYFUNCTION("""COMPUTED_VALUE"""),"Pass")</f>
        <v>Pass</v>
      </c>
    </row>
    <row r="63" ht="15.75" customHeight="1">
      <c r="A63" s="1" t="str">
        <f>IFERROR(__xludf.DUMMYFUNCTION("""COMPUTED_VALUE"""),"STD-1154")</f>
        <v>STD-1154</v>
      </c>
      <c r="B63" s="1" t="str">
        <f>IFERROR(__xludf.DUMMYFUNCTION("""COMPUTED_VALUE"""),"Ishita Choudhary")</f>
        <v>Ishita Choudhary</v>
      </c>
      <c r="C63" s="1" t="str">
        <f>IFERROR(__xludf.DUMMYFUNCTION("""COMPUTED_VALUE"""),"Male")</f>
        <v>Male</v>
      </c>
      <c r="D63" s="1" t="str">
        <f>IFERROR(__xludf.DUMMYFUNCTION("""COMPUTED_VALUE"""),"6")</f>
        <v>6</v>
      </c>
      <c r="E63" s="1" t="str">
        <f>IFERROR(__xludf.DUMMYFUNCTION("""COMPUTED_VALUE"""),"C")</f>
        <v>C</v>
      </c>
      <c r="F63" s="1" t="str">
        <f>IFERROR(__xludf.DUMMYFUNCTION("""COMPUTED_VALUE"""),"Delhi")</f>
        <v>Delhi</v>
      </c>
      <c r="G63" s="1">
        <f>IFERROR(__xludf.DUMMYFUNCTION("""COMPUTED_VALUE"""),91.0)</f>
        <v>91</v>
      </c>
      <c r="H63" s="1">
        <f>IFERROR(__xludf.DUMMYFUNCTION("""COMPUTED_VALUE"""),68.0)</f>
        <v>68</v>
      </c>
      <c r="I63" s="1">
        <f>IFERROR(__xludf.DUMMYFUNCTION("""COMPUTED_VALUE"""),87.0)</f>
        <v>87</v>
      </c>
      <c r="J63" s="1">
        <f>IFERROR(__xludf.DUMMYFUNCTION("""COMPUTED_VALUE"""),90.0)</f>
        <v>90</v>
      </c>
      <c r="K63" s="1">
        <f>IFERROR(__xludf.DUMMYFUNCTION("""COMPUTED_VALUE"""),65.0)</f>
        <v>65</v>
      </c>
      <c r="L63" s="1">
        <f>IFERROR(__xludf.DUMMYFUNCTION("""COMPUTED_VALUE"""),401.0)</f>
        <v>401</v>
      </c>
      <c r="M63" s="1">
        <f>IFERROR(__xludf.DUMMYFUNCTION("""COMPUTED_VALUE"""),80.2)</f>
        <v>80.2</v>
      </c>
      <c r="N63" s="1">
        <f>IFERROR(__xludf.DUMMYFUNCTION("""COMPUTED_VALUE"""),94.0)</f>
        <v>94</v>
      </c>
      <c r="O63" s="1" t="str">
        <f>IFERROR(__xludf.DUMMYFUNCTION("""COMPUTED_VALUE"""),"Pass")</f>
        <v>Pass</v>
      </c>
    </row>
    <row r="64" ht="15.75" customHeight="1">
      <c r="A64" s="1" t="str">
        <f>IFERROR(__xludf.DUMMYFUNCTION("""COMPUTED_VALUE"""),"STD-1155")</f>
        <v>STD-1155</v>
      </c>
      <c r="B64" s="1" t="str">
        <f>IFERROR(__xludf.DUMMYFUNCTION("""COMPUTED_VALUE"""),"Tanvi Verma")</f>
        <v>Tanvi Verma</v>
      </c>
      <c r="C64" s="1" t="str">
        <f>IFERROR(__xludf.DUMMYFUNCTION("""COMPUTED_VALUE"""),"Female")</f>
        <v>Female</v>
      </c>
      <c r="D64" s="1" t="str">
        <f>IFERROR(__xludf.DUMMYFUNCTION("""COMPUTED_VALUE"""),"10")</f>
        <v>10</v>
      </c>
      <c r="E64" s="1" t="str">
        <f>IFERROR(__xludf.DUMMYFUNCTION("""COMPUTED_VALUE"""),"C")</f>
        <v>C</v>
      </c>
      <c r="F64" s="1" t="str">
        <f>IFERROR(__xludf.DUMMYFUNCTION("""COMPUTED_VALUE"""),"Lucknow")</f>
        <v>Lucknow</v>
      </c>
      <c r="G64" s="1">
        <f>IFERROR(__xludf.DUMMYFUNCTION("""COMPUTED_VALUE"""),76.0)</f>
        <v>76</v>
      </c>
      <c r="H64" s="1">
        <f>IFERROR(__xludf.DUMMYFUNCTION("""COMPUTED_VALUE"""),57.0)</f>
        <v>57</v>
      </c>
      <c r="I64" s="1">
        <f>IFERROR(__xludf.DUMMYFUNCTION("""COMPUTED_VALUE"""),85.0)</f>
        <v>85</v>
      </c>
      <c r="J64" s="1">
        <f>IFERROR(__xludf.DUMMYFUNCTION("""COMPUTED_VALUE"""),46.0)</f>
        <v>46</v>
      </c>
      <c r="K64" s="1">
        <f>IFERROR(__xludf.DUMMYFUNCTION("""COMPUTED_VALUE"""),84.0)</f>
        <v>84</v>
      </c>
      <c r="L64" s="1">
        <f>IFERROR(__xludf.DUMMYFUNCTION("""COMPUTED_VALUE"""),348.0)</f>
        <v>348</v>
      </c>
      <c r="M64" s="1">
        <f>IFERROR(__xludf.DUMMYFUNCTION("""COMPUTED_VALUE"""),69.6)</f>
        <v>69.6</v>
      </c>
      <c r="N64" s="1">
        <f>IFERROR(__xludf.DUMMYFUNCTION("""COMPUTED_VALUE"""),60.0)</f>
        <v>60</v>
      </c>
      <c r="O64" s="1" t="str">
        <f>IFERROR(__xludf.DUMMYFUNCTION("""COMPUTED_VALUE"""),"Pass")</f>
        <v>Pass</v>
      </c>
    </row>
    <row r="65" ht="15.75" customHeight="1">
      <c r="A65" s="1" t="str">
        <f>IFERROR(__xludf.DUMMYFUNCTION("""COMPUTED_VALUE"""),"STD-1159")</f>
        <v>STD-1159</v>
      </c>
      <c r="B65" s="1" t="str">
        <f>IFERROR(__xludf.DUMMYFUNCTION("""COMPUTED_VALUE"""),"Karan Kaur")</f>
        <v>Karan Kaur</v>
      </c>
      <c r="C65" s="1" t="str">
        <f>IFERROR(__xludf.DUMMYFUNCTION("""COMPUTED_VALUE"""),"Female")</f>
        <v>Female</v>
      </c>
      <c r="D65" s="1" t="str">
        <f>IFERROR(__xludf.DUMMYFUNCTION("""COMPUTED_VALUE"""),"8")</f>
        <v>8</v>
      </c>
      <c r="E65" s="1" t="str">
        <f>IFERROR(__xludf.DUMMYFUNCTION("""COMPUTED_VALUE"""),"B")</f>
        <v>B</v>
      </c>
      <c r="F65" s="1" t="str">
        <f>IFERROR(__xludf.DUMMYFUNCTION("""COMPUTED_VALUE"""),"Kolkata")</f>
        <v>Kolkata</v>
      </c>
      <c r="G65" s="1">
        <f>IFERROR(__xludf.DUMMYFUNCTION("""COMPUTED_VALUE"""),95.0)</f>
        <v>95</v>
      </c>
      <c r="H65" s="1">
        <f>IFERROR(__xludf.DUMMYFUNCTION("""COMPUTED_VALUE"""),41.0)</f>
        <v>41</v>
      </c>
      <c r="I65" s="1">
        <f>IFERROR(__xludf.DUMMYFUNCTION("""COMPUTED_VALUE"""),49.0)</f>
        <v>49</v>
      </c>
      <c r="J65" s="1">
        <f>IFERROR(__xludf.DUMMYFUNCTION("""COMPUTED_VALUE"""),48.0)</f>
        <v>48</v>
      </c>
      <c r="K65" s="1">
        <f>IFERROR(__xludf.DUMMYFUNCTION("""COMPUTED_VALUE"""),51.0)</f>
        <v>51</v>
      </c>
      <c r="L65" s="1">
        <f>IFERROR(__xludf.DUMMYFUNCTION("""COMPUTED_VALUE"""),284.0)</f>
        <v>284</v>
      </c>
      <c r="M65" s="1">
        <f>IFERROR(__xludf.DUMMYFUNCTION("""COMPUTED_VALUE"""),56.8)</f>
        <v>56.8</v>
      </c>
      <c r="N65" s="1">
        <f>IFERROR(__xludf.DUMMYFUNCTION("""COMPUTED_VALUE"""),85.0)</f>
        <v>85</v>
      </c>
      <c r="O65" s="1" t="str">
        <f>IFERROR(__xludf.DUMMYFUNCTION("""COMPUTED_VALUE"""),"Pass")</f>
        <v>Pass</v>
      </c>
    </row>
    <row r="66" ht="15.75" customHeight="1">
      <c r="A66" s="1" t="str">
        <f>IFERROR(__xludf.DUMMYFUNCTION("""COMPUTED_VALUE"""),"STD-1163")</f>
        <v>STD-1163</v>
      </c>
      <c r="B66" s="1" t="str">
        <f>IFERROR(__xludf.DUMMYFUNCTION("""COMPUTED_VALUE"""),"Kavya Jain")</f>
        <v>Kavya Jain</v>
      </c>
      <c r="C66" s="1" t="str">
        <f>IFERROR(__xludf.DUMMYFUNCTION("""COMPUTED_VALUE"""),"Male")</f>
        <v>Male</v>
      </c>
      <c r="D66" s="1" t="str">
        <f>IFERROR(__xludf.DUMMYFUNCTION("""COMPUTED_VALUE"""),"8")</f>
        <v>8</v>
      </c>
      <c r="E66" s="1" t="str">
        <f>IFERROR(__xludf.DUMMYFUNCTION("""COMPUTED_VALUE"""),"B")</f>
        <v>B</v>
      </c>
      <c r="F66" s="1" t="str">
        <f>IFERROR(__xludf.DUMMYFUNCTION("""COMPUTED_VALUE"""),"Mumbai")</f>
        <v>Mumbai</v>
      </c>
      <c r="G66" s="1">
        <f>IFERROR(__xludf.DUMMYFUNCTION("""COMPUTED_VALUE"""),77.0)</f>
        <v>77</v>
      </c>
      <c r="H66" s="1">
        <f>IFERROR(__xludf.DUMMYFUNCTION("""COMPUTED_VALUE"""),70.0)</f>
        <v>70</v>
      </c>
      <c r="I66" s="1">
        <f>IFERROR(__xludf.DUMMYFUNCTION("""COMPUTED_VALUE"""),51.0)</f>
        <v>51</v>
      </c>
      <c r="J66" s="1">
        <f>IFERROR(__xludf.DUMMYFUNCTION("""COMPUTED_VALUE"""),90.0)</f>
        <v>90</v>
      </c>
      <c r="K66" s="1">
        <f>IFERROR(__xludf.DUMMYFUNCTION("""COMPUTED_VALUE"""),61.0)</f>
        <v>61</v>
      </c>
      <c r="L66" s="1">
        <f>IFERROR(__xludf.DUMMYFUNCTION("""COMPUTED_VALUE"""),349.0)</f>
        <v>349</v>
      </c>
      <c r="M66" s="1">
        <f>IFERROR(__xludf.DUMMYFUNCTION("""COMPUTED_VALUE"""),69.8)</f>
        <v>69.8</v>
      </c>
      <c r="N66" s="1">
        <f>IFERROR(__xludf.DUMMYFUNCTION("""COMPUTED_VALUE"""),63.0)</f>
        <v>63</v>
      </c>
      <c r="O66" s="1" t="str">
        <f>IFERROR(__xludf.DUMMYFUNCTION("""COMPUTED_VALUE"""),"Pass")</f>
        <v>Pass</v>
      </c>
    </row>
    <row r="67" ht="15.75" customHeight="1">
      <c r="A67" s="1" t="str">
        <f>IFERROR(__xludf.DUMMYFUNCTION("""COMPUTED_VALUE"""),"STD-1164")</f>
        <v>STD-1164</v>
      </c>
      <c r="B67" s="1" t="str">
        <f>IFERROR(__xludf.DUMMYFUNCTION("""COMPUTED_VALUE"""),"Neha Choudhary")</f>
        <v>Neha Choudhary</v>
      </c>
      <c r="C67" s="1" t="str">
        <f>IFERROR(__xludf.DUMMYFUNCTION("""COMPUTED_VALUE"""),"Male")</f>
        <v>Male</v>
      </c>
      <c r="D67" s="1" t="str">
        <f>IFERROR(__xludf.DUMMYFUNCTION("""COMPUTED_VALUE"""),"9")</f>
        <v>9</v>
      </c>
      <c r="E67" s="1" t="str">
        <f>IFERROR(__xludf.DUMMYFUNCTION("""COMPUTED_VALUE"""),"C")</f>
        <v>C</v>
      </c>
      <c r="F67" s="1" t="str">
        <f>IFERROR(__xludf.DUMMYFUNCTION("""COMPUTED_VALUE"""),"Chandigarh")</f>
        <v>Chandigarh</v>
      </c>
      <c r="G67" s="1">
        <f>IFERROR(__xludf.DUMMYFUNCTION("""COMPUTED_VALUE"""),78.0)</f>
        <v>78</v>
      </c>
      <c r="H67" s="1">
        <f>IFERROR(__xludf.DUMMYFUNCTION("""COMPUTED_VALUE"""),87.0)</f>
        <v>87</v>
      </c>
      <c r="I67" s="1">
        <f>IFERROR(__xludf.DUMMYFUNCTION("""COMPUTED_VALUE"""),95.0)</f>
        <v>95</v>
      </c>
      <c r="J67" s="1">
        <f>IFERROR(__xludf.DUMMYFUNCTION("""COMPUTED_VALUE"""),70.0)</f>
        <v>70</v>
      </c>
      <c r="K67" s="1">
        <f>IFERROR(__xludf.DUMMYFUNCTION("""COMPUTED_VALUE"""),93.0)</f>
        <v>93</v>
      </c>
      <c r="L67" s="1">
        <f>IFERROR(__xludf.DUMMYFUNCTION("""COMPUTED_VALUE"""),423.0)</f>
        <v>423</v>
      </c>
      <c r="M67" s="1">
        <f>IFERROR(__xludf.DUMMYFUNCTION("""COMPUTED_VALUE"""),84.6)</f>
        <v>84.6</v>
      </c>
      <c r="N67" s="1">
        <f>IFERROR(__xludf.DUMMYFUNCTION("""COMPUTED_VALUE"""),98.0)</f>
        <v>98</v>
      </c>
      <c r="O67" s="1" t="str">
        <f>IFERROR(__xludf.DUMMYFUNCTION("""COMPUTED_VALUE"""),"Pass")</f>
        <v>Pass</v>
      </c>
    </row>
    <row r="68" ht="15.75" customHeight="1">
      <c r="A68" s="1" t="str">
        <f>IFERROR(__xludf.DUMMYFUNCTION("""COMPUTED_VALUE"""),"STD-1168")</f>
        <v>STD-1168</v>
      </c>
      <c r="B68" s="1" t="str">
        <f>IFERROR(__xludf.DUMMYFUNCTION("""COMPUTED_VALUE"""),"Aditya Kulkarni")</f>
        <v>Aditya Kulkarni</v>
      </c>
      <c r="C68" s="1" t="str">
        <f>IFERROR(__xludf.DUMMYFUNCTION("""COMPUTED_VALUE"""),"Female")</f>
        <v>Female</v>
      </c>
      <c r="D68" s="1" t="str">
        <f>IFERROR(__xludf.DUMMYFUNCTION("""COMPUTED_VALUE"""),"10")</f>
        <v>10</v>
      </c>
      <c r="E68" s="1" t="str">
        <f>IFERROR(__xludf.DUMMYFUNCTION("""COMPUTED_VALUE"""),"B")</f>
        <v>B</v>
      </c>
      <c r="F68" s="1" t="str">
        <f>IFERROR(__xludf.DUMMYFUNCTION("""COMPUTED_VALUE"""),"Kolkata")</f>
        <v>Kolkata</v>
      </c>
      <c r="G68" s="1">
        <f>IFERROR(__xludf.DUMMYFUNCTION("""COMPUTED_VALUE"""),83.0)</f>
        <v>83</v>
      </c>
      <c r="H68" s="1">
        <f>IFERROR(__xludf.DUMMYFUNCTION("""COMPUTED_VALUE"""),51.0)</f>
        <v>51</v>
      </c>
      <c r="I68" s="1">
        <f>IFERROR(__xludf.DUMMYFUNCTION("""COMPUTED_VALUE"""),71.0)</f>
        <v>71</v>
      </c>
      <c r="J68" s="1">
        <f>IFERROR(__xludf.DUMMYFUNCTION("""COMPUTED_VALUE"""),61.0)</f>
        <v>61</v>
      </c>
      <c r="K68" s="1">
        <f>IFERROR(__xludf.DUMMYFUNCTION("""COMPUTED_VALUE"""),68.0)</f>
        <v>68</v>
      </c>
      <c r="L68" s="1">
        <f>IFERROR(__xludf.DUMMYFUNCTION("""COMPUTED_VALUE"""),334.0)</f>
        <v>334</v>
      </c>
      <c r="M68" s="1">
        <f>IFERROR(__xludf.DUMMYFUNCTION("""COMPUTED_VALUE"""),66.8)</f>
        <v>66.8</v>
      </c>
      <c r="N68" s="1">
        <f>IFERROR(__xludf.DUMMYFUNCTION("""COMPUTED_VALUE"""),92.0)</f>
        <v>92</v>
      </c>
      <c r="O68" s="1" t="str">
        <f>IFERROR(__xludf.DUMMYFUNCTION("""COMPUTED_VALUE"""),"Pass")</f>
        <v>Pass</v>
      </c>
    </row>
    <row r="69" ht="15.75" customHeight="1">
      <c r="A69" s="1" t="str">
        <f>IFERROR(__xludf.DUMMYFUNCTION("""COMPUTED_VALUE"""),"STD-1170")</f>
        <v>STD-1170</v>
      </c>
      <c r="B69" s="1" t="str">
        <f>IFERROR(__xludf.DUMMYFUNCTION("""COMPUTED_VALUE"""),"Karan Nair")</f>
        <v>Karan Nair</v>
      </c>
      <c r="C69" s="1" t="str">
        <f>IFERROR(__xludf.DUMMYFUNCTION("""COMPUTED_VALUE"""),"Male")</f>
        <v>Male</v>
      </c>
      <c r="D69" s="1" t="str">
        <f>IFERROR(__xludf.DUMMYFUNCTION("""COMPUTED_VALUE"""),"10")</f>
        <v>10</v>
      </c>
      <c r="E69" s="1" t="str">
        <f>IFERROR(__xludf.DUMMYFUNCTION("""COMPUTED_VALUE"""),"B")</f>
        <v>B</v>
      </c>
      <c r="F69" s="1" t="str">
        <f>IFERROR(__xludf.DUMMYFUNCTION("""COMPUTED_VALUE"""),"Lucknow")</f>
        <v>Lucknow</v>
      </c>
      <c r="G69" s="1">
        <f>IFERROR(__xludf.DUMMYFUNCTION("""COMPUTED_VALUE"""),86.0)</f>
        <v>86</v>
      </c>
      <c r="H69" s="1">
        <f>IFERROR(__xludf.DUMMYFUNCTION("""COMPUTED_VALUE"""),78.0)</f>
        <v>78</v>
      </c>
      <c r="I69" s="1">
        <f>IFERROR(__xludf.DUMMYFUNCTION("""COMPUTED_VALUE"""),48.0)</f>
        <v>48</v>
      </c>
      <c r="J69" s="1">
        <f>IFERROR(__xludf.DUMMYFUNCTION("""COMPUTED_VALUE"""),53.0)</f>
        <v>53</v>
      </c>
      <c r="K69" s="1">
        <f>IFERROR(__xludf.DUMMYFUNCTION("""COMPUTED_VALUE"""),80.0)</f>
        <v>80</v>
      </c>
      <c r="L69" s="1">
        <f>IFERROR(__xludf.DUMMYFUNCTION("""COMPUTED_VALUE"""),345.0)</f>
        <v>345</v>
      </c>
      <c r="M69" s="1">
        <f>IFERROR(__xludf.DUMMYFUNCTION("""COMPUTED_VALUE"""),69.0)</f>
        <v>69</v>
      </c>
      <c r="N69" s="1">
        <f>IFERROR(__xludf.DUMMYFUNCTION("""COMPUTED_VALUE"""),92.0)</f>
        <v>92</v>
      </c>
      <c r="O69" s="1" t="str">
        <f>IFERROR(__xludf.DUMMYFUNCTION("""COMPUTED_VALUE"""),"Pass")</f>
        <v>Pass</v>
      </c>
    </row>
    <row r="70" ht="15.75" customHeight="1">
      <c r="A70" s="1" t="str">
        <f>IFERROR(__xludf.DUMMYFUNCTION("""COMPUTED_VALUE"""),"STD-1172")</f>
        <v>STD-1172</v>
      </c>
      <c r="B70" s="1" t="str">
        <f>IFERROR(__xludf.DUMMYFUNCTION("""COMPUTED_VALUE"""),"Rohan Das")</f>
        <v>Rohan Das</v>
      </c>
      <c r="C70" s="1" t="str">
        <f>IFERROR(__xludf.DUMMYFUNCTION("""COMPUTED_VALUE"""),"Female")</f>
        <v>Female</v>
      </c>
      <c r="D70" s="1" t="str">
        <f>IFERROR(__xludf.DUMMYFUNCTION("""COMPUTED_VALUE"""),"8")</f>
        <v>8</v>
      </c>
      <c r="E70" s="1" t="str">
        <f>IFERROR(__xludf.DUMMYFUNCTION("""COMPUTED_VALUE"""),"C")</f>
        <v>C</v>
      </c>
      <c r="F70" s="1" t="str">
        <f>IFERROR(__xludf.DUMMYFUNCTION("""COMPUTED_VALUE"""),"Bhopal")</f>
        <v>Bhopal</v>
      </c>
      <c r="G70" s="1">
        <f>IFERROR(__xludf.DUMMYFUNCTION("""COMPUTED_VALUE"""),90.0)</f>
        <v>90</v>
      </c>
      <c r="H70" s="1">
        <f>IFERROR(__xludf.DUMMYFUNCTION("""COMPUTED_VALUE"""),87.0)</f>
        <v>87</v>
      </c>
      <c r="I70" s="1">
        <f>IFERROR(__xludf.DUMMYFUNCTION("""COMPUTED_VALUE"""),61.0)</f>
        <v>61</v>
      </c>
      <c r="J70" s="1">
        <f>IFERROR(__xludf.DUMMYFUNCTION("""COMPUTED_VALUE"""),44.0)</f>
        <v>44</v>
      </c>
      <c r="K70" s="1">
        <f>IFERROR(__xludf.DUMMYFUNCTION("""COMPUTED_VALUE"""),83.0)</f>
        <v>83</v>
      </c>
      <c r="L70" s="1">
        <f>IFERROR(__xludf.DUMMYFUNCTION("""COMPUTED_VALUE"""),365.0)</f>
        <v>365</v>
      </c>
      <c r="M70" s="1">
        <f>IFERROR(__xludf.DUMMYFUNCTION("""COMPUTED_VALUE"""),73.0)</f>
        <v>73</v>
      </c>
      <c r="N70" s="1">
        <f>IFERROR(__xludf.DUMMYFUNCTION("""COMPUTED_VALUE"""),77.0)</f>
        <v>77</v>
      </c>
      <c r="O70" s="1" t="str">
        <f>IFERROR(__xludf.DUMMYFUNCTION("""COMPUTED_VALUE"""),"Pass")</f>
        <v>Pass</v>
      </c>
    </row>
    <row r="71" ht="15.75" customHeight="1">
      <c r="A71" s="1" t="str">
        <f>IFERROR(__xludf.DUMMYFUNCTION("""COMPUTED_VALUE"""),"STD-1174")</f>
        <v>STD-1174</v>
      </c>
      <c r="B71" s="1" t="str">
        <f>IFERROR(__xludf.DUMMYFUNCTION("""COMPUTED_VALUE"""),"Vivaan Iyer")</f>
        <v>Vivaan Iyer</v>
      </c>
      <c r="C71" s="1" t="str">
        <f>IFERROR(__xludf.DUMMYFUNCTION("""COMPUTED_VALUE"""),"Female")</f>
        <v>Female</v>
      </c>
      <c r="D71" s="1" t="str">
        <f>IFERROR(__xludf.DUMMYFUNCTION("""COMPUTED_VALUE"""),"8")</f>
        <v>8</v>
      </c>
      <c r="E71" s="1" t="str">
        <f>IFERROR(__xludf.DUMMYFUNCTION("""COMPUTED_VALUE"""),"B")</f>
        <v>B</v>
      </c>
      <c r="F71" s="1" t="str">
        <f>IFERROR(__xludf.DUMMYFUNCTION("""COMPUTED_VALUE"""),"Delhi")</f>
        <v>Delhi</v>
      </c>
      <c r="G71" s="1">
        <f>IFERROR(__xludf.DUMMYFUNCTION("""COMPUTED_VALUE"""),88.0)</f>
        <v>88</v>
      </c>
      <c r="H71" s="1">
        <f>IFERROR(__xludf.DUMMYFUNCTION("""COMPUTED_VALUE"""),43.0)</f>
        <v>43</v>
      </c>
      <c r="I71" s="1">
        <f>IFERROR(__xludf.DUMMYFUNCTION("""COMPUTED_VALUE"""),51.0)</f>
        <v>51</v>
      </c>
      <c r="J71" s="1">
        <f>IFERROR(__xludf.DUMMYFUNCTION("""COMPUTED_VALUE"""),61.0)</f>
        <v>61</v>
      </c>
      <c r="K71" s="1">
        <f>IFERROR(__xludf.DUMMYFUNCTION("""COMPUTED_VALUE"""),100.0)</f>
        <v>100</v>
      </c>
      <c r="L71" s="1">
        <f>IFERROR(__xludf.DUMMYFUNCTION("""COMPUTED_VALUE"""),343.0)</f>
        <v>343</v>
      </c>
      <c r="M71" s="1">
        <f>IFERROR(__xludf.DUMMYFUNCTION("""COMPUTED_VALUE"""),68.6)</f>
        <v>68.6</v>
      </c>
      <c r="N71" s="1">
        <f>IFERROR(__xludf.DUMMYFUNCTION("""COMPUTED_VALUE"""),92.0)</f>
        <v>92</v>
      </c>
      <c r="O71" s="1" t="str">
        <f>IFERROR(__xludf.DUMMYFUNCTION("""COMPUTED_VALUE"""),"Pass")</f>
        <v>Pass</v>
      </c>
    </row>
    <row r="72" ht="15.75" customHeight="1">
      <c r="A72" s="1" t="str">
        <f>IFERROR(__xludf.DUMMYFUNCTION("""COMPUTED_VALUE"""),"STD-1175")</f>
        <v>STD-1175</v>
      </c>
      <c r="B72" s="1" t="str">
        <f>IFERROR(__xludf.DUMMYFUNCTION("""COMPUTED_VALUE"""),"Rahul Sharma")</f>
        <v>Rahul Sharma</v>
      </c>
      <c r="C72" s="1" t="str">
        <f>IFERROR(__xludf.DUMMYFUNCTION("""COMPUTED_VALUE"""),"Female")</f>
        <v>Female</v>
      </c>
      <c r="D72" s="1" t="str">
        <f>IFERROR(__xludf.DUMMYFUNCTION("""COMPUTED_VALUE"""),"10")</f>
        <v>10</v>
      </c>
      <c r="E72" s="1" t="str">
        <f>IFERROR(__xludf.DUMMYFUNCTION("""COMPUTED_VALUE"""),"C")</f>
        <v>C</v>
      </c>
      <c r="F72" s="1" t="str">
        <f>IFERROR(__xludf.DUMMYFUNCTION("""COMPUTED_VALUE"""),"Lucknow")</f>
        <v>Lucknow</v>
      </c>
      <c r="G72" s="1">
        <f>IFERROR(__xludf.DUMMYFUNCTION("""COMPUTED_VALUE"""),88.0)</f>
        <v>88</v>
      </c>
      <c r="H72" s="1">
        <f>IFERROR(__xludf.DUMMYFUNCTION("""COMPUTED_VALUE"""),77.0)</f>
        <v>77</v>
      </c>
      <c r="I72" s="1">
        <f>IFERROR(__xludf.DUMMYFUNCTION("""COMPUTED_VALUE"""),88.0)</f>
        <v>88</v>
      </c>
      <c r="J72" s="1">
        <f>IFERROR(__xludf.DUMMYFUNCTION("""COMPUTED_VALUE"""),46.0)</f>
        <v>46</v>
      </c>
      <c r="K72" s="1">
        <f>IFERROR(__xludf.DUMMYFUNCTION("""COMPUTED_VALUE"""),53.0)</f>
        <v>53</v>
      </c>
      <c r="L72" s="1">
        <f>IFERROR(__xludf.DUMMYFUNCTION("""COMPUTED_VALUE"""),352.0)</f>
        <v>352</v>
      </c>
      <c r="M72" s="1">
        <f>IFERROR(__xludf.DUMMYFUNCTION("""COMPUTED_VALUE"""),70.4)</f>
        <v>70.4</v>
      </c>
      <c r="N72" s="1">
        <f>IFERROR(__xludf.DUMMYFUNCTION("""COMPUTED_VALUE"""),68.0)</f>
        <v>68</v>
      </c>
      <c r="O72" s="1" t="str">
        <f>IFERROR(__xludf.DUMMYFUNCTION("""COMPUTED_VALUE"""),"Pass")</f>
        <v>Pass</v>
      </c>
    </row>
    <row r="73" ht="15.75" customHeight="1">
      <c r="A73" s="1" t="str">
        <f>IFERROR(__xludf.DUMMYFUNCTION("""COMPUTED_VALUE"""),"STD-1176")</f>
        <v>STD-1176</v>
      </c>
      <c r="B73" s="1" t="str">
        <f>IFERROR(__xludf.DUMMYFUNCTION("""COMPUTED_VALUE"""),"Rahul Jain")</f>
        <v>Rahul Jain</v>
      </c>
      <c r="C73" s="1" t="str">
        <f>IFERROR(__xludf.DUMMYFUNCTION("""COMPUTED_VALUE"""),"Male")</f>
        <v>Male</v>
      </c>
      <c r="D73" s="1" t="str">
        <f>IFERROR(__xludf.DUMMYFUNCTION("""COMPUTED_VALUE"""),"6")</f>
        <v>6</v>
      </c>
      <c r="E73" s="1" t="str">
        <f>IFERROR(__xludf.DUMMYFUNCTION("""COMPUTED_VALUE"""),"C")</f>
        <v>C</v>
      </c>
      <c r="F73" s="1" t="str">
        <f>IFERROR(__xludf.DUMMYFUNCTION("""COMPUTED_VALUE"""),"Jaipur")</f>
        <v>Jaipur</v>
      </c>
      <c r="G73" s="1">
        <f>IFERROR(__xludf.DUMMYFUNCTION("""COMPUTED_VALUE"""),93.0)</f>
        <v>93</v>
      </c>
      <c r="H73" s="1">
        <f>IFERROR(__xludf.DUMMYFUNCTION("""COMPUTED_VALUE"""),45.0)</f>
        <v>45</v>
      </c>
      <c r="I73" s="1">
        <f>IFERROR(__xludf.DUMMYFUNCTION("""COMPUTED_VALUE"""),87.0)</f>
        <v>87</v>
      </c>
      <c r="J73" s="1">
        <f>IFERROR(__xludf.DUMMYFUNCTION("""COMPUTED_VALUE"""),59.0)</f>
        <v>59</v>
      </c>
      <c r="K73" s="1">
        <f>IFERROR(__xludf.DUMMYFUNCTION("""COMPUTED_VALUE"""),69.0)</f>
        <v>69</v>
      </c>
      <c r="L73" s="1">
        <f>IFERROR(__xludf.DUMMYFUNCTION("""COMPUTED_VALUE"""),353.0)</f>
        <v>353</v>
      </c>
      <c r="M73" s="1">
        <f>IFERROR(__xludf.DUMMYFUNCTION("""COMPUTED_VALUE"""),70.6)</f>
        <v>70.6</v>
      </c>
      <c r="N73" s="1">
        <f>IFERROR(__xludf.DUMMYFUNCTION("""COMPUTED_VALUE"""),99.0)</f>
        <v>99</v>
      </c>
      <c r="O73" s="1" t="str">
        <f>IFERROR(__xludf.DUMMYFUNCTION("""COMPUTED_VALUE"""),"Pass")</f>
        <v>Pass</v>
      </c>
    </row>
    <row r="74" ht="15.75" customHeight="1">
      <c r="A74" s="1" t="str">
        <f>IFERROR(__xludf.DUMMYFUNCTION("""COMPUTED_VALUE"""),"STD-1178")</f>
        <v>STD-1178</v>
      </c>
      <c r="B74" s="1" t="str">
        <f>IFERROR(__xludf.DUMMYFUNCTION("""COMPUTED_VALUE"""),"Ritika Singh")</f>
        <v>Ritika Singh</v>
      </c>
      <c r="C74" s="1" t="str">
        <f>IFERROR(__xludf.DUMMYFUNCTION("""COMPUTED_VALUE"""),"Male")</f>
        <v>Male</v>
      </c>
      <c r="D74" s="1" t="str">
        <f>IFERROR(__xludf.DUMMYFUNCTION("""COMPUTED_VALUE"""),"9")</f>
        <v>9</v>
      </c>
      <c r="E74" s="1" t="str">
        <f>IFERROR(__xludf.DUMMYFUNCTION("""COMPUTED_VALUE"""),"B")</f>
        <v>B</v>
      </c>
      <c r="F74" s="1" t="str">
        <f>IFERROR(__xludf.DUMMYFUNCTION("""COMPUTED_VALUE"""),"Chandigarh")</f>
        <v>Chandigarh</v>
      </c>
      <c r="G74" s="1">
        <f>IFERROR(__xludf.DUMMYFUNCTION("""COMPUTED_VALUE"""),88.0)</f>
        <v>88</v>
      </c>
      <c r="H74" s="1">
        <f>IFERROR(__xludf.DUMMYFUNCTION("""COMPUTED_VALUE"""),97.0)</f>
        <v>97</v>
      </c>
      <c r="I74" s="1">
        <f>IFERROR(__xludf.DUMMYFUNCTION("""COMPUTED_VALUE"""),56.0)</f>
        <v>56</v>
      </c>
      <c r="J74" s="1">
        <f>IFERROR(__xludf.DUMMYFUNCTION("""COMPUTED_VALUE"""),53.0)</f>
        <v>53</v>
      </c>
      <c r="K74" s="1">
        <f>IFERROR(__xludf.DUMMYFUNCTION("""COMPUTED_VALUE"""),72.0)</f>
        <v>72</v>
      </c>
      <c r="L74" s="1">
        <f>IFERROR(__xludf.DUMMYFUNCTION("""COMPUTED_VALUE"""),366.0)</f>
        <v>366</v>
      </c>
      <c r="M74" s="1">
        <f>IFERROR(__xludf.DUMMYFUNCTION("""COMPUTED_VALUE"""),73.2)</f>
        <v>73.2</v>
      </c>
      <c r="N74" s="1">
        <f>IFERROR(__xludf.DUMMYFUNCTION("""COMPUTED_VALUE"""),77.0)</f>
        <v>77</v>
      </c>
      <c r="O74" s="1" t="str">
        <f>IFERROR(__xludf.DUMMYFUNCTION("""COMPUTED_VALUE"""),"Pass")</f>
        <v>Pass</v>
      </c>
    </row>
    <row r="75" ht="15.75" customHeight="1">
      <c r="A75" s="1" t="str">
        <f>IFERROR(__xludf.DUMMYFUNCTION("""COMPUTED_VALUE"""),"STD-1179")</f>
        <v>STD-1179</v>
      </c>
      <c r="B75" s="1" t="str">
        <f>IFERROR(__xludf.DUMMYFUNCTION("""COMPUTED_VALUE"""),"Ishita Sharma")</f>
        <v>Ishita Sharma</v>
      </c>
      <c r="C75" s="1" t="str">
        <f>IFERROR(__xludf.DUMMYFUNCTION("""COMPUTED_VALUE"""),"Female")</f>
        <v>Female</v>
      </c>
      <c r="D75" s="1" t="str">
        <f>IFERROR(__xludf.DUMMYFUNCTION("""COMPUTED_VALUE"""),"7")</f>
        <v>7</v>
      </c>
      <c r="E75" s="1" t="str">
        <f>IFERROR(__xludf.DUMMYFUNCTION("""COMPUTED_VALUE"""),"A")</f>
        <v>A</v>
      </c>
      <c r="F75" s="1" t="str">
        <f>IFERROR(__xludf.DUMMYFUNCTION("""COMPUTED_VALUE"""),"Lucknow")</f>
        <v>Lucknow</v>
      </c>
      <c r="G75" s="1">
        <f>IFERROR(__xludf.DUMMYFUNCTION("""COMPUTED_VALUE"""),86.0)</f>
        <v>86</v>
      </c>
      <c r="H75" s="1">
        <f>IFERROR(__xludf.DUMMYFUNCTION("""COMPUTED_VALUE"""),64.0)</f>
        <v>64</v>
      </c>
      <c r="I75" s="1">
        <f>IFERROR(__xludf.DUMMYFUNCTION("""COMPUTED_VALUE"""),82.0)</f>
        <v>82</v>
      </c>
      <c r="J75" s="1">
        <f>IFERROR(__xludf.DUMMYFUNCTION("""COMPUTED_VALUE"""),45.0)</f>
        <v>45</v>
      </c>
      <c r="K75" s="1">
        <f>IFERROR(__xludf.DUMMYFUNCTION("""COMPUTED_VALUE"""),57.0)</f>
        <v>57</v>
      </c>
      <c r="L75" s="1">
        <f>IFERROR(__xludf.DUMMYFUNCTION("""COMPUTED_VALUE"""),334.0)</f>
        <v>334</v>
      </c>
      <c r="M75" s="1">
        <f>IFERROR(__xludf.DUMMYFUNCTION("""COMPUTED_VALUE"""),66.8)</f>
        <v>66.8</v>
      </c>
      <c r="N75" s="1">
        <f>IFERROR(__xludf.DUMMYFUNCTION("""COMPUTED_VALUE"""),65.0)</f>
        <v>65</v>
      </c>
      <c r="O75" s="1" t="str">
        <f>IFERROR(__xludf.DUMMYFUNCTION("""COMPUTED_VALUE"""),"Pass")</f>
        <v>Pass</v>
      </c>
    </row>
    <row r="76" ht="15.75" customHeight="1">
      <c r="A76" s="1" t="str">
        <f>IFERROR(__xludf.DUMMYFUNCTION("""COMPUTED_VALUE"""),"STD-1180")</f>
        <v>STD-1180</v>
      </c>
      <c r="B76" s="1" t="str">
        <f>IFERROR(__xludf.DUMMYFUNCTION("""COMPUTED_VALUE"""),"Rahul Choudhary")</f>
        <v>Rahul Choudhary</v>
      </c>
      <c r="C76" s="1" t="str">
        <f>IFERROR(__xludf.DUMMYFUNCTION("""COMPUTED_VALUE"""),"Male")</f>
        <v>Male</v>
      </c>
      <c r="D76" s="1" t="str">
        <f>IFERROR(__xludf.DUMMYFUNCTION("""COMPUTED_VALUE"""),"7")</f>
        <v>7</v>
      </c>
      <c r="E76" s="1" t="str">
        <f>IFERROR(__xludf.DUMMYFUNCTION("""COMPUTED_VALUE"""),"B")</f>
        <v>B</v>
      </c>
      <c r="F76" s="1" t="str">
        <f>IFERROR(__xludf.DUMMYFUNCTION("""COMPUTED_VALUE"""),"Lucknow")</f>
        <v>Lucknow</v>
      </c>
      <c r="G76" s="1">
        <f>IFERROR(__xludf.DUMMYFUNCTION("""COMPUTED_VALUE"""),78.0)</f>
        <v>78</v>
      </c>
      <c r="H76" s="1">
        <f>IFERROR(__xludf.DUMMYFUNCTION("""COMPUTED_VALUE"""),75.0)</f>
        <v>75</v>
      </c>
      <c r="I76" s="1">
        <f>IFERROR(__xludf.DUMMYFUNCTION("""COMPUTED_VALUE"""),41.0)</f>
        <v>41</v>
      </c>
      <c r="J76" s="1">
        <f>IFERROR(__xludf.DUMMYFUNCTION("""COMPUTED_VALUE"""),66.0)</f>
        <v>66</v>
      </c>
      <c r="K76" s="1">
        <f>IFERROR(__xludf.DUMMYFUNCTION("""COMPUTED_VALUE"""),54.0)</f>
        <v>54</v>
      </c>
      <c r="L76" s="1">
        <f>IFERROR(__xludf.DUMMYFUNCTION("""COMPUTED_VALUE"""),314.0)</f>
        <v>314</v>
      </c>
      <c r="M76" s="1">
        <f>IFERROR(__xludf.DUMMYFUNCTION("""COMPUTED_VALUE"""),62.8)</f>
        <v>62.8</v>
      </c>
      <c r="N76" s="1">
        <f>IFERROR(__xludf.DUMMYFUNCTION("""COMPUTED_VALUE"""),94.0)</f>
        <v>94</v>
      </c>
      <c r="O76" s="1" t="str">
        <f>IFERROR(__xludf.DUMMYFUNCTION("""COMPUTED_VALUE"""),"Pass")</f>
        <v>Pass</v>
      </c>
    </row>
    <row r="77" ht="15.75" customHeight="1">
      <c r="A77" s="1" t="str">
        <f>IFERROR(__xludf.DUMMYFUNCTION("""COMPUTED_VALUE"""),"STD-1181")</f>
        <v>STD-1181</v>
      </c>
      <c r="B77" s="1" t="str">
        <f>IFERROR(__xludf.DUMMYFUNCTION("""COMPUTED_VALUE"""),"Rahul Verma")</f>
        <v>Rahul Verma</v>
      </c>
      <c r="C77" s="1" t="str">
        <f>IFERROR(__xludf.DUMMYFUNCTION("""COMPUTED_VALUE"""),"Female")</f>
        <v>Female</v>
      </c>
      <c r="D77" s="1" t="str">
        <f>IFERROR(__xludf.DUMMYFUNCTION("""COMPUTED_VALUE"""),"9")</f>
        <v>9</v>
      </c>
      <c r="E77" s="1" t="str">
        <f>IFERROR(__xludf.DUMMYFUNCTION("""COMPUTED_VALUE"""),"B")</f>
        <v>B</v>
      </c>
      <c r="F77" s="1" t="str">
        <f>IFERROR(__xludf.DUMMYFUNCTION("""COMPUTED_VALUE"""),"Mumbai")</f>
        <v>Mumbai</v>
      </c>
      <c r="G77" s="1">
        <f>IFERROR(__xludf.DUMMYFUNCTION("""COMPUTED_VALUE"""),93.0)</f>
        <v>93</v>
      </c>
      <c r="H77" s="1">
        <f>IFERROR(__xludf.DUMMYFUNCTION("""COMPUTED_VALUE"""),89.0)</f>
        <v>89</v>
      </c>
      <c r="I77" s="1">
        <f>IFERROR(__xludf.DUMMYFUNCTION("""COMPUTED_VALUE"""),86.0)</f>
        <v>86</v>
      </c>
      <c r="J77" s="1">
        <f>IFERROR(__xludf.DUMMYFUNCTION("""COMPUTED_VALUE"""),46.0)</f>
        <v>46</v>
      </c>
      <c r="K77" s="1">
        <f>IFERROR(__xludf.DUMMYFUNCTION("""COMPUTED_VALUE"""),65.0)</f>
        <v>65</v>
      </c>
      <c r="L77" s="1">
        <f>IFERROR(__xludf.DUMMYFUNCTION("""COMPUTED_VALUE"""),379.0)</f>
        <v>379</v>
      </c>
      <c r="M77" s="1">
        <f>IFERROR(__xludf.DUMMYFUNCTION("""COMPUTED_VALUE"""),75.8)</f>
        <v>75.8</v>
      </c>
      <c r="N77" s="1">
        <f>IFERROR(__xludf.DUMMYFUNCTION("""COMPUTED_VALUE"""),82.0)</f>
        <v>82</v>
      </c>
      <c r="O77" s="1" t="str">
        <f>IFERROR(__xludf.DUMMYFUNCTION("""COMPUTED_VALUE"""),"Pass")</f>
        <v>Pass</v>
      </c>
    </row>
    <row r="78" ht="15.75" customHeight="1">
      <c r="A78" s="1" t="str">
        <f>IFERROR(__xludf.DUMMYFUNCTION("""COMPUTED_VALUE"""),"STD-1183")</f>
        <v>STD-1183</v>
      </c>
      <c r="B78" s="1" t="str">
        <f>IFERROR(__xludf.DUMMYFUNCTION("""COMPUTED_VALUE"""),"Ananya Banerjee")</f>
        <v>Ananya Banerjee</v>
      </c>
      <c r="C78" s="1" t="str">
        <f>IFERROR(__xludf.DUMMYFUNCTION("""COMPUTED_VALUE"""),"Male")</f>
        <v>Male</v>
      </c>
      <c r="D78" s="1" t="str">
        <f>IFERROR(__xludf.DUMMYFUNCTION("""COMPUTED_VALUE"""),"9")</f>
        <v>9</v>
      </c>
      <c r="E78" s="1" t="str">
        <f>IFERROR(__xludf.DUMMYFUNCTION("""COMPUTED_VALUE"""),"A")</f>
        <v>A</v>
      </c>
      <c r="F78" s="1" t="str">
        <f>IFERROR(__xludf.DUMMYFUNCTION("""COMPUTED_VALUE"""),"Patna")</f>
        <v>Patna</v>
      </c>
      <c r="G78" s="1">
        <f>IFERROR(__xludf.DUMMYFUNCTION("""COMPUTED_VALUE"""),94.0)</f>
        <v>94</v>
      </c>
      <c r="H78" s="1">
        <f>IFERROR(__xludf.DUMMYFUNCTION("""COMPUTED_VALUE"""),42.0)</f>
        <v>42</v>
      </c>
      <c r="I78" s="1">
        <f>IFERROR(__xludf.DUMMYFUNCTION("""COMPUTED_VALUE"""),75.0)</f>
        <v>75</v>
      </c>
      <c r="J78" s="1">
        <f>IFERROR(__xludf.DUMMYFUNCTION("""COMPUTED_VALUE"""),91.0)</f>
        <v>91</v>
      </c>
      <c r="K78" s="1">
        <f>IFERROR(__xludf.DUMMYFUNCTION("""COMPUTED_VALUE"""),68.0)</f>
        <v>68</v>
      </c>
      <c r="L78" s="1">
        <f>IFERROR(__xludf.DUMMYFUNCTION("""COMPUTED_VALUE"""),370.0)</f>
        <v>370</v>
      </c>
      <c r="M78" s="1">
        <f>IFERROR(__xludf.DUMMYFUNCTION("""COMPUTED_VALUE"""),74.0)</f>
        <v>74</v>
      </c>
      <c r="N78" s="1">
        <f>IFERROR(__xludf.DUMMYFUNCTION("""COMPUTED_VALUE"""),77.0)</f>
        <v>77</v>
      </c>
      <c r="O78" s="1" t="str">
        <f>IFERROR(__xludf.DUMMYFUNCTION("""COMPUTED_VALUE"""),"Pass")</f>
        <v>Pass</v>
      </c>
    </row>
    <row r="79" ht="15.75" customHeight="1">
      <c r="A79" s="1" t="str">
        <f>IFERROR(__xludf.DUMMYFUNCTION("""COMPUTED_VALUE"""),"STD-1184")</f>
        <v>STD-1184</v>
      </c>
      <c r="B79" s="1" t="str">
        <f>IFERROR(__xludf.DUMMYFUNCTION("""COMPUTED_VALUE"""),"Karan Yadav")</f>
        <v>Karan Yadav</v>
      </c>
      <c r="C79" s="1" t="str">
        <f>IFERROR(__xludf.DUMMYFUNCTION("""COMPUTED_VALUE"""),"Female")</f>
        <v>Female</v>
      </c>
      <c r="D79" s="1" t="str">
        <f>IFERROR(__xludf.DUMMYFUNCTION("""COMPUTED_VALUE"""),"6")</f>
        <v>6</v>
      </c>
      <c r="E79" s="1" t="str">
        <f>IFERROR(__xludf.DUMMYFUNCTION("""COMPUTED_VALUE"""),"A")</f>
        <v>A</v>
      </c>
      <c r="F79" s="1" t="str">
        <f>IFERROR(__xludf.DUMMYFUNCTION("""COMPUTED_VALUE"""),"Lucknow")</f>
        <v>Lucknow</v>
      </c>
      <c r="G79" s="1">
        <f>IFERROR(__xludf.DUMMYFUNCTION("""COMPUTED_VALUE"""),100.0)</f>
        <v>100</v>
      </c>
      <c r="H79" s="1">
        <f>IFERROR(__xludf.DUMMYFUNCTION("""COMPUTED_VALUE"""),63.0)</f>
        <v>63</v>
      </c>
      <c r="I79" s="1">
        <f>IFERROR(__xludf.DUMMYFUNCTION("""COMPUTED_VALUE"""),71.0)</f>
        <v>71</v>
      </c>
      <c r="J79" s="1">
        <f>IFERROR(__xludf.DUMMYFUNCTION("""COMPUTED_VALUE"""),97.0)</f>
        <v>97</v>
      </c>
      <c r="K79" s="1">
        <f>IFERROR(__xludf.DUMMYFUNCTION("""COMPUTED_VALUE"""),69.0)</f>
        <v>69</v>
      </c>
      <c r="L79" s="1">
        <f>IFERROR(__xludf.DUMMYFUNCTION("""COMPUTED_VALUE"""),400.0)</f>
        <v>400</v>
      </c>
      <c r="M79" s="1">
        <f>IFERROR(__xludf.DUMMYFUNCTION("""COMPUTED_VALUE"""),80.0)</f>
        <v>80</v>
      </c>
      <c r="N79" s="1">
        <f>IFERROR(__xludf.DUMMYFUNCTION("""COMPUTED_VALUE"""),82.0)</f>
        <v>82</v>
      </c>
      <c r="O79" s="1" t="str">
        <f>IFERROR(__xludf.DUMMYFUNCTION("""COMPUTED_VALUE"""),"Pass")</f>
        <v>Pass</v>
      </c>
    </row>
    <row r="80" ht="15.75" customHeight="1">
      <c r="A80" s="1" t="str">
        <f>IFERROR(__xludf.DUMMYFUNCTION("""COMPUTED_VALUE"""),"STD-1188")</f>
        <v>STD-1188</v>
      </c>
      <c r="B80" s="1" t="str">
        <f>IFERROR(__xludf.DUMMYFUNCTION("""COMPUTED_VALUE"""),"Ishita Banerjee")</f>
        <v>Ishita Banerjee</v>
      </c>
      <c r="C80" s="1" t="str">
        <f>IFERROR(__xludf.DUMMYFUNCTION("""COMPUTED_VALUE"""),"Female")</f>
        <v>Female</v>
      </c>
      <c r="D80" s="1" t="str">
        <f>IFERROR(__xludf.DUMMYFUNCTION("""COMPUTED_VALUE"""),"7")</f>
        <v>7</v>
      </c>
      <c r="E80" s="1" t="str">
        <f>IFERROR(__xludf.DUMMYFUNCTION("""COMPUTED_VALUE"""),"C")</f>
        <v>C</v>
      </c>
      <c r="F80" s="1" t="str">
        <f>IFERROR(__xludf.DUMMYFUNCTION("""COMPUTED_VALUE"""),"Lucknow")</f>
        <v>Lucknow</v>
      </c>
      <c r="G80" s="1">
        <f>IFERROR(__xludf.DUMMYFUNCTION("""COMPUTED_VALUE"""),80.0)</f>
        <v>80</v>
      </c>
      <c r="H80" s="1">
        <f>IFERROR(__xludf.DUMMYFUNCTION("""COMPUTED_VALUE"""),70.0)</f>
        <v>70</v>
      </c>
      <c r="I80" s="1">
        <f>IFERROR(__xludf.DUMMYFUNCTION("""COMPUTED_VALUE"""),50.0)</f>
        <v>50</v>
      </c>
      <c r="J80" s="1">
        <f>IFERROR(__xludf.DUMMYFUNCTION("""COMPUTED_VALUE"""),67.0)</f>
        <v>67</v>
      </c>
      <c r="K80" s="1">
        <f>IFERROR(__xludf.DUMMYFUNCTION("""COMPUTED_VALUE"""),91.0)</f>
        <v>91</v>
      </c>
      <c r="L80" s="1">
        <f>IFERROR(__xludf.DUMMYFUNCTION("""COMPUTED_VALUE"""),358.0)</f>
        <v>358</v>
      </c>
      <c r="M80" s="1">
        <f>IFERROR(__xludf.DUMMYFUNCTION("""COMPUTED_VALUE"""),71.6)</f>
        <v>71.6</v>
      </c>
      <c r="N80" s="1">
        <f>IFERROR(__xludf.DUMMYFUNCTION("""COMPUTED_VALUE"""),71.0)</f>
        <v>71</v>
      </c>
      <c r="O80" s="1" t="str">
        <f>IFERROR(__xludf.DUMMYFUNCTION("""COMPUTED_VALUE"""),"Pass")</f>
        <v>Pass</v>
      </c>
    </row>
    <row r="81" ht="15.75" customHeight="1">
      <c r="A81" s="1" t="str">
        <f>IFERROR(__xludf.DUMMYFUNCTION("""COMPUTED_VALUE"""),"STD-1192")</f>
        <v>STD-1192</v>
      </c>
      <c r="B81" s="1" t="str">
        <f>IFERROR(__xludf.DUMMYFUNCTION("""COMPUTED_VALUE"""),"Neha Jain")</f>
        <v>Neha Jain</v>
      </c>
      <c r="C81" s="1" t="str">
        <f>IFERROR(__xludf.DUMMYFUNCTION("""COMPUTED_VALUE"""),"Female")</f>
        <v>Female</v>
      </c>
      <c r="D81" s="1" t="str">
        <f>IFERROR(__xludf.DUMMYFUNCTION("""COMPUTED_VALUE"""),"6")</f>
        <v>6</v>
      </c>
      <c r="E81" s="1" t="str">
        <f>IFERROR(__xludf.DUMMYFUNCTION("""COMPUTED_VALUE"""),"C")</f>
        <v>C</v>
      </c>
      <c r="F81" s="1" t="str">
        <f>IFERROR(__xludf.DUMMYFUNCTION("""COMPUTED_VALUE"""),"Jaipur")</f>
        <v>Jaipur</v>
      </c>
      <c r="G81" s="1">
        <f>IFERROR(__xludf.DUMMYFUNCTION("""COMPUTED_VALUE"""),81.0)</f>
        <v>81</v>
      </c>
      <c r="H81" s="1">
        <f>IFERROR(__xludf.DUMMYFUNCTION("""COMPUTED_VALUE"""),82.0)</f>
        <v>82</v>
      </c>
      <c r="I81" s="1">
        <f>IFERROR(__xludf.DUMMYFUNCTION("""COMPUTED_VALUE"""),42.0)</f>
        <v>42</v>
      </c>
      <c r="J81" s="1">
        <f>IFERROR(__xludf.DUMMYFUNCTION("""COMPUTED_VALUE"""),66.0)</f>
        <v>66</v>
      </c>
      <c r="K81" s="1">
        <f>IFERROR(__xludf.DUMMYFUNCTION("""COMPUTED_VALUE"""),86.0)</f>
        <v>86</v>
      </c>
      <c r="L81" s="1">
        <f>IFERROR(__xludf.DUMMYFUNCTION("""COMPUTED_VALUE"""),357.0)</f>
        <v>357</v>
      </c>
      <c r="M81" s="1">
        <f>IFERROR(__xludf.DUMMYFUNCTION("""COMPUTED_VALUE"""),71.4)</f>
        <v>71.4</v>
      </c>
      <c r="N81" s="1">
        <f>IFERROR(__xludf.DUMMYFUNCTION("""COMPUTED_VALUE"""),91.0)</f>
        <v>91</v>
      </c>
      <c r="O81" s="1" t="str">
        <f>IFERROR(__xludf.DUMMYFUNCTION("""COMPUTED_VALUE"""),"Pass")</f>
        <v>Pass</v>
      </c>
    </row>
    <row r="82" ht="15.75" customHeight="1">
      <c r="A82" s="1" t="str">
        <f>IFERROR(__xludf.DUMMYFUNCTION("""COMPUTED_VALUE"""),"STD-1194")</f>
        <v>STD-1194</v>
      </c>
      <c r="B82" s="1" t="str">
        <f>IFERROR(__xludf.DUMMYFUNCTION("""COMPUTED_VALUE"""),"Aarav Patel")</f>
        <v>Aarav Patel</v>
      </c>
      <c r="C82" s="1" t="str">
        <f>IFERROR(__xludf.DUMMYFUNCTION("""COMPUTED_VALUE"""),"Male")</f>
        <v>Male</v>
      </c>
      <c r="D82" s="1" t="str">
        <f>IFERROR(__xludf.DUMMYFUNCTION("""COMPUTED_VALUE"""),"9")</f>
        <v>9</v>
      </c>
      <c r="E82" s="1" t="str">
        <f>IFERROR(__xludf.DUMMYFUNCTION("""COMPUTED_VALUE"""),"A")</f>
        <v>A</v>
      </c>
      <c r="F82" s="1" t="str">
        <f>IFERROR(__xludf.DUMMYFUNCTION("""COMPUTED_VALUE"""),"Bhopal")</f>
        <v>Bhopal</v>
      </c>
      <c r="G82" s="1">
        <f>IFERROR(__xludf.DUMMYFUNCTION("""COMPUTED_VALUE"""),94.0)</f>
        <v>94</v>
      </c>
      <c r="H82" s="1">
        <f>IFERROR(__xludf.DUMMYFUNCTION("""COMPUTED_VALUE"""),67.0)</f>
        <v>67</v>
      </c>
      <c r="I82" s="1">
        <f>IFERROR(__xludf.DUMMYFUNCTION("""COMPUTED_VALUE"""),77.0)</f>
        <v>77</v>
      </c>
      <c r="J82" s="1">
        <f>IFERROR(__xludf.DUMMYFUNCTION("""COMPUTED_VALUE"""),60.0)</f>
        <v>60</v>
      </c>
      <c r="K82" s="1">
        <f>IFERROR(__xludf.DUMMYFUNCTION("""COMPUTED_VALUE"""),85.0)</f>
        <v>85</v>
      </c>
      <c r="L82" s="1">
        <f>IFERROR(__xludf.DUMMYFUNCTION("""COMPUTED_VALUE"""),383.0)</f>
        <v>383</v>
      </c>
      <c r="M82" s="1">
        <f>IFERROR(__xludf.DUMMYFUNCTION("""COMPUTED_VALUE"""),76.6)</f>
        <v>76.6</v>
      </c>
      <c r="N82" s="1">
        <f>IFERROR(__xludf.DUMMYFUNCTION("""COMPUTED_VALUE"""),98.0)</f>
        <v>98</v>
      </c>
      <c r="O82" s="1" t="str">
        <f>IFERROR(__xludf.DUMMYFUNCTION("""COMPUTED_VALUE"""),"Pass")</f>
        <v>Pass</v>
      </c>
    </row>
    <row r="83" ht="15.75" customHeight="1">
      <c r="A83" s="1" t="str">
        <f>IFERROR(__xludf.DUMMYFUNCTION("""COMPUTED_VALUE"""),"STD-1196")</f>
        <v>STD-1196</v>
      </c>
      <c r="B83" s="1" t="str">
        <f>IFERROR(__xludf.DUMMYFUNCTION("""COMPUTED_VALUE"""),"Kavya Nair")</f>
        <v>Kavya Nair</v>
      </c>
      <c r="C83" s="1" t="str">
        <f>IFERROR(__xludf.DUMMYFUNCTION("""COMPUTED_VALUE"""),"Male")</f>
        <v>Male</v>
      </c>
      <c r="D83" s="1" t="str">
        <f>IFERROR(__xludf.DUMMYFUNCTION("""COMPUTED_VALUE"""),"6")</f>
        <v>6</v>
      </c>
      <c r="E83" s="1" t="str">
        <f>IFERROR(__xludf.DUMMYFUNCTION("""COMPUTED_VALUE"""),"B")</f>
        <v>B</v>
      </c>
      <c r="F83" s="1" t="str">
        <f>IFERROR(__xludf.DUMMYFUNCTION("""COMPUTED_VALUE"""),"Lucknow")</f>
        <v>Lucknow</v>
      </c>
      <c r="G83" s="1">
        <f>IFERROR(__xludf.DUMMYFUNCTION("""COMPUTED_VALUE"""),84.0)</f>
        <v>84</v>
      </c>
      <c r="H83" s="1">
        <f>IFERROR(__xludf.DUMMYFUNCTION("""COMPUTED_VALUE"""),54.0)</f>
        <v>54</v>
      </c>
      <c r="I83" s="1">
        <f>IFERROR(__xludf.DUMMYFUNCTION("""COMPUTED_VALUE"""),54.0)</f>
        <v>54</v>
      </c>
      <c r="J83" s="1">
        <f>IFERROR(__xludf.DUMMYFUNCTION("""COMPUTED_VALUE"""),53.0)</f>
        <v>53</v>
      </c>
      <c r="K83" s="1">
        <f>IFERROR(__xludf.DUMMYFUNCTION("""COMPUTED_VALUE"""),46.0)</f>
        <v>46</v>
      </c>
      <c r="L83" s="1">
        <f>IFERROR(__xludf.DUMMYFUNCTION("""COMPUTED_VALUE"""),291.0)</f>
        <v>291</v>
      </c>
      <c r="M83" s="1">
        <f>IFERROR(__xludf.DUMMYFUNCTION("""COMPUTED_VALUE"""),58.2)</f>
        <v>58.2</v>
      </c>
      <c r="N83" s="1">
        <f>IFERROR(__xludf.DUMMYFUNCTION("""COMPUTED_VALUE"""),64.0)</f>
        <v>64</v>
      </c>
      <c r="O83" s="1" t="str">
        <f>IFERROR(__xludf.DUMMYFUNCTION("""COMPUTED_VALUE"""),"Pass")</f>
        <v>Pass</v>
      </c>
    </row>
    <row r="84" ht="15.75" customHeight="1">
      <c r="A84" s="1" t="str">
        <f>IFERROR(__xludf.DUMMYFUNCTION("""COMPUTED_VALUE"""),"STD-1198")</f>
        <v>STD-1198</v>
      </c>
      <c r="B84" s="1" t="str">
        <f>IFERROR(__xludf.DUMMYFUNCTION("""COMPUTED_VALUE"""),"Arjun Yadav")</f>
        <v>Arjun Yadav</v>
      </c>
      <c r="C84" s="1" t="str">
        <f>IFERROR(__xludf.DUMMYFUNCTION("""COMPUTED_VALUE"""),"Male")</f>
        <v>Male</v>
      </c>
      <c r="D84" s="1" t="str">
        <f>IFERROR(__xludf.DUMMYFUNCTION("""COMPUTED_VALUE"""),"8")</f>
        <v>8</v>
      </c>
      <c r="E84" s="1" t="str">
        <f>IFERROR(__xludf.DUMMYFUNCTION("""COMPUTED_VALUE"""),"A")</f>
        <v>A</v>
      </c>
      <c r="F84" s="1" t="str">
        <f>IFERROR(__xludf.DUMMYFUNCTION("""COMPUTED_VALUE"""),"Chandigarh")</f>
        <v>Chandigarh</v>
      </c>
      <c r="G84" s="1">
        <f>IFERROR(__xludf.DUMMYFUNCTION("""COMPUTED_VALUE"""),100.0)</f>
        <v>100</v>
      </c>
      <c r="H84" s="1">
        <f>IFERROR(__xludf.DUMMYFUNCTION("""COMPUTED_VALUE"""),42.0)</f>
        <v>42</v>
      </c>
      <c r="I84" s="1">
        <f>IFERROR(__xludf.DUMMYFUNCTION("""COMPUTED_VALUE"""),93.0)</f>
        <v>93</v>
      </c>
      <c r="J84" s="1">
        <f>IFERROR(__xludf.DUMMYFUNCTION("""COMPUTED_VALUE"""),96.0)</f>
        <v>96</v>
      </c>
      <c r="K84" s="1">
        <f>IFERROR(__xludf.DUMMYFUNCTION("""COMPUTED_VALUE"""),40.0)</f>
        <v>40</v>
      </c>
      <c r="L84" s="1">
        <f>IFERROR(__xludf.DUMMYFUNCTION("""COMPUTED_VALUE"""),371.0)</f>
        <v>371</v>
      </c>
      <c r="M84" s="1">
        <f>IFERROR(__xludf.DUMMYFUNCTION("""COMPUTED_VALUE"""),74.2)</f>
        <v>74.2</v>
      </c>
      <c r="N84" s="1">
        <f>IFERROR(__xludf.DUMMYFUNCTION("""COMPUTED_VALUE"""),82.0)</f>
        <v>82</v>
      </c>
      <c r="O84" s="1" t="str">
        <f>IFERROR(__xludf.DUMMYFUNCTION("""COMPUTED_VALUE"""),"Pass")</f>
        <v>Pass</v>
      </c>
    </row>
    <row r="85" ht="15.75" customHeight="1">
      <c r="A85" s="1" t="str">
        <f>IFERROR(__xludf.DUMMYFUNCTION("""COMPUTED_VALUE"""),"STD-1199")</f>
        <v>STD-1199</v>
      </c>
      <c r="B85" s="1" t="str">
        <f>IFERROR(__xludf.DUMMYFUNCTION("""COMPUTED_VALUE"""),"Ritika Das")</f>
        <v>Ritika Das</v>
      </c>
      <c r="C85" s="1" t="str">
        <f>IFERROR(__xludf.DUMMYFUNCTION("""COMPUTED_VALUE"""),"Female")</f>
        <v>Female</v>
      </c>
      <c r="D85" s="1" t="str">
        <f>IFERROR(__xludf.DUMMYFUNCTION("""COMPUTED_VALUE"""),"10")</f>
        <v>10</v>
      </c>
      <c r="E85" s="1" t="str">
        <f>IFERROR(__xludf.DUMMYFUNCTION("""COMPUTED_VALUE"""),"A")</f>
        <v>A</v>
      </c>
      <c r="F85" s="1" t="str">
        <f>IFERROR(__xludf.DUMMYFUNCTION("""COMPUTED_VALUE"""),"Mumbai")</f>
        <v>Mumbai</v>
      </c>
      <c r="G85" s="1">
        <f>IFERROR(__xludf.DUMMYFUNCTION("""COMPUTED_VALUE"""),82.0)</f>
        <v>82</v>
      </c>
      <c r="H85" s="1">
        <f>IFERROR(__xludf.DUMMYFUNCTION("""COMPUTED_VALUE"""),89.0)</f>
        <v>89</v>
      </c>
      <c r="I85" s="1">
        <f>IFERROR(__xludf.DUMMYFUNCTION("""COMPUTED_VALUE"""),48.0)</f>
        <v>48</v>
      </c>
      <c r="J85" s="1">
        <f>IFERROR(__xludf.DUMMYFUNCTION("""COMPUTED_VALUE"""),60.0)</f>
        <v>60</v>
      </c>
      <c r="K85" s="1">
        <f>IFERROR(__xludf.DUMMYFUNCTION("""COMPUTED_VALUE"""),59.0)</f>
        <v>59</v>
      </c>
      <c r="L85" s="1">
        <f>IFERROR(__xludf.DUMMYFUNCTION("""COMPUTED_VALUE"""),338.0)</f>
        <v>338</v>
      </c>
      <c r="M85" s="1">
        <f>IFERROR(__xludf.DUMMYFUNCTION("""COMPUTED_VALUE"""),67.6)</f>
        <v>67.6</v>
      </c>
      <c r="N85" s="1">
        <f>IFERROR(__xludf.DUMMYFUNCTION("""COMPUTED_VALUE"""),60.0)</f>
        <v>60</v>
      </c>
      <c r="O85" s="1" t="str">
        <f>IFERROR(__xludf.DUMMYFUNCTION("""COMPUTED_VALUE"""),"Pass")</f>
        <v>Pass</v>
      </c>
    </row>
    <row r="86" ht="15.75" customHeight="1">
      <c r="A86" s="1" t="str">
        <f>IFERROR(__xludf.DUMMYFUNCTION("""COMPUTED_VALUE"""),"STD-1201")</f>
        <v>STD-1201</v>
      </c>
      <c r="B86" s="1" t="str">
        <f>IFERROR(__xludf.DUMMYFUNCTION("""COMPUTED_VALUE"""),"Tanvi Patel")</f>
        <v>Tanvi Patel</v>
      </c>
      <c r="C86" s="1" t="str">
        <f>IFERROR(__xludf.DUMMYFUNCTION("""COMPUTED_VALUE"""),"Female")</f>
        <v>Female</v>
      </c>
      <c r="D86" s="1" t="str">
        <f>IFERROR(__xludf.DUMMYFUNCTION("""COMPUTED_VALUE"""),"8")</f>
        <v>8</v>
      </c>
      <c r="E86" s="1" t="str">
        <f>IFERROR(__xludf.DUMMYFUNCTION("""COMPUTED_VALUE"""),"C")</f>
        <v>C</v>
      </c>
      <c r="F86" s="1" t="str">
        <f>IFERROR(__xludf.DUMMYFUNCTION("""COMPUTED_VALUE"""),"Chandigarh")</f>
        <v>Chandigarh</v>
      </c>
      <c r="G86" s="1">
        <f>IFERROR(__xludf.DUMMYFUNCTION("""COMPUTED_VALUE"""),76.0)</f>
        <v>76</v>
      </c>
      <c r="H86" s="1">
        <f>IFERROR(__xludf.DUMMYFUNCTION("""COMPUTED_VALUE"""),86.0)</f>
        <v>86</v>
      </c>
      <c r="I86" s="1">
        <f>IFERROR(__xludf.DUMMYFUNCTION("""COMPUTED_VALUE"""),94.0)</f>
        <v>94</v>
      </c>
      <c r="J86" s="1">
        <f>IFERROR(__xludf.DUMMYFUNCTION("""COMPUTED_VALUE"""),79.0)</f>
        <v>79</v>
      </c>
      <c r="K86" s="1">
        <f>IFERROR(__xludf.DUMMYFUNCTION("""COMPUTED_VALUE"""),64.0)</f>
        <v>64</v>
      </c>
      <c r="L86" s="1">
        <f>IFERROR(__xludf.DUMMYFUNCTION("""COMPUTED_VALUE"""),399.0)</f>
        <v>399</v>
      </c>
      <c r="M86" s="1">
        <f>IFERROR(__xludf.DUMMYFUNCTION("""COMPUTED_VALUE"""),79.8)</f>
        <v>79.8</v>
      </c>
      <c r="N86" s="1">
        <f>IFERROR(__xludf.DUMMYFUNCTION("""COMPUTED_VALUE"""),66.0)</f>
        <v>66</v>
      </c>
      <c r="O86" s="1" t="str">
        <f>IFERROR(__xludf.DUMMYFUNCTION("""COMPUTED_VALUE"""),"Pass")</f>
        <v>Pass</v>
      </c>
    </row>
    <row r="87" ht="15.75" customHeight="1">
      <c r="A87" s="1" t="str">
        <f>IFERROR(__xludf.DUMMYFUNCTION("""COMPUTED_VALUE"""),"STD-1202")</f>
        <v>STD-1202</v>
      </c>
      <c r="B87" s="1" t="str">
        <f>IFERROR(__xludf.DUMMYFUNCTION("""COMPUTED_VALUE"""),"Priya Nair")</f>
        <v>Priya Nair</v>
      </c>
      <c r="C87" s="1" t="str">
        <f>IFERROR(__xludf.DUMMYFUNCTION("""COMPUTED_VALUE"""),"Male")</f>
        <v>Male</v>
      </c>
      <c r="D87" s="1" t="str">
        <f>IFERROR(__xludf.DUMMYFUNCTION("""COMPUTED_VALUE"""),"9")</f>
        <v>9</v>
      </c>
      <c r="E87" s="1" t="str">
        <f>IFERROR(__xludf.DUMMYFUNCTION("""COMPUTED_VALUE"""),"C")</f>
        <v>C</v>
      </c>
      <c r="F87" s="1" t="str">
        <f>IFERROR(__xludf.DUMMYFUNCTION("""COMPUTED_VALUE"""),"Bhopal")</f>
        <v>Bhopal</v>
      </c>
      <c r="G87" s="1">
        <f>IFERROR(__xludf.DUMMYFUNCTION("""COMPUTED_VALUE"""),78.0)</f>
        <v>78</v>
      </c>
      <c r="H87" s="1">
        <f>IFERROR(__xludf.DUMMYFUNCTION("""COMPUTED_VALUE"""),93.0)</f>
        <v>93</v>
      </c>
      <c r="I87" s="1">
        <f>IFERROR(__xludf.DUMMYFUNCTION("""COMPUTED_VALUE"""),98.0)</f>
        <v>98</v>
      </c>
      <c r="J87" s="1">
        <f>IFERROR(__xludf.DUMMYFUNCTION("""COMPUTED_VALUE"""),54.0)</f>
        <v>54</v>
      </c>
      <c r="K87" s="1">
        <f>IFERROR(__xludf.DUMMYFUNCTION("""COMPUTED_VALUE"""),87.0)</f>
        <v>87</v>
      </c>
      <c r="L87" s="1">
        <f>IFERROR(__xludf.DUMMYFUNCTION("""COMPUTED_VALUE"""),410.0)</f>
        <v>410</v>
      </c>
      <c r="M87" s="1">
        <f>IFERROR(__xludf.DUMMYFUNCTION("""COMPUTED_VALUE"""),82.0)</f>
        <v>82</v>
      </c>
      <c r="N87" s="1">
        <f>IFERROR(__xludf.DUMMYFUNCTION("""COMPUTED_VALUE"""),85.0)</f>
        <v>85</v>
      </c>
      <c r="O87" s="1" t="str">
        <f>IFERROR(__xludf.DUMMYFUNCTION("""COMPUTED_VALUE"""),"Pass")</f>
        <v>Pass</v>
      </c>
    </row>
    <row r="88" ht="15.75" customHeight="1">
      <c r="A88" s="1" t="str">
        <f>IFERROR(__xludf.DUMMYFUNCTION("""COMPUTED_VALUE"""),"STD-1204")</f>
        <v>STD-1204</v>
      </c>
      <c r="B88" s="1" t="str">
        <f>IFERROR(__xludf.DUMMYFUNCTION("""COMPUTED_VALUE"""),"Ritika Das")</f>
        <v>Ritika Das</v>
      </c>
      <c r="C88" s="1" t="str">
        <f>IFERROR(__xludf.DUMMYFUNCTION("""COMPUTED_VALUE"""),"Male")</f>
        <v>Male</v>
      </c>
      <c r="D88" s="1" t="str">
        <f>IFERROR(__xludf.DUMMYFUNCTION("""COMPUTED_VALUE"""),"6")</f>
        <v>6</v>
      </c>
      <c r="E88" s="1" t="str">
        <f>IFERROR(__xludf.DUMMYFUNCTION("""COMPUTED_VALUE"""),"B")</f>
        <v>B</v>
      </c>
      <c r="F88" s="1" t="str">
        <f>IFERROR(__xludf.DUMMYFUNCTION("""COMPUTED_VALUE"""),"Lucknow")</f>
        <v>Lucknow</v>
      </c>
      <c r="G88" s="1">
        <f>IFERROR(__xludf.DUMMYFUNCTION("""COMPUTED_VALUE"""),77.0)</f>
        <v>77</v>
      </c>
      <c r="H88" s="1">
        <f>IFERROR(__xludf.DUMMYFUNCTION("""COMPUTED_VALUE"""),96.0)</f>
        <v>96</v>
      </c>
      <c r="I88" s="1">
        <f>IFERROR(__xludf.DUMMYFUNCTION("""COMPUTED_VALUE"""),98.0)</f>
        <v>98</v>
      </c>
      <c r="J88" s="1">
        <f>IFERROR(__xludf.DUMMYFUNCTION("""COMPUTED_VALUE"""),96.0)</f>
        <v>96</v>
      </c>
      <c r="K88" s="1">
        <f>IFERROR(__xludf.DUMMYFUNCTION("""COMPUTED_VALUE"""),58.0)</f>
        <v>58</v>
      </c>
      <c r="L88" s="1">
        <f>IFERROR(__xludf.DUMMYFUNCTION("""COMPUTED_VALUE"""),425.0)</f>
        <v>425</v>
      </c>
      <c r="M88" s="1">
        <f>IFERROR(__xludf.DUMMYFUNCTION("""COMPUTED_VALUE"""),85.0)</f>
        <v>85</v>
      </c>
      <c r="N88" s="1">
        <f>IFERROR(__xludf.DUMMYFUNCTION("""COMPUTED_VALUE"""),66.0)</f>
        <v>66</v>
      </c>
      <c r="O88" s="1" t="str">
        <f>IFERROR(__xludf.DUMMYFUNCTION("""COMPUTED_VALUE"""),"Pass")</f>
        <v>Pass</v>
      </c>
    </row>
    <row r="89" ht="15.75" customHeight="1">
      <c r="A89" s="1" t="str">
        <f>IFERROR(__xludf.DUMMYFUNCTION("""COMPUTED_VALUE"""),"STD-1206")</f>
        <v>STD-1206</v>
      </c>
      <c r="B89" s="1" t="str">
        <f>IFERROR(__xludf.DUMMYFUNCTION("""COMPUTED_VALUE"""),"Rahul Jain")</f>
        <v>Rahul Jain</v>
      </c>
      <c r="C89" s="1" t="str">
        <f>IFERROR(__xludf.DUMMYFUNCTION("""COMPUTED_VALUE"""),"Female")</f>
        <v>Female</v>
      </c>
      <c r="D89" s="1" t="str">
        <f>IFERROR(__xludf.DUMMYFUNCTION("""COMPUTED_VALUE"""),"9")</f>
        <v>9</v>
      </c>
      <c r="E89" s="1" t="str">
        <f>IFERROR(__xludf.DUMMYFUNCTION("""COMPUTED_VALUE"""),"B")</f>
        <v>B</v>
      </c>
      <c r="F89" s="1" t="str">
        <f>IFERROR(__xludf.DUMMYFUNCTION("""COMPUTED_VALUE"""),"Bhopal")</f>
        <v>Bhopal</v>
      </c>
      <c r="G89" s="1">
        <f>IFERROR(__xludf.DUMMYFUNCTION("""COMPUTED_VALUE"""),82.0)</f>
        <v>82</v>
      </c>
      <c r="H89" s="1">
        <f>IFERROR(__xludf.DUMMYFUNCTION("""COMPUTED_VALUE"""),92.0)</f>
        <v>92</v>
      </c>
      <c r="I89" s="1">
        <f>IFERROR(__xludf.DUMMYFUNCTION("""COMPUTED_VALUE"""),57.0)</f>
        <v>57</v>
      </c>
      <c r="J89" s="1">
        <f>IFERROR(__xludf.DUMMYFUNCTION("""COMPUTED_VALUE"""),74.0)</f>
        <v>74</v>
      </c>
      <c r="K89" s="1">
        <f>IFERROR(__xludf.DUMMYFUNCTION("""COMPUTED_VALUE"""),73.0)</f>
        <v>73</v>
      </c>
      <c r="L89" s="1">
        <f>IFERROR(__xludf.DUMMYFUNCTION("""COMPUTED_VALUE"""),378.0)</f>
        <v>378</v>
      </c>
      <c r="M89" s="1">
        <f>IFERROR(__xludf.DUMMYFUNCTION("""COMPUTED_VALUE"""),75.6)</f>
        <v>75.6</v>
      </c>
      <c r="N89" s="1">
        <f>IFERROR(__xludf.DUMMYFUNCTION("""COMPUTED_VALUE"""),89.0)</f>
        <v>89</v>
      </c>
      <c r="O89" s="1" t="str">
        <f>IFERROR(__xludf.DUMMYFUNCTION("""COMPUTED_VALUE"""),"Pass")</f>
        <v>Pass</v>
      </c>
    </row>
    <row r="90" ht="15.75" customHeight="1">
      <c r="A90" s="1" t="str">
        <f>IFERROR(__xludf.DUMMYFUNCTION("""COMPUTED_VALUE"""),"STD-1208")</f>
        <v>STD-1208</v>
      </c>
      <c r="B90" s="1" t="str">
        <f>IFERROR(__xludf.DUMMYFUNCTION("""COMPUTED_VALUE"""),"Aditya Sharma")</f>
        <v>Aditya Sharma</v>
      </c>
      <c r="C90" s="1" t="str">
        <f>IFERROR(__xludf.DUMMYFUNCTION("""COMPUTED_VALUE"""),"Female")</f>
        <v>Female</v>
      </c>
      <c r="D90" s="1" t="str">
        <f>IFERROR(__xludf.DUMMYFUNCTION("""COMPUTED_VALUE"""),"10")</f>
        <v>10</v>
      </c>
      <c r="E90" s="1" t="str">
        <f>IFERROR(__xludf.DUMMYFUNCTION("""COMPUTED_VALUE"""),"C")</f>
        <v>C</v>
      </c>
      <c r="F90" s="1" t="str">
        <f>IFERROR(__xludf.DUMMYFUNCTION("""COMPUTED_VALUE"""),"Patna")</f>
        <v>Patna</v>
      </c>
      <c r="G90" s="1">
        <f>IFERROR(__xludf.DUMMYFUNCTION("""COMPUTED_VALUE"""),77.0)</f>
        <v>77</v>
      </c>
      <c r="H90" s="1">
        <f>IFERROR(__xludf.DUMMYFUNCTION("""COMPUTED_VALUE"""),55.0)</f>
        <v>55</v>
      </c>
      <c r="I90" s="1">
        <f>IFERROR(__xludf.DUMMYFUNCTION("""COMPUTED_VALUE"""),79.0)</f>
        <v>79</v>
      </c>
      <c r="J90" s="1">
        <f>IFERROR(__xludf.DUMMYFUNCTION("""COMPUTED_VALUE"""),93.0)</f>
        <v>93</v>
      </c>
      <c r="K90" s="1">
        <f>IFERROR(__xludf.DUMMYFUNCTION("""COMPUTED_VALUE"""),68.0)</f>
        <v>68</v>
      </c>
      <c r="L90" s="1">
        <f>IFERROR(__xludf.DUMMYFUNCTION("""COMPUTED_VALUE"""),372.0)</f>
        <v>372</v>
      </c>
      <c r="M90" s="1">
        <f>IFERROR(__xludf.DUMMYFUNCTION("""COMPUTED_VALUE"""),74.4)</f>
        <v>74.4</v>
      </c>
      <c r="N90" s="1">
        <f>IFERROR(__xludf.DUMMYFUNCTION("""COMPUTED_VALUE"""),61.0)</f>
        <v>61</v>
      </c>
      <c r="O90" s="1" t="str">
        <f>IFERROR(__xludf.DUMMYFUNCTION("""COMPUTED_VALUE"""),"Pass")</f>
        <v>Pass</v>
      </c>
    </row>
    <row r="91" ht="15.75" customHeight="1">
      <c r="A91" s="1" t="str">
        <f>IFERROR(__xludf.DUMMYFUNCTION("""COMPUTED_VALUE"""),"STD-1209")</f>
        <v>STD-1209</v>
      </c>
      <c r="B91" s="1" t="str">
        <f>IFERROR(__xludf.DUMMYFUNCTION("""COMPUTED_VALUE"""),"Sai Kaur")</f>
        <v>Sai Kaur</v>
      </c>
      <c r="C91" s="1" t="str">
        <f>IFERROR(__xludf.DUMMYFUNCTION("""COMPUTED_VALUE"""),"Female")</f>
        <v>Female</v>
      </c>
      <c r="D91" s="1" t="str">
        <f>IFERROR(__xludf.DUMMYFUNCTION("""COMPUTED_VALUE"""),"6")</f>
        <v>6</v>
      </c>
      <c r="E91" s="1" t="str">
        <f>IFERROR(__xludf.DUMMYFUNCTION("""COMPUTED_VALUE"""),"C")</f>
        <v>C</v>
      </c>
      <c r="F91" s="1" t="str">
        <f>IFERROR(__xludf.DUMMYFUNCTION("""COMPUTED_VALUE"""),"Chandigarh")</f>
        <v>Chandigarh</v>
      </c>
      <c r="G91" s="1">
        <f>IFERROR(__xludf.DUMMYFUNCTION("""COMPUTED_VALUE"""),76.0)</f>
        <v>76</v>
      </c>
      <c r="H91" s="1">
        <f>IFERROR(__xludf.DUMMYFUNCTION("""COMPUTED_VALUE"""),77.0)</f>
        <v>77</v>
      </c>
      <c r="I91" s="1">
        <f>IFERROR(__xludf.DUMMYFUNCTION("""COMPUTED_VALUE"""),96.0)</f>
        <v>96</v>
      </c>
      <c r="J91" s="1">
        <f>IFERROR(__xludf.DUMMYFUNCTION("""COMPUTED_VALUE"""),80.0)</f>
        <v>80</v>
      </c>
      <c r="K91" s="1">
        <f>IFERROR(__xludf.DUMMYFUNCTION("""COMPUTED_VALUE"""),64.0)</f>
        <v>64</v>
      </c>
      <c r="L91" s="1">
        <f>IFERROR(__xludf.DUMMYFUNCTION("""COMPUTED_VALUE"""),393.0)</f>
        <v>393</v>
      </c>
      <c r="M91" s="1">
        <f>IFERROR(__xludf.DUMMYFUNCTION("""COMPUTED_VALUE"""),78.6)</f>
        <v>78.6</v>
      </c>
      <c r="N91" s="1">
        <f>IFERROR(__xludf.DUMMYFUNCTION("""COMPUTED_VALUE"""),94.0)</f>
        <v>94</v>
      </c>
      <c r="O91" s="1" t="str">
        <f>IFERROR(__xludf.DUMMYFUNCTION("""COMPUTED_VALUE"""),"Pass")</f>
        <v>Pass</v>
      </c>
    </row>
    <row r="92" ht="15.75" customHeight="1">
      <c r="A92" s="1" t="str">
        <f>IFERROR(__xludf.DUMMYFUNCTION("""COMPUTED_VALUE"""),"STD-1212")</f>
        <v>STD-1212</v>
      </c>
      <c r="B92" s="1" t="str">
        <f>IFERROR(__xludf.DUMMYFUNCTION("""COMPUTED_VALUE"""),"Neha Sharma")</f>
        <v>Neha Sharma</v>
      </c>
      <c r="C92" s="1" t="str">
        <f>IFERROR(__xludf.DUMMYFUNCTION("""COMPUTED_VALUE"""),"Male")</f>
        <v>Male</v>
      </c>
      <c r="D92" s="1" t="str">
        <f>IFERROR(__xludf.DUMMYFUNCTION("""COMPUTED_VALUE"""),"7")</f>
        <v>7</v>
      </c>
      <c r="E92" s="1" t="str">
        <f>IFERROR(__xludf.DUMMYFUNCTION("""COMPUTED_VALUE"""),"C")</f>
        <v>C</v>
      </c>
      <c r="F92" s="1" t="str">
        <f>IFERROR(__xludf.DUMMYFUNCTION("""COMPUTED_VALUE"""),"Patna")</f>
        <v>Patna</v>
      </c>
      <c r="G92" s="1">
        <f>IFERROR(__xludf.DUMMYFUNCTION("""COMPUTED_VALUE"""),95.0)</f>
        <v>95</v>
      </c>
      <c r="H92" s="1">
        <f>IFERROR(__xludf.DUMMYFUNCTION("""COMPUTED_VALUE"""),80.0)</f>
        <v>80</v>
      </c>
      <c r="I92" s="1">
        <f>IFERROR(__xludf.DUMMYFUNCTION("""COMPUTED_VALUE"""),52.0)</f>
        <v>52</v>
      </c>
      <c r="J92" s="1">
        <f>IFERROR(__xludf.DUMMYFUNCTION("""COMPUTED_VALUE"""),76.0)</f>
        <v>76</v>
      </c>
      <c r="K92" s="1">
        <f>IFERROR(__xludf.DUMMYFUNCTION("""COMPUTED_VALUE"""),76.0)</f>
        <v>76</v>
      </c>
      <c r="L92" s="1">
        <f>IFERROR(__xludf.DUMMYFUNCTION("""COMPUTED_VALUE"""),379.0)</f>
        <v>379</v>
      </c>
      <c r="M92" s="1">
        <f>IFERROR(__xludf.DUMMYFUNCTION("""COMPUTED_VALUE"""),75.8)</f>
        <v>75.8</v>
      </c>
      <c r="N92" s="1">
        <f>IFERROR(__xludf.DUMMYFUNCTION("""COMPUTED_VALUE"""),91.0)</f>
        <v>91</v>
      </c>
      <c r="O92" s="1" t="str">
        <f>IFERROR(__xludf.DUMMYFUNCTION("""COMPUTED_VALUE"""),"Pass")</f>
        <v>Pass</v>
      </c>
    </row>
    <row r="93" ht="15.75" customHeight="1">
      <c r="A93" s="1" t="str">
        <f>IFERROR(__xludf.DUMMYFUNCTION("""COMPUTED_VALUE"""),"STD-1216")</f>
        <v>STD-1216</v>
      </c>
      <c r="B93" s="1" t="str">
        <f>IFERROR(__xludf.DUMMYFUNCTION("""COMPUTED_VALUE"""),"Aditya Das")</f>
        <v>Aditya Das</v>
      </c>
      <c r="C93" s="1" t="str">
        <f>IFERROR(__xludf.DUMMYFUNCTION("""COMPUTED_VALUE"""),"Male")</f>
        <v>Male</v>
      </c>
      <c r="D93" s="1" t="str">
        <f>IFERROR(__xludf.DUMMYFUNCTION("""COMPUTED_VALUE"""),"10")</f>
        <v>10</v>
      </c>
      <c r="E93" s="1" t="str">
        <f>IFERROR(__xludf.DUMMYFUNCTION("""COMPUTED_VALUE"""),"B")</f>
        <v>B</v>
      </c>
      <c r="F93" s="1" t="str">
        <f>IFERROR(__xludf.DUMMYFUNCTION("""COMPUTED_VALUE"""),"Chandigarh")</f>
        <v>Chandigarh</v>
      </c>
      <c r="G93" s="1">
        <f>IFERROR(__xludf.DUMMYFUNCTION("""COMPUTED_VALUE"""),91.0)</f>
        <v>91</v>
      </c>
      <c r="H93" s="1">
        <f>IFERROR(__xludf.DUMMYFUNCTION("""COMPUTED_VALUE"""),78.0)</f>
        <v>78</v>
      </c>
      <c r="I93" s="1">
        <f>IFERROR(__xludf.DUMMYFUNCTION("""COMPUTED_VALUE"""),90.0)</f>
        <v>90</v>
      </c>
      <c r="J93" s="1">
        <f>IFERROR(__xludf.DUMMYFUNCTION("""COMPUTED_VALUE"""),68.0)</f>
        <v>68</v>
      </c>
      <c r="K93" s="1">
        <f>IFERROR(__xludf.DUMMYFUNCTION("""COMPUTED_VALUE"""),57.0)</f>
        <v>57</v>
      </c>
      <c r="L93" s="1">
        <f>IFERROR(__xludf.DUMMYFUNCTION("""COMPUTED_VALUE"""),384.0)</f>
        <v>384</v>
      </c>
      <c r="M93" s="1">
        <f>IFERROR(__xludf.DUMMYFUNCTION("""COMPUTED_VALUE"""),76.8)</f>
        <v>76.8</v>
      </c>
      <c r="N93" s="1">
        <f>IFERROR(__xludf.DUMMYFUNCTION("""COMPUTED_VALUE"""),99.0)</f>
        <v>99</v>
      </c>
      <c r="O93" s="1" t="str">
        <f>IFERROR(__xludf.DUMMYFUNCTION("""COMPUTED_VALUE"""),"Pass")</f>
        <v>Pass</v>
      </c>
    </row>
    <row r="94" ht="15.75" customHeight="1">
      <c r="A94" s="1" t="str">
        <f>IFERROR(__xludf.DUMMYFUNCTION("""COMPUTED_VALUE"""),"STD-1217")</f>
        <v>STD-1217</v>
      </c>
      <c r="B94" s="1" t="str">
        <f>IFERROR(__xludf.DUMMYFUNCTION("""COMPUTED_VALUE"""),"Aditya Choudhary")</f>
        <v>Aditya Choudhary</v>
      </c>
      <c r="C94" s="1" t="str">
        <f>IFERROR(__xludf.DUMMYFUNCTION("""COMPUTED_VALUE"""),"Female")</f>
        <v>Female</v>
      </c>
      <c r="D94" s="1" t="str">
        <f>IFERROR(__xludf.DUMMYFUNCTION("""COMPUTED_VALUE"""),"10")</f>
        <v>10</v>
      </c>
      <c r="E94" s="1" t="str">
        <f>IFERROR(__xludf.DUMMYFUNCTION("""COMPUTED_VALUE"""),"B")</f>
        <v>B</v>
      </c>
      <c r="F94" s="1" t="str">
        <f>IFERROR(__xludf.DUMMYFUNCTION("""COMPUTED_VALUE"""),"Kolkata")</f>
        <v>Kolkata</v>
      </c>
      <c r="G94" s="1">
        <f>IFERROR(__xludf.DUMMYFUNCTION("""COMPUTED_VALUE"""),96.0)</f>
        <v>96</v>
      </c>
      <c r="H94" s="1">
        <f>IFERROR(__xludf.DUMMYFUNCTION("""COMPUTED_VALUE"""),46.0)</f>
        <v>46</v>
      </c>
      <c r="I94" s="1">
        <f>IFERROR(__xludf.DUMMYFUNCTION("""COMPUTED_VALUE"""),58.0)</f>
        <v>58</v>
      </c>
      <c r="J94" s="1">
        <f>IFERROR(__xludf.DUMMYFUNCTION("""COMPUTED_VALUE"""),56.0)</f>
        <v>56</v>
      </c>
      <c r="K94" s="1">
        <f>IFERROR(__xludf.DUMMYFUNCTION("""COMPUTED_VALUE"""),50.0)</f>
        <v>50</v>
      </c>
      <c r="L94" s="1">
        <f>IFERROR(__xludf.DUMMYFUNCTION("""COMPUTED_VALUE"""),306.0)</f>
        <v>306</v>
      </c>
      <c r="M94" s="1">
        <f>IFERROR(__xludf.DUMMYFUNCTION("""COMPUTED_VALUE"""),61.2)</f>
        <v>61.2</v>
      </c>
      <c r="N94" s="1">
        <f>IFERROR(__xludf.DUMMYFUNCTION("""COMPUTED_VALUE"""),94.0)</f>
        <v>94</v>
      </c>
      <c r="O94" s="1" t="str">
        <f>IFERROR(__xludf.DUMMYFUNCTION("""COMPUTED_VALUE"""),"Pass")</f>
        <v>Pass</v>
      </c>
    </row>
    <row r="95" ht="15.75" customHeight="1">
      <c r="A95" s="1" t="str">
        <f>IFERROR(__xludf.DUMMYFUNCTION("""COMPUTED_VALUE"""),"STD-1218")</f>
        <v>STD-1218</v>
      </c>
      <c r="B95" s="1" t="str">
        <f>IFERROR(__xludf.DUMMYFUNCTION("""COMPUTED_VALUE"""),"Aditya Kulkarni")</f>
        <v>Aditya Kulkarni</v>
      </c>
      <c r="C95" s="1" t="str">
        <f>IFERROR(__xludf.DUMMYFUNCTION("""COMPUTED_VALUE"""),"Female")</f>
        <v>Female</v>
      </c>
      <c r="D95" s="1" t="str">
        <f>IFERROR(__xludf.DUMMYFUNCTION("""COMPUTED_VALUE"""),"6")</f>
        <v>6</v>
      </c>
      <c r="E95" s="1" t="str">
        <f>IFERROR(__xludf.DUMMYFUNCTION("""COMPUTED_VALUE"""),"B")</f>
        <v>B</v>
      </c>
      <c r="F95" s="1" t="str">
        <f>IFERROR(__xludf.DUMMYFUNCTION("""COMPUTED_VALUE"""),"Bhopal")</f>
        <v>Bhopal</v>
      </c>
      <c r="G95" s="1">
        <f>IFERROR(__xludf.DUMMYFUNCTION("""COMPUTED_VALUE"""),78.0)</f>
        <v>78</v>
      </c>
      <c r="H95" s="1">
        <f>IFERROR(__xludf.DUMMYFUNCTION("""COMPUTED_VALUE"""),60.0)</f>
        <v>60</v>
      </c>
      <c r="I95" s="1">
        <f>IFERROR(__xludf.DUMMYFUNCTION("""COMPUTED_VALUE"""),45.0)</f>
        <v>45</v>
      </c>
      <c r="J95" s="1">
        <f>IFERROR(__xludf.DUMMYFUNCTION("""COMPUTED_VALUE"""),77.0)</f>
        <v>77</v>
      </c>
      <c r="K95" s="1">
        <f>IFERROR(__xludf.DUMMYFUNCTION("""COMPUTED_VALUE"""),53.0)</f>
        <v>53</v>
      </c>
      <c r="L95" s="1">
        <f>IFERROR(__xludf.DUMMYFUNCTION("""COMPUTED_VALUE"""),313.0)</f>
        <v>313</v>
      </c>
      <c r="M95" s="1">
        <f>IFERROR(__xludf.DUMMYFUNCTION("""COMPUTED_VALUE"""),62.6)</f>
        <v>62.6</v>
      </c>
      <c r="N95" s="1">
        <f>IFERROR(__xludf.DUMMYFUNCTION("""COMPUTED_VALUE"""),65.0)</f>
        <v>65</v>
      </c>
      <c r="O95" s="1" t="str">
        <f>IFERROR(__xludf.DUMMYFUNCTION("""COMPUTED_VALUE"""),"Pass")</f>
        <v>Pass</v>
      </c>
    </row>
    <row r="96" ht="15.75" customHeight="1">
      <c r="A96" s="1" t="str">
        <f>IFERROR(__xludf.DUMMYFUNCTION("""COMPUTED_VALUE"""),"STD-1219")</f>
        <v>STD-1219</v>
      </c>
      <c r="B96" s="1" t="str">
        <f>IFERROR(__xludf.DUMMYFUNCTION("""COMPUTED_VALUE"""),"Sai Kaur")</f>
        <v>Sai Kaur</v>
      </c>
      <c r="C96" s="1" t="str">
        <f>IFERROR(__xludf.DUMMYFUNCTION("""COMPUTED_VALUE"""),"Male")</f>
        <v>Male</v>
      </c>
      <c r="D96" s="1" t="str">
        <f>IFERROR(__xludf.DUMMYFUNCTION("""COMPUTED_VALUE"""),"9")</f>
        <v>9</v>
      </c>
      <c r="E96" s="1" t="str">
        <f>IFERROR(__xludf.DUMMYFUNCTION("""COMPUTED_VALUE"""),"A")</f>
        <v>A</v>
      </c>
      <c r="F96" s="1" t="str">
        <f>IFERROR(__xludf.DUMMYFUNCTION("""COMPUTED_VALUE"""),"Bhopal")</f>
        <v>Bhopal</v>
      </c>
      <c r="G96" s="1">
        <f>IFERROR(__xludf.DUMMYFUNCTION("""COMPUTED_VALUE"""),85.0)</f>
        <v>85</v>
      </c>
      <c r="H96" s="1">
        <f>IFERROR(__xludf.DUMMYFUNCTION("""COMPUTED_VALUE"""),51.0)</f>
        <v>51</v>
      </c>
      <c r="I96" s="1">
        <f>IFERROR(__xludf.DUMMYFUNCTION("""COMPUTED_VALUE"""),52.0)</f>
        <v>52</v>
      </c>
      <c r="J96" s="1">
        <f>IFERROR(__xludf.DUMMYFUNCTION("""COMPUTED_VALUE"""),73.0)</f>
        <v>73</v>
      </c>
      <c r="K96" s="1">
        <f>IFERROR(__xludf.DUMMYFUNCTION("""COMPUTED_VALUE"""),94.0)</f>
        <v>94</v>
      </c>
      <c r="L96" s="1">
        <f>IFERROR(__xludf.DUMMYFUNCTION("""COMPUTED_VALUE"""),355.0)</f>
        <v>355</v>
      </c>
      <c r="M96" s="1">
        <f>IFERROR(__xludf.DUMMYFUNCTION("""COMPUTED_VALUE"""),71.0)</f>
        <v>71</v>
      </c>
      <c r="N96" s="1">
        <f>IFERROR(__xludf.DUMMYFUNCTION("""COMPUTED_VALUE"""),69.0)</f>
        <v>69</v>
      </c>
      <c r="O96" s="1" t="str">
        <f>IFERROR(__xludf.DUMMYFUNCTION("""COMPUTED_VALUE"""),"Pass")</f>
        <v>Pass</v>
      </c>
    </row>
    <row r="97" ht="15.75" customHeight="1">
      <c r="A97" s="1" t="str">
        <f>IFERROR(__xludf.DUMMYFUNCTION("""COMPUTED_VALUE"""),"STD-1224")</f>
        <v>STD-1224</v>
      </c>
      <c r="B97" s="1" t="str">
        <f>IFERROR(__xludf.DUMMYFUNCTION("""COMPUTED_VALUE"""),"Ananya Jain")</f>
        <v>Ananya Jain</v>
      </c>
      <c r="C97" s="1" t="str">
        <f>IFERROR(__xludf.DUMMYFUNCTION("""COMPUTED_VALUE"""),"Female")</f>
        <v>Female</v>
      </c>
      <c r="D97" s="1" t="str">
        <f>IFERROR(__xludf.DUMMYFUNCTION("""COMPUTED_VALUE"""),"7")</f>
        <v>7</v>
      </c>
      <c r="E97" s="1" t="str">
        <f>IFERROR(__xludf.DUMMYFUNCTION("""COMPUTED_VALUE"""),"A")</f>
        <v>A</v>
      </c>
      <c r="F97" s="1" t="str">
        <f>IFERROR(__xludf.DUMMYFUNCTION("""COMPUTED_VALUE"""),"Lucknow")</f>
        <v>Lucknow</v>
      </c>
      <c r="G97" s="1">
        <f>IFERROR(__xludf.DUMMYFUNCTION("""COMPUTED_VALUE"""),96.0)</f>
        <v>96</v>
      </c>
      <c r="H97" s="1">
        <f>IFERROR(__xludf.DUMMYFUNCTION("""COMPUTED_VALUE"""),62.0)</f>
        <v>62</v>
      </c>
      <c r="I97" s="1">
        <f>IFERROR(__xludf.DUMMYFUNCTION("""COMPUTED_VALUE"""),73.0)</f>
        <v>73</v>
      </c>
      <c r="J97" s="1">
        <f>IFERROR(__xludf.DUMMYFUNCTION("""COMPUTED_VALUE"""),68.0)</f>
        <v>68</v>
      </c>
      <c r="K97" s="1">
        <f>IFERROR(__xludf.DUMMYFUNCTION("""COMPUTED_VALUE"""),99.0)</f>
        <v>99</v>
      </c>
      <c r="L97" s="1">
        <f>IFERROR(__xludf.DUMMYFUNCTION("""COMPUTED_VALUE"""),398.0)</f>
        <v>398</v>
      </c>
      <c r="M97" s="1">
        <f>IFERROR(__xludf.DUMMYFUNCTION("""COMPUTED_VALUE"""),79.6)</f>
        <v>79.6</v>
      </c>
      <c r="N97" s="1">
        <f>IFERROR(__xludf.DUMMYFUNCTION("""COMPUTED_VALUE"""),62.0)</f>
        <v>62</v>
      </c>
      <c r="O97" s="1" t="str">
        <f>IFERROR(__xludf.DUMMYFUNCTION("""COMPUTED_VALUE"""),"Pass")</f>
        <v>Pass</v>
      </c>
    </row>
    <row r="98" ht="15.75" customHeight="1">
      <c r="A98" s="1" t="str">
        <f>IFERROR(__xludf.DUMMYFUNCTION("""COMPUTED_VALUE"""),"STD-1227")</f>
        <v>STD-1227</v>
      </c>
      <c r="B98" s="1" t="str">
        <f>IFERROR(__xludf.DUMMYFUNCTION("""COMPUTED_VALUE"""),"Sneha Nair")</f>
        <v>Sneha Nair</v>
      </c>
      <c r="C98" s="1" t="str">
        <f>IFERROR(__xludf.DUMMYFUNCTION("""COMPUTED_VALUE"""),"Female")</f>
        <v>Female</v>
      </c>
      <c r="D98" s="1" t="str">
        <f>IFERROR(__xludf.DUMMYFUNCTION("""COMPUTED_VALUE"""),"10")</f>
        <v>10</v>
      </c>
      <c r="E98" s="1" t="str">
        <f>IFERROR(__xludf.DUMMYFUNCTION("""COMPUTED_VALUE"""),"A")</f>
        <v>A</v>
      </c>
      <c r="F98" s="1" t="str">
        <f>IFERROR(__xludf.DUMMYFUNCTION("""COMPUTED_VALUE"""),"Kolkata")</f>
        <v>Kolkata</v>
      </c>
      <c r="G98" s="1">
        <f>IFERROR(__xludf.DUMMYFUNCTION("""COMPUTED_VALUE"""),99.0)</f>
        <v>99</v>
      </c>
      <c r="H98" s="1">
        <f>IFERROR(__xludf.DUMMYFUNCTION("""COMPUTED_VALUE"""),52.0)</f>
        <v>52</v>
      </c>
      <c r="I98" s="1">
        <f>IFERROR(__xludf.DUMMYFUNCTION("""COMPUTED_VALUE"""),89.0)</f>
        <v>89</v>
      </c>
      <c r="J98" s="1">
        <f>IFERROR(__xludf.DUMMYFUNCTION("""COMPUTED_VALUE"""),80.0)</f>
        <v>80</v>
      </c>
      <c r="K98" s="1">
        <f>IFERROR(__xludf.DUMMYFUNCTION("""COMPUTED_VALUE"""),82.0)</f>
        <v>82</v>
      </c>
      <c r="L98" s="1">
        <f>IFERROR(__xludf.DUMMYFUNCTION("""COMPUTED_VALUE"""),402.0)</f>
        <v>402</v>
      </c>
      <c r="M98" s="1">
        <f>IFERROR(__xludf.DUMMYFUNCTION("""COMPUTED_VALUE"""),80.4)</f>
        <v>80.4</v>
      </c>
      <c r="N98" s="1">
        <f>IFERROR(__xludf.DUMMYFUNCTION("""COMPUTED_VALUE"""),66.0)</f>
        <v>66</v>
      </c>
      <c r="O98" s="1" t="str">
        <f>IFERROR(__xludf.DUMMYFUNCTION("""COMPUTED_VALUE"""),"Pass")</f>
        <v>Pass</v>
      </c>
    </row>
    <row r="99" ht="15.75" customHeight="1">
      <c r="A99" s="1" t="str">
        <f>IFERROR(__xludf.DUMMYFUNCTION("""COMPUTED_VALUE"""),"STD-1231")</f>
        <v>STD-1231</v>
      </c>
      <c r="B99" s="1" t="str">
        <f>IFERROR(__xludf.DUMMYFUNCTION("""COMPUTED_VALUE"""),"Aditya Reddy")</f>
        <v>Aditya Reddy</v>
      </c>
      <c r="C99" s="1" t="str">
        <f>IFERROR(__xludf.DUMMYFUNCTION("""COMPUTED_VALUE"""),"Male")</f>
        <v>Male</v>
      </c>
      <c r="D99" s="1" t="str">
        <f>IFERROR(__xludf.DUMMYFUNCTION("""COMPUTED_VALUE"""),"8")</f>
        <v>8</v>
      </c>
      <c r="E99" s="1" t="str">
        <f>IFERROR(__xludf.DUMMYFUNCTION("""COMPUTED_VALUE"""),"A")</f>
        <v>A</v>
      </c>
      <c r="F99" s="1" t="str">
        <f>IFERROR(__xludf.DUMMYFUNCTION("""COMPUTED_VALUE"""),"Delhi")</f>
        <v>Delhi</v>
      </c>
      <c r="G99" s="1">
        <f>IFERROR(__xludf.DUMMYFUNCTION("""COMPUTED_VALUE"""),83.0)</f>
        <v>83</v>
      </c>
      <c r="H99" s="1">
        <f>IFERROR(__xludf.DUMMYFUNCTION("""COMPUTED_VALUE"""),94.0)</f>
        <v>94</v>
      </c>
      <c r="I99" s="1">
        <f>IFERROR(__xludf.DUMMYFUNCTION("""COMPUTED_VALUE"""),91.0)</f>
        <v>91</v>
      </c>
      <c r="J99" s="1">
        <f>IFERROR(__xludf.DUMMYFUNCTION("""COMPUTED_VALUE"""),44.0)</f>
        <v>44</v>
      </c>
      <c r="K99" s="1">
        <f>IFERROR(__xludf.DUMMYFUNCTION("""COMPUTED_VALUE"""),76.0)</f>
        <v>76</v>
      </c>
      <c r="L99" s="1">
        <f>IFERROR(__xludf.DUMMYFUNCTION("""COMPUTED_VALUE"""),388.0)</f>
        <v>388</v>
      </c>
      <c r="M99" s="1">
        <f>IFERROR(__xludf.DUMMYFUNCTION("""COMPUTED_VALUE"""),77.6)</f>
        <v>77.6</v>
      </c>
      <c r="N99" s="1">
        <f>IFERROR(__xludf.DUMMYFUNCTION("""COMPUTED_VALUE"""),84.0)</f>
        <v>84</v>
      </c>
      <c r="O99" s="1" t="str">
        <f>IFERROR(__xludf.DUMMYFUNCTION("""COMPUTED_VALUE"""),"Pass")</f>
        <v>Pass</v>
      </c>
    </row>
    <row r="100" ht="15.75" customHeight="1">
      <c r="A100" s="1" t="str">
        <f>IFERROR(__xludf.DUMMYFUNCTION("""COMPUTED_VALUE"""),"STD-1232")</f>
        <v>STD-1232</v>
      </c>
      <c r="B100" s="1" t="str">
        <f>IFERROR(__xludf.DUMMYFUNCTION("""COMPUTED_VALUE"""),"Priya Choudhary")</f>
        <v>Priya Choudhary</v>
      </c>
      <c r="C100" s="1" t="str">
        <f>IFERROR(__xludf.DUMMYFUNCTION("""COMPUTED_VALUE"""),"Female")</f>
        <v>Female</v>
      </c>
      <c r="D100" s="1" t="str">
        <f>IFERROR(__xludf.DUMMYFUNCTION("""COMPUTED_VALUE"""),"7")</f>
        <v>7</v>
      </c>
      <c r="E100" s="1" t="str">
        <f>IFERROR(__xludf.DUMMYFUNCTION("""COMPUTED_VALUE"""),"B")</f>
        <v>B</v>
      </c>
      <c r="F100" s="1" t="str">
        <f>IFERROR(__xludf.DUMMYFUNCTION("""COMPUTED_VALUE"""),"Chandigarh")</f>
        <v>Chandigarh</v>
      </c>
      <c r="G100" s="1">
        <f>IFERROR(__xludf.DUMMYFUNCTION("""COMPUTED_VALUE"""),88.0)</f>
        <v>88</v>
      </c>
      <c r="H100" s="1">
        <f>IFERROR(__xludf.DUMMYFUNCTION("""COMPUTED_VALUE"""),94.0)</f>
        <v>94</v>
      </c>
      <c r="I100" s="1">
        <f>IFERROR(__xludf.DUMMYFUNCTION("""COMPUTED_VALUE"""),84.0)</f>
        <v>84</v>
      </c>
      <c r="J100" s="1">
        <f>IFERROR(__xludf.DUMMYFUNCTION("""COMPUTED_VALUE"""),76.0)</f>
        <v>76</v>
      </c>
      <c r="K100" s="1">
        <f>IFERROR(__xludf.DUMMYFUNCTION("""COMPUTED_VALUE"""),95.0)</f>
        <v>95</v>
      </c>
      <c r="L100" s="1">
        <f>IFERROR(__xludf.DUMMYFUNCTION("""COMPUTED_VALUE"""),437.0)</f>
        <v>437</v>
      </c>
      <c r="M100" s="1">
        <f>IFERROR(__xludf.DUMMYFUNCTION("""COMPUTED_VALUE"""),87.4)</f>
        <v>87.4</v>
      </c>
      <c r="N100" s="1">
        <f>IFERROR(__xludf.DUMMYFUNCTION("""COMPUTED_VALUE"""),62.0)</f>
        <v>62</v>
      </c>
      <c r="O100" s="1" t="str">
        <f>IFERROR(__xludf.DUMMYFUNCTION("""COMPUTED_VALUE"""),"Pass")</f>
        <v>Pass</v>
      </c>
    </row>
    <row r="101" ht="15.75" customHeight="1">
      <c r="A101" s="1" t="str">
        <f>IFERROR(__xludf.DUMMYFUNCTION("""COMPUTED_VALUE"""),"STD-1235")</f>
        <v>STD-1235</v>
      </c>
      <c r="B101" s="1" t="str">
        <f>IFERROR(__xludf.DUMMYFUNCTION("""COMPUTED_VALUE"""),"Aditya Nair")</f>
        <v>Aditya Nair</v>
      </c>
      <c r="C101" s="1" t="str">
        <f>IFERROR(__xludf.DUMMYFUNCTION("""COMPUTED_VALUE"""),"Female")</f>
        <v>Female</v>
      </c>
      <c r="D101" s="1" t="str">
        <f>IFERROR(__xludf.DUMMYFUNCTION("""COMPUTED_VALUE"""),"7")</f>
        <v>7</v>
      </c>
      <c r="E101" s="1" t="str">
        <f>IFERROR(__xludf.DUMMYFUNCTION("""COMPUTED_VALUE"""),"A")</f>
        <v>A</v>
      </c>
      <c r="F101" s="1" t="str">
        <f>IFERROR(__xludf.DUMMYFUNCTION("""COMPUTED_VALUE"""),"Delhi")</f>
        <v>Delhi</v>
      </c>
      <c r="G101" s="1">
        <f>IFERROR(__xludf.DUMMYFUNCTION("""COMPUTED_VALUE"""),91.0)</f>
        <v>91</v>
      </c>
      <c r="H101" s="1">
        <f>IFERROR(__xludf.DUMMYFUNCTION("""COMPUTED_VALUE"""),41.0)</f>
        <v>41</v>
      </c>
      <c r="I101" s="1">
        <f>IFERROR(__xludf.DUMMYFUNCTION("""COMPUTED_VALUE"""),44.0)</f>
        <v>44</v>
      </c>
      <c r="J101" s="1">
        <f>IFERROR(__xludf.DUMMYFUNCTION("""COMPUTED_VALUE"""),78.0)</f>
        <v>78</v>
      </c>
      <c r="K101" s="1">
        <f>IFERROR(__xludf.DUMMYFUNCTION("""COMPUTED_VALUE"""),46.0)</f>
        <v>46</v>
      </c>
      <c r="L101" s="1">
        <f>IFERROR(__xludf.DUMMYFUNCTION("""COMPUTED_VALUE"""),300.0)</f>
        <v>300</v>
      </c>
      <c r="M101" s="1">
        <f>IFERROR(__xludf.DUMMYFUNCTION("""COMPUTED_VALUE"""),60.0)</f>
        <v>60</v>
      </c>
      <c r="N101" s="1">
        <f>IFERROR(__xludf.DUMMYFUNCTION("""COMPUTED_VALUE"""),89.0)</f>
        <v>89</v>
      </c>
      <c r="O101" s="1" t="str">
        <f>IFERROR(__xludf.DUMMYFUNCTION("""COMPUTED_VALUE"""),"Pass")</f>
        <v>Pass</v>
      </c>
    </row>
    <row r="102" ht="15.75" customHeight="1">
      <c r="A102" s="1" t="str">
        <f>IFERROR(__xludf.DUMMYFUNCTION("""COMPUTED_VALUE"""),"STD-1236")</f>
        <v>STD-1236</v>
      </c>
      <c r="B102" s="1" t="str">
        <f>IFERROR(__xludf.DUMMYFUNCTION("""COMPUTED_VALUE"""),"Rahul Sharma")</f>
        <v>Rahul Sharma</v>
      </c>
      <c r="C102" s="1" t="str">
        <f>IFERROR(__xludf.DUMMYFUNCTION("""COMPUTED_VALUE"""),"Male")</f>
        <v>Male</v>
      </c>
      <c r="D102" s="1" t="str">
        <f>IFERROR(__xludf.DUMMYFUNCTION("""COMPUTED_VALUE"""),"9")</f>
        <v>9</v>
      </c>
      <c r="E102" s="1" t="str">
        <f>IFERROR(__xludf.DUMMYFUNCTION("""COMPUTED_VALUE"""),"B")</f>
        <v>B</v>
      </c>
      <c r="F102" s="1" t="str">
        <f>IFERROR(__xludf.DUMMYFUNCTION("""COMPUTED_VALUE"""),"Kolkata")</f>
        <v>Kolkata</v>
      </c>
      <c r="G102" s="1">
        <f>IFERROR(__xludf.DUMMYFUNCTION("""COMPUTED_VALUE"""),78.0)</f>
        <v>78</v>
      </c>
      <c r="H102" s="1">
        <f>IFERROR(__xludf.DUMMYFUNCTION("""COMPUTED_VALUE"""),95.0)</f>
        <v>95</v>
      </c>
      <c r="I102" s="1">
        <f>IFERROR(__xludf.DUMMYFUNCTION("""COMPUTED_VALUE"""),52.0)</f>
        <v>52</v>
      </c>
      <c r="J102" s="1">
        <f>IFERROR(__xludf.DUMMYFUNCTION("""COMPUTED_VALUE"""),85.0)</f>
        <v>85</v>
      </c>
      <c r="K102" s="1">
        <f>IFERROR(__xludf.DUMMYFUNCTION("""COMPUTED_VALUE"""),53.0)</f>
        <v>53</v>
      </c>
      <c r="L102" s="1">
        <f>IFERROR(__xludf.DUMMYFUNCTION("""COMPUTED_VALUE"""),363.0)</f>
        <v>363</v>
      </c>
      <c r="M102" s="1">
        <f>IFERROR(__xludf.DUMMYFUNCTION("""COMPUTED_VALUE"""),72.6)</f>
        <v>72.6</v>
      </c>
      <c r="N102" s="1">
        <f>IFERROR(__xludf.DUMMYFUNCTION("""COMPUTED_VALUE"""),88.0)</f>
        <v>88</v>
      </c>
      <c r="O102" s="1" t="str">
        <f>IFERROR(__xludf.DUMMYFUNCTION("""COMPUTED_VALUE"""),"Pass")</f>
        <v>Pass</v>
      </c>
    </row>
    <row r="103" ht="15.75" customHeight="1">
      <c r="A103" s="1" t="str">
        <f>IFERROR(__xludf.DUMMYFUNCTION("""COMPUTED_VALUE"""),"STD-1237")</f>
        <v>STD-1237</v>
      </c>
      <c r="B103" s="1" t="str">
        <f>IFERROR(__xludf.DUMMYFUNCTION("""COMPUTED_VALUE"""),"Tanvi Patel")</f>
        <v>Tanvi Patel</v>
      </c>
      <c r="C103" s="1" t="str">
        <f>IFERROR(__xludf.DUMMYFUNCTION("""COMPUTED_VALUE"""),"Male")</f>
        <v>Male</v>
      </c>
      <c r="D103" s="1" t="str">
        <f>IFERROR(__xludf.DUMMYFUNCTION("""COMPUTED_VALUE"""),"7")</f>
        <v>7</v>
      </c>
      <c r="E103" s="1" t="str">
        <f>IFERROR(__xludf.DUMMYFUNCTION("""COMPUTED_VALUE"""),"B")</f>
        <v>B</v>
      </c>
      <c r="F103" s="1" t="str">
        <f>IFERROR(__xludf.DUMMYFUNCTION("""COMPUTED_VALUE"""),"Chandigarh")</f>
        <v>Chandigarh</v>
      </c>
      <c r="G103" s="1">
        <f>IFERROR(__xludf.DUMMYFUNCTION("""COMPUTED_VALUE"""),80.0)</f>
        <v>80</v>
      </c>
      <c r="H103" s="1">
        <f>IFERROR(__xludf.DUMMYFUNCTION("""COMPUTED_VALUE"""),43.0)</f>
        <v>43</v>
      </c>
      <c r="I103" s="1">
        <f>IFERROR(__xludf.DUMMYFUNCTION("""COMPUTED_VALUE"""),96.0)</f>
        <v>96</v>
      </c>
      <c r="J103" s="1">
        <f>IFERROR(__xludf.DUMMYFUNCTION("""COMPUTED_VALUE"""),74.0)</f>
        <v>74</v>
      </c>
      <c r="K103" s="1">
        <f>IFERROR(__xludf.DUMMYFUNCTION("""COMPUTED_VALUE"""),49.0)</f>
        <v>49</v>
      </c>
      <c r="L103" s="1">
        <f>IFERROR(__xludf.DUMMYFUNCTION("""COMPUTED_VALUE"""),342.0)</f>
        <v>342</v>
      </c>
      <c r="M103" s="1">
        <f>IFERROR(__xludf.DUMMYFUNCTION("""COMPUTED_VALUE"""),68.4)</f>
        <v>68.4</v>
      </c>
      <c r="N103" s="1">
        <f>IFERROR(__xludf.DUMMYFUNCTION("""COMPUTED_VALUE"""),78.0)</f>
        <v>78</v>
      </c>
      <c r="O103" s="1" t="str">
        <f>IFERROR(__xludf.DUMMYFUNCTION("""COMPUTED_VALUE"""),"Pass")</f>
        <v>Pass</v>
      </c>
    </row>
    <row r="104" ht="15.75" customHeight="1">
      <c r="A104" s="1" t="str">
        <f>IFERROR(__xludf.DUMMYFUNCTION("""COMPUTED_VALUE"""),"STD-1239")</f>
        <v>STD-1239</v>
      </c>
      <c r="B104" s="1" t="str">
        <f>IFERROR(__xludf.DUMMYFUNCTION("""COMPUTED_VALUE"""),"Meera Reddy")</f>
        <v>Meera Reddy</v>
      </c>
      <c r="C104" s="1" t="str">
        <f>IFERROR(__xludf.DUMMYFUNCTION("""COMPUTED_VALUE"""),"Male")</f>
        <v>Male</v>
      </c>
      <c r="D104" s="1" t="str">
        <f>IFERROR(__xludf.DUMMYFUNCTION("""COMPUTED_VALUE"""),"8")</f>
        <v>8</v>
      </c>
      <c r="E104" s="1" t="str">
        <f>IFERROR(__xludf.DUMMYFUNCTION("""COMPUTED_VALUE"""),"A")</f>
        <v>A</v>
      </c>
      <c r="F104" s="1" t="str">
        <f>IFERROR(__xludf.DUMMYFUNCTION("""COMPUTED_VALUE"""),"Chandigarh")</f>
        <v>Chandigarh</v>
      </c>
      <c r="G104" s="1">
        <f>IFERROR(__xludf.DUMMYFUNCTION("""COMPUTED_VALUE"""),92.0)</f>
        <v>92</v>
      </c>
      <c r="H104" s="1">
        <f>IFERROR(__xludf.DUMMYFUNCTION("""COMPUTED_VALUE"""),54.0)</f>
        <v>54</v>
      </c>
      <c r="I104" s="1">
        <f>IFERROR(__xludf.DUMMYFUNCTION("""COMPUTED_VALUE"""),81.0)</f>
        <v>81</v>
      </c>
      <c r="J104" s="1">
        <f>IFERROR(__xludf.DUMMYFUNCTION("""COMPUTED_VALUE"""),65.0)</f>
        <v>65</v>
      </c>
      <c r="K104" s="1">
        <f>IFERROR(__xludf.DUMMYFUNCTION("""COMPUTED_VALUE"""),51.0)</f>
        <v>51</v>
      </c>
      <c r="L104" s="1">
        <f>IFERROR(__xludf.DUMMYFUNCTION("""COMPUTED_VALUE"""),343.0)</f>
        <v>343</v>
      </c>
      <c r="M104" s="1">
        <f>IFERROR(__xludf.DUMMYFUNCTION("""COMPUTED_VALUE"""),68.6)</f>
        <v>68.6</v>
      </c>
      <c r="N104" s="1">
        <f>IFERROR(__xludf.DUMMYFUNCTION("""COMPUTED_VALUE"""),71.0)</f>
        <v>71</v>
      </c>
      <c r="O104" s="1" t="str">
        <f>IFERROR(__xludf.DUMMYFUNCTION("""COMPUTED_VALUE"""),"Pass")</f>
        <v>Pass</v>
      </c>
    </row>
    <row r="105" ht="15.75" customHeight="1">
      <c r="A105" s="1" t="str">
        <f>IFERROR(__xludf.DUMMYFUNCTION("""COMPUTED_VALUE"""),"STD-1240")</f>
        <v>STD-1240</v>
      </c>
      <c r="B105" s="1" t="str">
        <f>IFERROR(__xludf.DUMMYFUNCTION("""COMPUTED_VALUE"""),"Sai Yadav")</f>
        <v>Sai Yadav</v>
      </c>
      <c r="C105" s="1" t="str">
        <f>IFERROR(__xludf.DUMMYFUNCTION("""COMPUTED_VALUE"""),"Female")</f>
        <v>Female</v>
      </c>
      <c r="D105" s="1" t="str">
        <f>IFERROR(__xludf.DUMMYFUNCTION("""COMPUTED_VALUE"""),"7")</f>
        <v>7</v>
      </c>
      <c r="E105" s="1" t="str">
        <f>IFERROR(__xludf.DUMMYFUNCTION("""COMPUTED_VALUE"""),"C")</f>
        <v>C</v>
      </c>
      <c r="F105" s="1" t="str">
        <f>IFERROR(__xludf.DUMMYFUNCTION("""COMPUTED_VALUE"""),"Delhi")</f>
        <v>Delhi</v>
      </c>
      <c r="G105" s="1">
        <f>IFERROR(__xludf.DUMMYFUNCTION("""COMPUTED_VALUE"""),95.0)</f>
        <v>95</v>
      </c>
      <c r="H105" s="1">
        <f>IFERROR(__xludf.DUMMYFUNCTION("""COMPUTED_VALUE"""),94.0)</f>
        <v>94</v>
      </c>
      <c r="I105" s="1">
        <f>IFERROR(__xludf.DUMMYFUNCTION("""COMPUTED_VALUE"""),62.0)</f>
        <v>62</v>
      </c>
      <c r="J105" s="1">
        <f>IFERROR(__xludf.DUMMYFUNCTION("""COMPUTED_VALUE"""),59.0)</f>
        <v>59</v>
      </c>
      <c r="K105" s="1">
        <f>IFERROR(__xludf.DUMMYFUNCTION("""COMPUTED_VALUE"""),53.0)</f>
        <v>53</v>
      </c>
      <c r="L105" s="1">
        <f>IFERROR(__xludf.DUMMYFUNCTION("""COMPUTED_VALUE"""),363.0)</f>
        <v>363</v>
      </c>
      <c r="M105" s="1">
        <f>IFERROR(__xludf.DUMMYFUNCTION("""COMPUTED_VALUE"""),72.6)</f>
        <v>72.6</v>
      </c>
      <c r="N105" s="1">
        <f>IFERROR(__xludf.DUMMYFUNCTION("""COMPUTED_VALUE"""),77.0)</f>
        <v>77</v>
      </c>
      <c r="O105" s="1" t="str">
        <f>IFERROR(__xludf.DUMMYFUNCTION("""COMPUTED_VALUE"""),"Pass")</f>
        <v>Pass</v>
      </c>
    </row>
    <row r="106" ht="15.75" customHeight="1">
      <c r="A106" s="1" t="str">
        <f>IFERROR(__xludf.DUMMYFUNCTION("""COMPUTED_VALUE"""),"STD-1243")</f>
        <v>STD-1243</v>
      </c>
      <c r="B106" s="1" t="str">
        <f>IFERROR(__xludf.DUMMYFUNCTION("""COMPUTED_VALUE"""),"Aarav Das")</f>
        <v>Aarav Das</v>
      </c>
      <c r="C106" s="1" t="str">
        <f>IFERROR(__xludf.DUMMYFUNCTION("""COMPUTED_VALUE"""),"Female")</f>
        <v>Female</v>
      </c>
      <c r="D106" s="1" t="str">
        <f>IFERROR(__xludf.DUMMYFUNCTION("""COMPUTED_VALUE"""),"8")</f>
        <v>8</v>
      </c>
      <c r="E106" s="1" t="str">
        <f>IFERROR(__xludf.DUMMYFUNCTION("""COMPUTED_VALUE"""),"B")</f>
        <v>B</v>
      </c>
      <c r="F106" s="1" t="str">
        <f>IFERROR(__xludf.DUMMYFUNCTION("""COMPUTED_VALUE"""),"Kolkata")</f>
        <v>Kolkata</v>
      </c>
      <c r="G106" s="1">
        <f>IFERROR(__xludf.DUMMYFUNCTION("""COMPUTED_VALUE"""),94.0)</f>
        <v>94</v>
      </c>
      <c r="H106" s="1">
        <f>IFERROR(__xludf.DUMMYFUNCTION("""COMPUTED_VALUE"""),68.0)</f>
        <v>68</v>
      </c>
      <c r="I106" s="1">
        <f>IFERROR(__xludf.DUMMYFUNCTION("""COMPUTED_VALUE"""),42.0)</f>
        <v>42</v>
      </c>
      <c r="J106" s="1">
        <f>IFERROR(__xludf.DUMMYFUNCTION("""COMPUTED_VALUE"""),97.0)</f>
        <v>97</v>
      </c>
      <c r="K106" s="1">
        <f>IFERROR(__xludf.DUMMYFUNCTION("""COMPUTED_VALUE"""),76.0)</f>
        <v>76</v>
      </c>
      <c r="L106" s="1">
        <f>IFERROR(__xludf.DUMMYFUNCTION("""COMPUTED_VALUE"""),377.0)</f>
        <v>377</v>
      </c>
      <c r="M106" s="1">
        <f>IFERROR(__xludf.DUMMYFUNCTION("""COMPUTED_VALUE"""),75.4)</f>
        <v>75.4</v>
      </c>
      <c r="N106" s="1">
        <f>IFERROR(__xludf.DUMMYFUNCTION("""COMPUTED_VALUE"""),90.0)</f>
        <v>90</v>
      </c>
      <c r="O106" s="1" t="str">
        <f>IFERROR(__xludf.DUMMYFUNCTION("""COMPUTED_VALUE"""),"Pass")</f>
        <v>Pass</v>
      </c>
    </row>
    <row r="107" ht="15.75" customHeight="1">
      <c r="A107" s="1" t="str">
        <f>IFERROR(__xludf.DUMMYFUNCTION("""COMPUTED_VALUE"""),"STD-1250")</f>
        <v>STD-1250</v>
      </c>
      <c r="B107" s="1" t="str">
        <f>IFERROR(__xludf.DUMMYFUNCTION("""COMPUTED_VALUE"""),"Tanvi Choudhary")</f>
        <v>Tanvi Choudhary</v>
      </c>
      <c r="C107" s="1" t="str">
        <f>IFERROR(__xludf.DUMMYFUNCTION("""COMPUTED_VALUE"""),"Female")</f>
        <v>Female</v>
      </c>
      <c r="D107" s="1" t="str">
        <f>IFERROR(__xludf.DUMMYFUNCTION("""COMPUTED_VALUE"""),"6")</f>
        <v>6</v>
      </c>
      <c r="E107" s="1" t="str">
        <f>IFERROR(__xludf.DUMMYFUNCTION("""COMPUTED_VALUE"""),"A")</f>
        <v>A</v>
      </c>
      <c r="F107" s="1" t="str">
        <f>IFERROR(__xludf.DUMMYFUNCTION("""COMPUTED_VALUE"""),"Bhopal")</f>
        <v>Bhopal</v>
      </c>
      <c r="G107" s="1">
        <f>IFERROR(__xludf.DUMMYFUNCTION("""COMPUTED_VALUE"""),98.0)</f>
        <v>98</v>
      </c>
      <c r="H107" s="1">
        <f>IFERROR(__xludf.DUMMYFUNCTION("""COMPUTED_VALUE"""),89.0)</f>
        <v>89</v>
      </c>
      <c r="I107" s="1">
        <f>IFERROR(__xludf.DUMMYFUNCTION("""COMPUTED_VALUE"""),44.0)</f>
        <v>44</v>
      </c>
      <c r="J107" s="1">
        <f>IFERROR(__xludf.DUMMYFUNCTION("""COMPUTED_VALUE"""),59.0)</f>
        <v>59</v>
      </c>
      <c r="K107" s="1">
        <f>IFERROR(__xludf.DUMMYFUNCTION("""COMPUTED_VALUE"""),98.0)</f>
        <v>98</v>
      </c>
      <c r="L107" s="1">
        <f>IFERROR(__xludf.DUMMYFUNCTION("""COMPUTED_VALUE"""),388.0)</f>
        <v>388</v>
      </c>
      <c r="M107" s="1">
        <f>IFERROR(__xludf.DUMMYFUNCTION("""COMPUTED_VALUE"""),77.6)</f>
        <v>77.6</v>
      </c>
      <c r="N107" s="1">
        <f>IFERROR(__xludf.DUMMYFUNCTION("""COMPUTED_VALUE"""),74.0)</f>
        <v>74</v>
      </c>
      <c r="O107" s="1" t="str">
        <f>IFERROR(__xludf.DUMMYFUNCTION("""COMPUTED_VALUE"""),"Pass")</f>
        <v>Pass</v>
      </c>
    </row>
    <row r="108" ht="15.75" customHeight="1">
      <c r="A108" s="1" t="str">
        <f>IFERROR(__xludf.DUMMYFUNCTION("""COMPUTED_VALUE"""),"STD-1251")</f>
        <v>STD-1251</v>
      </c>
      <c r="B108" s="1" t="str">
        <f>IFERROR(__xludf.DUMMYFUNCTION("""COMPUTED_VALUE"""),"Shreya Choudhary")</f>
        <v>Shreya Choudhary</v>
      </c>
      <c r="C108" s="1" t="str">
        <f>IFERROR(__xludf.DUMMYFUNCTION("""COMPUTED_VALUE"""),"Female")</f>
        <v>Female</v>
      </c>
      <c r="D108" s="1" t="str">
        <f>IFERROR(__xludf.DUMMYFUNCTION("""COMPUTED_VALUE"""),"10")</f>
        <v>10</v>
      </c>
      <c r="E108" s="1" t="str">
        <f>IFERROR(__xludf.DUMMYFUNCTION("""COMPUTED_VALUE"""),"B")</f>
        <v>B</v>
      </c>
      <c r="F108" s="1" t="str">
        <f>IFERROR(__xludf.DUMMYFUNCTION("""COMPUTED_VALUE"""),"Lucknow")</f>
        <v>Lucknow</v>
      </c>
      <c r="G108" s="1">
        <f>IFERROR(__xludf.DUMMYFUNCTION("""COMPUTED_VALUE"""),92.0)</f>
        <v>92</v>
      </c>
      <c r="H108" s="1">
        <f>IFERROR(__xludf.DUMMYFUNCTION("""COMPUTED_VALUE"""),92.0)</f>
        <v>92</v>
      </c>
      <c r="I108" s="1">
        <f>IFERROR(__xludf.DUMMYFUNCTION("""COMPUTED_VALUE"""),94.0)</f>
        <v>94</v>
      </c>
      <c r="J108" s="1">
        <f>IFERROR(__xludf.DUMMYFUNCTION("""COMPUTED_VALUE"""),52.0)</f>
        <v>52</v>
      </c>
      <c r="K108" s="1">
        <f>IFERROR(__xludf.DUMMYFUNCTION("""COMPUTED_VALUE"""),68.0)</f>
        <v>68</v>
      </c>
      <c r="L108" s="1">
        <f>IFERROR(__xludf.DUMMYFUNCTION("""COMPUTED_VALUE"""),398.0)</f>
        <v>398</v>
      </c>
      <c r="M108" s="1">
        <f>IFERROR(__xludf.DUMMYFUNCTION("""COMPUTED_VALUE"""),79.6)</f>
        <v>79.6</v>
      </c>
      <c r="N108" s="1">
        <f>IFERROR(__xludf.DUMMYFUNCTION("""COMPUTED_VALUE"""),67.0)</f>
        <v>67</v>
      </c>
      <c r="O108" s="1" t="str">
        <f>IFERROR(__xludf.DUMMYFUNCTION("""COMPUTED_VALUE"""),"Pass")</f>
        <v>Pass</v>
      </c>
    </row>
    <row r="109" ht="15.75" customHeight="1">
      <c r="A109" s="1" t="str">
        <f>IFERROR(__xludf.DUMMYFUNCTION("""COMPUTED_VALUE"""),"STD-1253")</f>
        <v>STD-1253</v>
      </c>
      <c r="B109" s="1" t="str">
        <f>IFERROR(__xludf.DUMMYFUNCTION("""COMPUTED_VALUE"""),"Ishita Singh")</f>
        <v>Ishita Singh</v>
      </c>
      <c r="C109" s="1" t="str">
        <f>IFERROR(__xludf.DUMMYFUNCTION("""COMPUTED_VALUE"""),"Female")</f>
        <v>Female</v>
      </c>
      <c r="D109" s="1" t="str">
        <f>IFERROR(__xludf.DUMMYFUNCTION("""COMPUTED_VALUE"""),"10")</f>
        <v>10</v>
      </c>
      <c r="E109" s="1" t="str">
        <f>IFERROR(__xludf.DUMMYFUNCTION("""COMPUTED_VALUE"""),"C")</f>
        <v>C</v>
      </c>
      <c r="F109" s="1" t="str">
        <f>IFERROR(__xludf.DUMMYFUNCTION("""COMPUTED_VALUE"""),"Lucknow")</f>
        <v>Lucknow</v>
      </c>
      <c r="G109" s="1">
        <f>IFERROR(__xludf.DUMMYFUNCTION("""COMPUTED_VALUE"""),96.0)</f>
        <v>96</v>
      </c>
      <c r="H109" s="1">
        <f>IFERROR(__xludf.DUMMYFUNCTION("""COMPUTED_VALUE"""),95.0)</f>
        <v>95</v>
      </c>
      <c r="I109" s="1">
        <f>IFERROR(__xludf.DUMMYFUNCTION("""COMPUTED_VALUE"""),64.0)</f>
        <v>64</v>
      </c>
      <c r="J109" s="1">
        <f>IFERROR(__xludf.DUMMYFUNCTION("""COMPUTED_VALUE"""),90.0)</f>
        <v>90</v>
      </c>
      <c r="K109" s="1">
        <f>IFERROR(__xludf.DUMMYFUNCTION("""COMPUTED_VALUE"""),50.0)</f>
        <v>50</v>
      </c>
      <c r="L109" s="1">
        <f>IFERROR(__xludf.DUMMYFUNCTION("""COMPUTED_VALUE"""),395.0)</f>
        <v>395</v>
      </c>
      <c r="M109" s="1">
        <f>IFERROR(__xludf.DUMMYFUNCTION("""COMPUTED_VALUE"""),79.0)</f>
        <v>79</v>
      </c>
      <c r="N109" s="1">
        <f>IFERROR(__xludf.DUMMYFUNCTION("""COMPUTED_VALUE"""),75.0)</f>
        <v>75</v>
      </c>
      <c r="O109" s="1" t="str">
        <f>IFERROR(__xludf.DUMMYFUNCTION("""COMPUTED_VALUE"""),"Pass")</f>
        <v>Pass</v>
      </c>
    </row>
    <row r="110" ht="15.75" customHeight="1">
      <c r="A110" s="1" t="str">
        <f>IFERROR(__xludf.DUMMYFUNCTION("""COMPUTED_VALUE"""),"STD-1254")</f>
        <v>STD-1254</v>
      </c>
      <c r="B110" s="1" t="str">
        <f>IFERROR(__xludf.DUMMYFUNCTION("""COMPUTED_VALUE"""),"Aarav Singh")</f>
        <v>Aarav Singh</v>
      </c>
      <c r="C110" s="1" t="str">
        <f>IFERROR(__xludf.DUMMYFUNCTION("""COMPUTED_VALUE"""),"Female")</f>
        <v>Female</v>
      </c>
      <c r="D110" s="1" t="str">
        <f>IFERROR(__xludf.DUMMYFUNCTION("""COMPUTED_VALUE"""),"10")</f>
        <v>10</v>
      </c>
      <c r="E110" s="1" t="str">
        <f>IFERROR(__xludf.DUMMYFUNCTION("""COMPUTED_VALUE"""),"C")</f>
        <v>C</v>
      </c>
      <c r="F110" s="1" t="str">
        <f>IFERROR(__xludf.DUMMYFUNCTION("""COMPUTED_VALUE"""),"Kolkata")</f>
        <v>Kolkata</v>
      </c>
      <c r="G110" s="1">
        <f>IFERROR(__xludf.DUMMYFUNCTION("""COMPUTED_VALUE"""),76.0)</f>
        <v>76</v>
      </c>
      <c r="H110" s="1">
        <f>IFERROR(__xludf.DUMMYFUNCTION("""COMPUTED_VALUE"""),52.0)</f>
        <v>52</v>
      </c>
      <c r="I110" s="1">
        <f>IFERROR(__xludf.DUMMYFUNCTION("""COMPUTED_VALUE"""),64.0)</f>
        <v>64</v>
      </c>
      <c r="J110" s="1">
        <f>IFERROR(__xludf.DUMMYFUNCTION("""COMPUTED_VALUE"""),82.0)</f>
        <v>82</v>
      </c>
      <c r="K110" s="1">
        <f>IFERROR(__xludf.DUMMYFUNCTION("""COMPUTED_VALUE"""),100.0)</f>
        <v>100</v>
      </c>
      <c r="L110" s="1">
        <f>IFERROR(__xludf.DUMMYFUNCTION("""COMPUTED_VALUE"""),374.0)</f>
        <v>374</v>
      </c>
      <c r="M110" s="1">
        <f>IFERROR(__xludf.DUMMYFUNCTION("""COMPUTED_VALUE"""),74.8)</f>
        <v>74.8</v>
      </c>
      <c r="N110" s="1">
        <f>IFERROR(__xludf.DUMMYFUNCTION("""COMPUTED_VALUE"""),75.0)</f>
        <v>75</v>
      </c>
      <c r="O110" s="1" t="str">
        <f>IFERROR(__xludf.DUMMYFUNCTION("""COMPUTED_VALUE"""),"Pass")</f>
        <v>Pass</v>
      </c>
    </row>
    <row r="111" ht="15.75" customHeight="1">
      <c r="A111" s="1" t="str">
        <f>IFERROR(__xludf.DUMMYFUNCTION("""COMPUTED_VALUE"""),"STD-1255")</f>
        <v>STD-1255</v>
      </c>
      <c r="B111" s="1" t="str">
        <f>IFERROR(__xludf.DUMMYFUNCTION("""COMPUTED_VALUE"""),"Pooja Iyer")</f>
        <v>Pooja Iyer</v>
      </c>
      <c r="C111" s="1" t="str">
        <f>IFERROR(__xludf.DUMMYFUNCTION("""COMPUTED_VALUE"""),"Male")</f>
        <v>Male</v>
      </c>
      <c r="D111" s="1" t="str">
        <f>IFERROR(__xludf.DUMMYFUNCTION("""COMPUTED_VALUE"""),"8")</f>
        <v>8</v>
      </c>
      <c r="E111" s="1" t="str">
        <f>IFERROR(__xludf.DUMMYFUNCTION("""COMPUTED_VALUE"""),"B")</f>
        <v>B</v>
      </c>
      <c r="F111" s="1" t="str">
        <f>IFERROR(__xludf.DUMMYFUNCTION("""COMPUTED_VALUE"""),"Lucknow")</f>
        <v>Lucknow</v>
      </c>
      <c r="G111" s="1">
        <f>IFERROR(__xludf.DUMMYFUNCTION("""COMPUTED_VALUE"""),80.0)</f>
        <v>80</v>
      </c>
      <c r="H111" s="1">
        <f>IFERROR(__xludf.DUMMYFUNCTION("""COMPUTED_VALUE"""),63.0)</f>
        <v>63</v>
      </c>
      <c r="I111" s="1">
        <f>IFERROR(__xludf.DUMMYFUNCTION("""COMPUTED_VALUE"""),50.0)</f>
        <v>50</v>
      </c>
      <c r="J111" s="1">
        <f>IFERROR(__xludf.DUMMYFUNCTION("""COMPUTED_VALUE"""),59.0)</f>
        <v>59</v>
      </c>
      <c r="K111" s="1">
        <f>IFERROR(__xludf.DUMMYFUNCTION("""COMPUTED_VALUE"""),73.0)</f>
        <v>73</v>
      </c>
      <c r="L111" s="1">
        <f>IFERROR(__xludf.DUMMYFUNCTION("""COMPUTED_VALUE"""),325.0)</f>
        <v>325</v>
      </c>
      <c r="M111" s="1">
        <f>IFERROR(__xludf.DUMMYFUNCTION("""COMPUTED_VALUE"""),65.0)</f>
        <v>65</v>
      </c>
      <c r="N111" s="1">
        <f>IFERROR(__xludf.DUMMYFUNCTION("""COMPUTED_VALUE"""),65.0)</f>
        <v>65</v>
      </c>
      <c r="O111" s="1" t="str">
        <f>IFERROR(__xludf.DUMMYFUNCTION("""COMPUTED_VALUE"""),"Pass")</f>
        <v>Pass</v>
      </c>
    </row>
    <row r="112" ht="15.75" customHeight="1">
      <c r="A112" s="1" t="str">
        <f>IFERROR(__xludf.DUMMYFUNCTION("""COMPUTED_VALUE"""),"STD-1259")</f>
        <v>STD-1259</v>
      </c>
      <c r="B112" s="1" t="str">
        <f>IFERROR(__xludf.DUMMYFUNCTION("""COMPUTED_VALUE"""),"Kavya Choudhary")</f>
        <v>Kavya Choudhary</v>
      </c>
      <c r="C112" s="1" t="str">
        <f>IFERROR(__xludf.DUMMYFUNCTION("""COMPUTED_VALUE"""),"Female")</f>
        <v>Female</v>
      </c>
      <c r="D112" s="1" t="str">
        <f>IFERROR(__xludf.DUMMYFUNCTION("""COMPUTED_VALUE"""),"6")</f>
        <v>6</v>
      </c>
      <c r="E112" s="1" t="str">
        <f>IFERROR(__xludf.DUMMYFUNCTION("""COMPUTED_VALUE"""),"C")</f>
        <v>C</v>
      </c>
      <c r="F112" s="1" t="str">
        <f>IFERROR(__xludf.DUMMYFUNCTION("""COMPUTED_VALUE"""),"Lucknow")</f>
        <v>Lucknow</v>
      </c>
      <c r="G112" s="1">
        <f>IFERROR(__xludf.DUMMYFUNCTION("""COMPUTED_VALUE"""),83.0)</f>
        <v>83</v>
      </c>
      <c r="H112" s="1">
        <f>IFERROR(__xludf.DUMMYFUNCTION("""COMPUTED_VALUE"""),76.0)</f>
        <v>76</v>
      </c>
      <c r="I112" s="1">
        <f>IFERROR(__xludf.DUMMYFUNCTION("""COMPUTED_VALUE"""),92.0)</f>
        <v>92</v>
      </c>
      <c r="J112" s="1">
        <f>IFERROR(__xludf.DUMMYFUNCTION("""COMPUTED_VALUE"""),54.0)</f>
        <v>54</v>
      </c>
      <c r="K112" s="1">
        <f>IFERROR(__xludf.DUMMYFUNCTION("""COMPUTED_VALUE"""),56.0)</f>
        <v>56</v>
      </c>
      <c r="L112" s="1">
        <f>IFERROR(__xludf.DUMMYFUNCTION("""COMPUTED_VALUE"""),361.0)</f>
        <v>361</v>
      </c>
      <c r="M112" s="1">
        <f>IFERROR(__xludf.DUMMYFUNCTION("""COMPUTED_VALUE"""),72.2)</f>
        <v>72.2</v>
      </c>
      <c r="N112" s="1">
        <f>IFERROR(__xludf.DUMMYFUNCTION("""COMPUTED_VALUE"""),94.0)</f>
        <v>94</v>
      </c>
      <c r="O112" s="1" t="str">
        <f>IFERROR(__xludf.DUMMYFUNCTION("""COMPUTED_VALUE"""),"Pass")</f>
        <v>Pass</v>
      </c>
    </row>
    <row r="113" ht="15.75" customHeight="1">
      <c r="A113" s="1" t="str">
        <f>IFERROR(__xludf.DUMMYFUNCTION("""COMPUTED_VALUE"""),"STD-1263")</f>
        <v>STD-1263</v>
      </c>
      <c r="B113" s="1" t="str">
        <f>IFERROR(__xludf.DUMMYFUNCTION("""COMPUTED_VALUE"""),"Tanvi Jain")</f>
        <v>Tanvi Jain</v>
      </c>
      <c r="C113" s="1" t="str">
        <f>IFERROR(__xludf.DUMMYFUNCTION("""COMPUTED_VALUE"""),"Female")</f>
        <v>Female</v>
      </c>
      <c r="D113" s="1" t="str">
        <f>IFERROR(__xludf.DUMMYFUNCTION("""COMPUTED_VALUE"""),"6")</f>
        <v>6</v>
      </c>
      <c r="E113" s="1" t="str">
        <f>IFERROR(__xludf.DUMMYFUNCTION("""COMPUTED_VALUE"""),"B")</f>
        <v>B</v>
      </c>
      <c r="F113" s="1" t="str">
        <f>IFERROR(__xludf.DUMMYFUNCTION("""COMPUTED_VALUE"""),"Lucknow")</f>
        <v>Lucknow</v>
      </c>
      <c r="G113" s="1">
        <f>IFERROR(__xludf.DUMMYFUNCTION("""COMPUTED_VALUE"""),78.0)</f>
        <v>78</v>
      </c>
      <c r="H113" s="1">
        <f>IFERROR(__xludf.DUMMYFUNCTION("""COMPUTED_VALUE"""),73.0)</f>
        <v>73</v>
      </c>
      <c r="I113" s="1">
        <f>IFERROR(__xludf.DUMMYFUNCTION("""COMPUTED_VALUE"""),47.0)</f>
        <v>47</v>
      </c>
      <c r="J113" s="1">
        <f>IFERROR(__xludf.DUMMYFUNCTION("""COMPUTED_VALUE"""),62.0)</f>
        <v>62</v>
      </c>
      <c r="K113" s="1">
        <f>IFERROR(__xludf.DUMMYFUNCTION("""COMPUTED_VALUE"""),78.0)</f>
        <v>78</v>
      </c>
      <c r="L113" s="1">
        <f>IFERROR(__xludf.DUMMYFUNCTION("""COMPUTED_VALUE"""),338.0)</f>
        <v>338</v>
      </c>
      <c r="M113" s="1">
        <f>IFERROR(__xludf.DUMMYFUNCTION("""COMPUTED_VALUE"""),67.6)</f>
        <v>67.6</v>
      </c>
      <c r="N113" s="1">
        <f>IFERROR(__xludf.DUMMYFUNCTION("""COMPUTED_VALUE"""),83.0)</f>
        <v>83</v>
      </c>
      <c r="O113" s="1" t="str">
        <f>IFERROR(__xludf.DUMMYFUNCTION("""COMPUTED_VALUE"""),"Pass")</f>
        <v>Pass</v>
      </c>
    </row>
    <row r="114" ht="15.75" customHeight="1">
      <c r="A114" s="1" t="str">
        <f>IFERROR(__xludf.DUMMYFUNCTION("""COMPUTED_VALUE"""),"STD-1264")</f>
        <v>STD-1264</v>
      </c>
      <c r="B114" s="1" t="str">
        <f>IFERROR(__xludf.DUMMYFUNCTION("""COMPUTED_VALUE"""),"Ishita Nair")</f>
        <v>Ishita Nair</v>
      </c>
      <c r="C114" s="1" t="str">
        <f>IFERROR(__xludf.DUMMYFUNCTION("""COMPUTED_VALUE"""),"Female")</f>
        <v>Female</v>
      </c>
      <c r="D114" s="1" t="str">
        <f>IFERROR(__xludf.DUMMYFUNCTION("""COMPUTED_VALUE"""),"7")</f>
        <v>7</v>
      </c>
      <c r="E114" s="1" t="str">
        <f>IFERROR(__xludf.DUMMYFUNCTION("""COMPUTED_VALUE"""),"C")</f>
        <v>C</v>
      </c>
      <c r="F114" s="1" t="str">
        <f>IFERROR(__xludf.DUMMYFUNCTION("""COMPUTED_VALUE"""),"Chandigarh")</f>
        <v>Chandigarh</v>
      </c>
      <c r="G114" s="1">
        <f>IFERROR(__xludf.DUMMYFUNCTION("""COMPUTED_VALUE"""),100.0)</f>
        <v>100</v>
      </c>
      <c r="H114" s="1">
        <f>IFERROR(__xludf.DUMMYFUNCTION("""COMPUTED_VALUE"""),95.0)</f>
        <v>95</v>
      </c>
      <c r="I114" s="1">
        <f>IFERROR(__xludf.DUMMYFUNCTION("""COMPUTED_VALUE"""),90.0)</f>
        <v>90</v>
      </c>
      <c r="J114" s="1">
        <f>IFERROR(__xludf.DUMMYFUNCTION("""COMPUTED_VALUE"""),49.0)</f>
        <v>49</v>
      </c>
      <c r="K114" s="1">
        <f>IFERROR(__xludf.DUMMYFUNCTION("""COMPUTED_VALUE"""),50.0)</f>
        <v>50</v>
      </c>
      <c r="L114" s="1">
        <f>IFERROR(__xludf.DUMMYFUNCTION("""COMPUTED_VALUE"""),384.0)</f>
        <v>384</v>
      </c>
      <c r="M114" s="1">
        <f>IFERROR(__xludf.DUMMYFUNCTION("""COMPUTED_VALUE"""),76.8)</f>
        <v>76.8</v>
      </c>
      <c r="N114" s="1">
        <f>IFERROR(__xludf.DUMMYFUNCTION("""COMPUTED_VALUE"""),70.0)</f>
        <v>70</v>
      </c>
      <c r="O114" s="1" t="str">
        <f>IFERROR(__xludf.DUMMYFUNCTION("""COMPUTED_VALUE"""),"Pass")</f>
        <v>Pass</v>
      </c>
    </row>
    <row r="115" ht="15.75" customHeight="1">
      <c r="A115" s="1" t="str">
        <f>IFERROR(__xludf.DUMMYFUNCTION("""COMPUTED_VALUE"""),"STD-1269")</f>
        <v>STD-1269</v>
      </c>
      <c r="B115" s="1" t="str">
        <f>IFERROR(__xludf.DUMMYFUNCTION("""COMPUTED_VALUE"""),"Aditya Kulkarni")</f>
        <v>Aditya Kulkarni</v>
      </c>
      <c r="C115" s="1" t="str">
        <f>IFERROR(__xludf.DUMMYFUNCTION("""COMPUTED_VALUE"""),"Male")</f>
        <v>Male</v>
      </c>
      <c r="D115" s="1" t="str">
        <f>IFERROR(__xludf.DUMMYFUNCTION("""COMPUTED_VALUE"""),"10")</f>
        <v>10</v>
      </c>
      <c r="E115" s="1" t="str">
        <f>IFERROR(__xludf.DUMMYFUNCTION("""COMPUTED_VALUE"""),"B")</f>
        <v>B</v>
      </c>
      <c r="F115" s="1" t="str">
        <f>IFERROR(__xludf.DUMMYFUNCTION("""COMPUTED_VALUE"""),"Chandigarh")</f>
        <v>Chandigarh</v>
      </c>
      <c r="G115" s="1">
        <f>IFERROR(__xludf.DUMMYFUNCTION("""COMPUTED_VALUE"""),91.0)</f>
        <v>91</v>
      </c>
      <c r="H115" s="1">
        <f>IFERROR(__xludf.DUMMYFUNCTION("""COMPUTED_VALUE"""),98.0)</f>
        <v>98</v>
      </c>
      <c r="I115" s="1">
        <f>IFERROR(__xludf.DUMMYFUNCTION("""COMPUTED_VALUE"""),55.0)</f>
        <v>55</v>
      </c>
      <c r="J115" s="1">
        <f>IFERROR(__xludf.DUMMYFUNCTION("""COMPUTED_VALUE"""),70.0)</f>
        <v>70</v>
      </c>
      <c r="K115" s="1">
        <f>IFERROR(__xludf.DUMMYFUNCTION("""COMPUTED_VALUE"""),87.0)</f>
        <v>87</v>
      </c>
      <c r="L115" s="1">
        <f>IFERROR(__xludf.DUMMYFUNCTION("""COMPUTED_VALUE"""),401.0)</f>
        <v>401</v>
      </c>
      <c r="M115" s="1">
        <f>IFERROR(__xludf.DUMMYFUNCTION("""COMPUTED_VALUE"""),80.2)</f>
        <v>80.2</v>
      </c>
      <c r="N115" s="1">
        <f>IFERROR(__xludf.DUMMYFUNCTION("""COMPUTED_VALUE"""),62.0)</f>
        <v>62</v>
      </c>
      <c r="O115" s="1" t="str">
        <f>IFERROR(__xludf.DUMMYFUNCTION("""COMPUTED_VALUE"""),"Pass")</f>
        <v>Pass</v>
      </c>
    </row>
    <row r="116" ht="15.75" customHeight="1">
      <c r="A116" s="1" t="str">
        <f>IFERROR(__xludf.DUMMYFUNCTION("""COMPUTED_VALUE"""),"STD-1270")</f>
        <v>STD-1270</v>
      </c>
      <c r="B116" s="1" t="str">
        <f>IFERROR(__xludf.DUMMYFUNCTION("""COMPUTED_VALUE"""),"Aditya Patel")</f>
        <v>Aditya Patel</v>
      </c>
      <c r="C116" s="1" t="str">
        <f>IFERROR(__xludf.DUMMYFUNCTION("""COMPUTED_VALUE"""),"Male")</f>
        <v>Male</v>
      </c>
      <c r="D116" s="1" t="str">
        <f>IFERROR(__xludf.DUMMYFUNCTION("""COMPUTED_VALUE"""),"7")</f>
        <v>7</v>
      </c>
      <c r="E116" s="1" t="str">
        <f>IFERROR(__xludf.DUMMYFUNCTION("""COMPUTED_VALUE"""),"A")</f>
        <v>A</v>
      </c>
      <c r="F116" s="1" t="str">
        <f>IFERROR(__xludf.DUMMYFUNCTION("""COMPUTED_VALUE"""),"Chandigarh")</f>
        <v>Chandigarh</v>
      </c>
      <c r="G116" s="1">
        <f>IFERROR(__xludf.DUMMYFUNCTION("""COMPUTED_VALUE"""),89.0)</f>
        <v>89</v>
      </c>
      <c r="H116" s="1">
        <f>IFERROR(__xludf.DUMMYFUNCTION("""COMPUTED_VALUE"""),62.0)</f>
        <v>62</v>
      </c>
      <c r="I116" s="1">
        <f>IFERROR(__xludf.DUMMYFUNCTION("""COMPUTED_VALUE"""),46.0)</f>
        <v>46</v>
      </c>
      <c r="J116" s="1">
        <f>IFERROR(__xludf.DUMMYFUNCTION("""COMPUTED_VALUE"""),50.0)</f>
        <v>50</v>
      </c>
      <c r="K116" s="1">
        <f>IFERROR(__xludf.DUMMYFUNCTION("""COMPUTED_VALUE"""),52.0)</f>
        <v>52</v>
      </c>
      <c r="L116" s="1">
        <f>IFERROR(__xludf.DUMMYFUNCTION("""COMPUTED_VALUE"""),299.0)</f>
        <v>299</v>
      </c>
      <c r="M116" s="1">
        <f>IFERROR(__xludf.DUMMYFUNCTION("""COMPUTED_VALUE"""),59.8)</f>
        <v>59.8</v>
      </c>
      <c r="N116" s="1">
        <f>IFERROR(__xludf.DUMMYFUNCTION("""COMPUTED_VALUE"""),77.0)</f>
        <v>77</v>
      </c>
      <c r="O116" s="1" t="str">
        <f>IFERROR(__xludf.DUMMYFUNCTION("""COMPUTED_VALUE"""),"Pass")</f>
        <v>Pass</v>
      </c>
    </row>
    <row r="117" ht="15.75" customHeight="1">
      <c r="A117" s="1" t="str">
        <f>IFERROR(__xludf.DUMMYFUNCTION("""COMPUTED_VALUE"""),"STD-1271")</f>
        <v>STD-1271</v>
      </c>
      <c r="B117" s="1" t="str">
        <f>IFERROR(__xludf.DUMMYFUNCTION("""COMPUTED_VALUE"""),"Ishita Nair")</f>
        <v>Ishita Nair</v>
      </c>
      <c r="C117" s="1" t="str">
        <f>IFERROR(__xludf.DUMMYFUNCTION("""COMPUTED_VALUE"""),"Female")</f>
        <v>Female</v>
      </c>
      <c r="D117" s="1" t="str">
        <f>IFERROR(__xludf.DUMMYFUNCTION("""COMPUTED_VALUE"""),"10")</f>
        <v>10</v>
      </c>
      <c r="E117" s="1" t="str">
        <f>IFERROR(__xludf.DUMMYFUNCTION("""COMPUTED_VALUE"""),"B")</f>
        <v>B</v>
      </c>
      <c r="F117" s="1" t="str">
        <f>IFERROR(__xludf.DUMMYFUNCTION("""COMPUTED_VALUE"""),"Jaipur")</f>
        <v>Jaipur</v>
      </c>
      <c r="G117" s="1">
        <f>IFERROR(__xludf.DUMMYFUNCTION("""COMPUTED_VALUE"""),100.0)</f>
        <v>100</v>
      </c>
      <c r="H117" s="1">
        <f>IFERROR(__xludf.DUMMYFUNCTION("""COMPUTED_VALUE"""),45.0)</f>
        <v>45</v>
      </c>
      <c r="I117" s="1">
        <f>IFERROR(__xludf.DUMMYFUNCTION("""COMPUTED_VALUE"""),81.0)</f>
        <v>81</v>
      </c>
      <c r="J117" s="1">
        <f>IFERROR(__xludf.DUMMYFUNCTION("""COMPUTED_VALUE"""),98.0)</f>
        <v>98</v>
      </c>
      <c r="K117" s="1">
        <f>IFERROR(__xludf.DUMMYFUNCTION("""COMPUTED_VALUE"""),69.0)</f>
        <v>69</v>
      </c>
      <c r="L117" s="1">
        <f>IFERROR(__xludf.DUMMYFUNCTION("""COMPUTED_VALUE"""),393.0)</f>
        <v>393</v>
      </c>
      <c r="M117" s="1">
        <f>IFERROR(__xludf.DUMMYFUNCTION("""COMPUTED_VALUE"""),78.6)</f>
        <v>78.6</v>
      </c>
      <c r="N117" s="1">
        <f>IFERROR(__xludf.DUMMYFUNCTION("""COMPUTED_VALUE"""),84.0)</f>
        <v>84</v>
      </c>
      <c r="O117" s="1" t="str">
        <f>IFERROR(__xludf.DUMMYFUNCTION("""COMPUTED_VALUE"""),"Pass")</f>
        <v>Pass</v>
      </c>
    </row>
    <row r="118" ht="15.75" customHeight="1">
      <c r="A118" s="1" t="str">
        <f>IFERROR(__xludf.DUMMYFUNCTION("""COMPUTED_VALUE"""),"STD-1272")</f>
        <v>STD-1272</v>
      </c>
      <c r="B118" s="1" t="str">
        <f>IFERROR(__xludf.DUMMYFUNCTION("""COMPUTED_VALUE"""),"Rahul Verma")</f>
        <v>Rahul Verma</v>
      </c>
      <c r="C118" s="1" t="str">
        <f>IFERROR(__xludf.DUMMYFUNCTION("""COMPUTED_VALUE"""),"Female")</f>
        <v>Female</v>
      </c>
      <c r="D118" s="1" t="str">
        <f>IFERROR(__xludf.DUMMYFUNCTION("""COMPUTED_VALUE"""),"10")</f>
        <v>10</v>
      </c>
      <c r="E118" s="1" t="str">
        <f>IFERROR(__xludf.DUMMYFUNCTION("""COMPUTED_VALUE"""),"A")</f>
        <v>A</v>
      </c>
      <c r="F118" s="1" t="str">
        <f>IFERROR(__xludf.DUMMYFUNCTION("""COMPUTED_VALUE"""),"Chandigarh")</f>
        <v>Chandigarh</v>
      </c>
      <c r="G118" s="1">
        <f>IFERROR(__xludf.DUMMYFUNCTION("""COMPUTED_VALUE"""),87.0)</f>
        <v>87</v>
      </c>
      <c r="H118" s="1">
        <f>IFERROR(__xludf.DUMMYFUNCTION("""COMPUTED_VALUE"""),51.0)</f>
        <v>51</v>
      </c>
      <c r="I118" s="1">
        <f>IFERROR(__xludf.DUMMYFUNCTION("""COMPUTED_VALUE"""),80.0)</f>
        <v>80</v>
      </c>
      <c r="J118" s="1">
        <f>IFERROR(__xludf.DUMMYFUNCTION("""COMPUTED_VALUE"""),63.0)</f>
        <v>63</v>
      </c>
      <c r="K118" s="1">
        <f>IFERROR(__xludf.DUMMYFUNCTION("""COMPUTED_VALUE"""),43.0)</f>
        <v>43</v>
      </c>
      <c r="L118" s="1">
        <f>IFERROR(__xludf.DUMMYFUNCTION("""COMPUTED_VALUE"""),324.0)</f>
        <v>324</v>
      </c>
      <c r="M118" s="1">
        <f>IFERROR(__xludf.DUMMYFUNCTION("""COMPUTED_VALUE"""),64.8)</f>
        <v>64.8</v>
      </c>
      <c r="N118" s="1">
        <f>IFERROR(__xludf.DUMMYFUNCTION("""COMPUTED_VALUE"""),84.0)</f>
        <v>84</v>
      </c>
      <c r="O118" s="1" t="str">
        <f>IFERROR(__xludf.DUMMYFUNCTION("""COMPUTED_VALUE"""),"Pass")</f>
        <v>Pass</v>
      </c>
    </row>
    <row r="119" ht="15.75" customHeight="1">
      <c r="A119" s="1" t="str">
        <f>IFERROR(__xludf.DUMMYFUNCTION("""COMPUTED_VALUE"""),"STD-1273")</f>
        <v>STD-1273</v>
      </c>
      <c r="B119" s="1" t="str">
        <f>IFERROR(__xludf.DUMMYFUNCTION("""COMPUTED_VALUE"""),"Tanvi Patel")</f>
        <v>Tanvi Patel</v>
      </c>
      <c r="C119" s="1" t="str">
        <f>IFERROR(__xludf.DUMMYFUNCTION("""COMPUTED_VALUE"""),"Male")</f>
        <v>Male</v>
      </c>
      <c r="D119" s="1" t="str">
        <f>IFERROR(__xludf.DUMMYFUNCTION("""COMPUTED_VALUE"""),"10")</f>
        <v>10</v>
      </c>
      <c r="E119" s="1" t="str">
        <f>IFERROR(__xludf.DUMMYFUNCTION("""COMPUTED_VALUE"""),"C")</f>
        <v>C</v>
      </c>
      <c r="F119" s="1" t="str">
        <f>IFERROR(__xludf.DUMMYFUNCTION("""COMPUTED_VALUE"""),"Lucknow")</f>
        <v>Lucknow</v>
      </c>
      <c r="G119" s="1">
        <f>IFERROR(__xludf.DUMMYFUNCTION("""COMPUTED_VALUE"""),96.0)</f>
        <v>96</v>
      </c>
      <c r="H119" s="1">
        <f>IFERROR(__xludf.DUMMYFUNCTION("""COMPUTED_VALUE"""),63.0)</f>
        <v>63</v>
      </c>
      <c r="I119" s="1">
        <f>IFERROR(__xludf.DUMMYFUNCTION("""COMPUTED_VALUE"""),76.0)</f>
        <v>76</v>
      </c>
      <c r="J119" s="1">
        <f>IFERROR(__xludf.DUMMYFUNCTION("""COMPUTED_VALUE"""),91.0)</f>
        <v>91</v>
      </c>
      <c r="K119" s="1">
        <f>IFERROR(__xludf.DUMMYFUNCTION("""COMPUTED_VALUE"""),42.0)</f>
        <v>42</v>
      </c>
      <c r="L119" s="1">
        <f>IFERROR(__xludf.DUMMYFUNCTION("""COMPUTED_VALUE"""),368.0)</f>
        <v>368</v>
      </c>
      <c r="M119" s="1">
        <f>IFERROR(__xludf.DUMMYFUNCTION("""COMPUTED_VALUE"""),73.6)</f>
        <v>73.6</v>
      </c>
      <c r="N119" s="1">
        <f>IFERROR(__xludf.DUMMYFUNCTION("""COMPUTED_VALUE"""),87.0)</f>
        <v>87</v>
      </c>
      <c r="O119" s="1" t="str">
        <f>IFERROR(__xludf.DUMMYFUNCTION("""COMPUTED_VALUE"""),"Pass")</f>
        <v>Pass</v>
      </c>
    </row>
    <row r="120" ht="15.75" customHeight="1">
      <c r="A120" s="1" t="str">
        <f>IFERROR(__xludf.DUMMYFUNCTION("""COMPUTED_VALUE"""),"STD-1274")</f>
        <v>STD-1274</v>
      </c>
      <c r="B120" s="1" t="str">
        <f>IFERROR(__xludf.DUMMYFUNCTION("""COMPUTED_VALUE"""),"Kavya Verma")</f>
        <v>Kavya Verma</v>
      </c>
      <c r="C120" s="1" t="str">
        <f>IFERROR(__xludf.DUMMYFUNCTION("""COMPUTED_VALUE"""),"Female")</f>
        <v>Female</v>
      </c>
      <c r="D120" s="1" t="str">
        <f>IFERROR(__xludf.DUMMYFUNCTION("""COMPUTED_VALUE"""),"6")</f>
        <v>6</v>
      </c>
      <c r="E120" s="1" t="str">
        <f>IFERROR(__xludf.DUMMYFUNCTION("""COMPUTED_VALUE"""),"B")</f>
        <v>B</v>
      </c>
      <c r="F120" s="1" t="str">
        <f>IFERROR(__xludf.DUMMYFUNCTION("""COMPUTED_VALUE"""),"Lucknow")</f>
        <v>Lucknow</v>
      </c>
      <c r="G120" s="1">
        <f>IFERROR(__xludf.DUMMYFUNCTION("""COMPUTED_VALUE"""),96.0)</f>
        <v>96</v>
      </c>
      <c r="H120" s="1">
        <f>IFERROR(__xludf.DUMMYFUNCTION("""COMPUTED_VALUE"""),78.0)</f>
        <v>78</v>
      </c>
      <c r="I120" s="1">
        <f>IFERROR(__xludf.DUMMYFUNCTION("""COMPUTED_VALUE"""),66.0)</f>
        <v>66</v>
      </c>
      <c r="J120" s="1">
        <f>IFERROR(__xludf.DUMMYFUNCTION("""COMPUTED_VALUE"""),59.0)</f>
        <v>59</v>
      </c>
      <c r="K120" s="1">
        <f>IFERROR(__xludf.DUMMYFUNCTION("""COMPUTED_VALUE"""),46.0)</f>
        <v>46</v>
      </c>
      <c r="L120" s="1">
        <f>IFERROR(__xludf.DUMMYFUNCTION("""COMPUTED_VALUE"""),345.0)</f>
        <v>345</v>
      </c>
      <c r="M120" s="1">
        <f>IFERROR(__xludf.DUMMYFUNCTION("""COMPUTED_VALUE"""),69.0)</f>
        <v>69</v>
      </c>
      <c r="N120" s="1">
        <f>IFERROR(__xludf.DUMMYFUNCTION("""COMPUTED_VALUE"""),71.0)</f>
        <v>71</v>
      </c>
      <c r="O120" s="1" t="str">
        <f>IFERROR(__xludf.DUMMYFUNCTION("""COMPUTED_VALUE"""),"Pass")</f>
        <v>Pass</v>
      </c>
    </row>
    <row r="121" ht="15.75" customHeight="1">
      <c r="A121" s="1" t="str">
        <f>IFERROR(__xludf.DUMMYFUNCTION("""COMPUTED_VALUE"""),"STD-1276")</f>
        <v>STD-1276</v>
      </c>
      <c r="B121" s="1" t="str">
        <f>IFERROR(__xludf.DUMMYFUNCTION("""COMPUTED_VALUE"""),"Meera Singh")</f>
        <v>Meera Singh</v>
      </c>
      <c r="C121" s="1" t="str">
        <f>IFERROR(__xludf.DUMMYFUNCTION("""COMPUTED_VALUE"""),"Female")</f>
        <v>Female</v>
      </c>
      <c r="D121" s="1" t="str">
        <f>IFERROR(__xludf.DUMMYFUNCTION("""COMPUTED_VALUE"""),"8")</f>
        <v>8</v>
      </c>
      <c r="E121" s="1" t="str">
        <f>IFERROR(__xludf.DUMMYFUNCTION("""COMPUTED_VALUE"""),"B")</f>
        <v>B</v>
      </c>
      <c r="F121" s="1" t="str">
        <f>IFERROR(__xludf.DUMMYFUNCTION("""COMPUTED_VALUE"""),"Jaipur")</f>
        <v>Jaipur</v>
      </c>
      <c r="G121" s="1">
        <f>IFERROR(__xludf.DUMMYFUNCTION("""COMPUTED_VALUE"""),85.0)</f>
        <v>85</v>
      </c>
      <c r="H121" s="1">
        <f>IFERROR(__xludf.DUMMYFUNCTION("""COMPUTED_VALUE"""),93.0)</f>
        <v>93</v>
      </c>
      <c r="I121" s="1">
        <f>IFERROR(__xludf.DUMMYFUNCTION("""COMPUTED_VALUE"""),51.0)</f>
        <v>51</v>
      </c>
      <c r="J121" s="1">
        <f>IFERROR(__xludf.DUMMYFUNCTION("""COMPUTED_VALUE"""),48.0)</f>
        <v>48</v>
      </c>
      <c r="K121" s="1">
        <f>IFERROR(__xludf.DUMMYFUNCTION("""COMPUTED_VALUE"""),51.0)</f>
        <v>51</v>
      </c>
      <c r="L121" s="1">
        <f>IFERROR(__xludf.DUMMYFUNCTION("""COMPUTED_VALUE"""),328.0)</f>
        <v>328</v>
      </c>
      <c r="M121" s="1">
        <f>IFERROR(__xludf.DUMMYFUNCTION("""COMPUTED_VALUE"""),65.6)</f>
        <v>65.6</v>
      </c>
      <c r="N121" s="1">
        <f>IFERROR(__xludf.DUMMYFUNCTION("""COMPUTED_VALUE"""),91.0)</f>
        <v>91</v>
      </c>
      <c r="O121" s="1" t="str">
        <f>IFERROR(__xludf.DUMMYFUNCTION("""COMPUTED_VALUE"""),"Pass")</f>
        <v>Pass</v>
      </c>
    </row>
    <row r="122" ht="15.75" customHeight="1">
      <c r="A122" s="1" t="str">
        <f>IFERROR(__xludf.DUMMYFUNCTION("""COMPUTED_VALUE"""),"STD-1277")</f>
        <v>STD-1277</v>
      </c>
      <c r="B122" s="1" t="str">
        <f>IFERROR(__xludf.DUMMYFUNCTION("""COMPUTED_VALUE"""),"Ishita Banerjee")</f>
        <v>Ishita Banerjee</v>
      </c>
      <c r="C122" s="1" t="str">
        <f>IFERROR(__xludf.DUMMYFUNCTION("""COMPUTED_VALUE"""),"Male")</f>
        <v>Male</v>
      </c>
      <c r="D122" s="1" t="str">
        <f>IFERROR(__xludf.DUMMYFUNCTION("""COMPUTED_VALUE"""),"8")</f>
        <v>8</v>
      </c>
      <c r="E122" s="1" t="str">
        <f>IFERROR(__xludf.DUMMYFUNCTION("""COMPUTED_VALUE"""),"A")</f>
        <v>A</v>
      </c>
      <c r="F122" s="1" t="str">
        <f>IFERROR(__xludf.DUMMYFUNCTION("""COMPUTED_VALUE"""),"Lucknow")</f>
        <v>Lucknow</v>
      </c>
      <c r="G122" s="1">
        <f>IFERROR(__xludf.DUMMYFUNCTION("""COMPUTED_VALUE"""),85.0)</f>
        <v>85</v>
      </c>
      <c r="H122" s="1">
        <f>IFERROR(__xludf.DUMMYFUNCTION("""COMPUTED_VALUE"""),46.0)</f>
        <v>46</v>
      </c>
      <c r="I122" s="1">
        <f>IFERROR(__xludf.DUMMYFUNCTION("""COMPUTED_VALUE"""),72.0)</f>
        <v>72</v>
      </c>
      <c r="J122" s="1">
        <f>IFERROR(__xludf.DUMMYFUNCTION("""COMPUTED_VALUE"""),53.0)</f>
        <v>53</v>
      </c>
      <c r="K122" s="1">
        <f>IFERROR(__xludf.DUMMYFUNCTION("""COMPUTED_VALUE"""),64.0)</f>
        <v>64</v>
      </c>
      <c r="L122" s="1">
        <f>IFERROR(__xludf.DUMMYFUNCTION("""COMPUTED_VALUE"""),320.0)</f>
        <v>320</v>
      </c>
      <c r="M122" s="1">
        <f>IFERROR(__xludf.DUMMYFUNCTION("""COMPUTED_VALUE"""),64.0)</f>
        <v>64</v>
      </c>
      <c r="N122" s="1">
        <f>IFERROR(__xludf.DUMMYFUNCTION("""COMPUTED_VALUE"""),64.0)</f>
        <v>64</v>
      </c>
      <c r="O122" s="1" t="str">
        <f>IFERROR(__xludf.DUMMYFUNCTION("""COMPUTED_VALUE"""),"Pass")</f>
        <v>Pass</v>
      </c>
    </row>
    <row r="123" ht="15.75" customHeight="1">
      <c r="A123" s="1" t="str">
        <f>IFERROR(__xludf.DUMMYFUNCTION("""COMPUTED_VALUE"""),"STD-1278")</f>
        <v>STD-1278</v>
      </c>
      <c r="B123" s="1" t="str">
        <f>IFERROR(__xludf.DUMMYFUNCTION("""COMPUTED_VALUE"""),"Karan Kaur")</f>
        <v>Karan Kaur</v>
      </c>
      <c r="C123" s="1" t="str">
        <f>IFERROR(__xludf.DUMMYFUNCTION("""COMPUTED_VALUE"""),"Female")</f>
        <v>Female</v>
      </c>
      <c r="D123" s="1" t="str">
        <f>IFERROR(__xludf.DUMMYFUNCTION("""COMPUTED_VALUE"""),"7")</f>
        <v>7</v>
      </c>
      <c r="E123" s="1" t="str">
        <f>IFERROR(__xludf.DUMMYFUNCTION("""COMPUTED_VALUE"""),"A")</f>
        <v>A</v>
      </c>
      <c r="F123" s="1" t="str">
        <f>IFERROR(__xludf.DUMMYFUNCTION("""COMPUTED_VALUE"""),"Kolkata")</f>
        <v>Kolkata</v>
      </c>
      <c r="G123" s="1">
        <f>IFERROR(__xludf.DUMMYFUNCTION("""COMPUTED_VALUE"""),78.0)</f>
        <v>78</v>
      </c>
      <c r="H123" s="1">
        <f>IFERROR(__xludf.DUMMYFUNCTION("""COMPUTED_VALUE"""),64.0)</f>
        <v>64</v>
      </c>
      <c r="I123" s="1">
        <f>IFERROR(__xludf.DUMMYFUNCTION("""COMPUTED_VALUE"""),59.0)</f>
        <v>59</v>
      </c>
      <c r="J123" s="1">
        <f>IFERROR(__xludf.DUMMYFUNCTION("""COMPUTED_VALUE"""),87.0)</f>
        <v>87</v>
      </c>
      <c r="K123" s="1">
        <f>IFERROR(__xludf.DUMMYFUNCTION("""COMPUTED_VALUE"""),94.0)</f>
        <v>94</v>
      </c>
      <c r="L123" s="1">
        <f>IFERROR(__xludf.DUMMYFUNCTION("""COMPUTED_VALUE"""),382.0)</f>
        <v>382</v>
      </c>
      <c r="M123" s="1">
        <f>IFERROR(__xludf.DUMMYFUNCTION("""COMPUTED_VALUE"""),76.4)</f>
        <v>76.4</v>
      </c>
      <c r="N123" s="1">
        <f>IFERROR(__xludf.DUMMYFUNCTION("""COMPUTED_VALUE"""),95.0)</f>
        <v>95</v>
      </c>
      <c r="O123" s="1" t="str">
        <f>IFERROR(__xludf.DUMMYFUNCTION("""COMPUTED_VALUE"""),"Pass")</f>
        <v>Pass</v>
      </c>
    </row>
    <row r="124" ht="15.75" customHeight="1">
      <c r="A124" s="1" t="str">
        <f>IFERROR(__xludf.DUMMYFUNCTION("""COMPUTED_VALUE"""),"STD-1279")</f>
        <v>STD-1279</v>
      </c>
      <c r="B124" s="1" t="str">
        <f>IFERROR(__xludf.DUMMYFUNCTION("""COMPUTED_VALUE"""),"Sai Iyer")</f>
        <v>Sai Iyer</v>
      </c>
      <c r="C124" s="1" t="str">
        <f>IFERROR(__xludf.DUMMYFUNCTION("""COMPUTED_VALUE"""),"Male")</f>
        <v>Male</v>
      </c>
      <c r="D124" s="1" t="str">
        <f>IFERROR(__xludf.DUMMYFUNCTION("""COMPUTED_VALUE"""),"8")</f>
        <v>8</v>
      </c>
      <c r="E124" s="1" t="str">
        <f>IFERROR(__xludf.DUMMYFUNCTION("""COMPUTED_VALUE"""),"C")</f>
        <v>C</v>
      </c>
      <c r="F124" s="1" t="str">
        <f>IFERROR(__xludf.DUMMYFUNCTION("""COMPUTED_VALUE"""),"Jaipur")</f>
        <v>Jaipur</v>
      </c>
      <c r="G124" s="1">
        <f>IFERROR(__xludf.DUMMYFUNCTION("""COMPUTED_VALUE"""),99.0)</f>
        <v>99</v>
      </c>
      <c r="H124" s="1">
        <f>IFERROR(__xludf.DUMMYFUNCTION("""COMPUTED_VALUE"""),100.0)</f>
        <v>100</v>
      </c>
      <c r="I124" s="1">
        <f>IFERROR(__xludf.DUMMYFUNCTION("""COMPUTED_VALUE"""),67.0)</f>
        <v>67</v>
      </c>
      <c r="J124" s="1">
        <f>IFERROR(__xludf.DUMMYFUNCTION("""COMPUTED_VALUE"""),75.0)</f>
        <v>75</v>
      </c>
      <c r="K124" s="1">
        <f>IFERROR(__xludf.DUMMYFUNCTION("""COMPUTED_VALUE"""),43.0)</f>
        <v>43</v>
      </c>
      <c r="L124" s="1">
        <f>IFERROR(__xludf.DUMMYFUNCTION("""COMPUTED_VALUE"""),384.0)</f>
        <v>384</v>
      </c>
      <c r="M124" s="1">
        <f>IFERROR(__xludf.DUMMYFUNCTION("""COMPUTED_VALUE"""),76.8)</f>
        <v>76.8</v>
      </c>
      <c r="N124" s="1">
        <f>IFERROR(__xludf.DUMMYFUNCTION("""COMPUTED_VALUE"""),91.0)</f>
        <v>91</v>
      </c>
      <c r="O124" s="1" t="str">
        <f>IFERROR(__xludf.DUMMYFUNCTION("""COMPUTED_VALUE"""),"Pass")</f>
        <v>Pass</v>
      </c>
    </row>
    <row r="125" ht="15.75" customHeight="1">
      <c r="A125" s="1" t="str">
        <f>IFERROR(__xludf.DUMMYFUNCTION("""COMPUTED_VALUE"""),"STD-1281")</f>
        <v>STD-1281</v>
      </c>
      <c r="B125" s="1" t="str">
        <f>IFERROR(__xludf.DUMMYFUNCTION("""COMPUTED_VALUE"""),"Neha Das")</f>
        <v>Neha Das</v>
      </c>
      <c r="C125" s="1" t="str">
        <f>IFERROR(__xludf.DUMMYFUNCTION("""COMPUTED_VALUE"""),"Male")</f>
        <v>Male</v>
      </c>
      <c r="D125" s="1" t="str">
        <f>IFERROR(__xludf.DUMMYFUNCTION("""COMPUTED_VALUE"""),"9")</f>
        <v>9</v>
      </c>
      <c r="E125" s="1" t="str">
        <f>IFERROR(__xludf.DUMMYFUNCTION("""COMPUTED_VALUE"""),"A")</f>
        <v>A</v>
      </c>
      <c r="F125" s="1" t="str">
        <f>IFERROR(__xludf.DUMMYFUNCTION("""COMPUTED_VALUE"""),"Bhopal")</f>
        <v>Bhopal</v>
      </c>
      <c r="G125" s="1">
        <f>IFERROR(__xludf.DUMMYFUNCTION("""COMPUTED_VALUE"""),94.0)</f>
        <v>94</v>
      </c>
      <c r="H125" s="1">
        <f>IFERROR(__xludf.DUMMYFUNCTION("""COMPUTED_VALUE"""),49.0)</f>
        <v>49</v>
      </c>
      <c r="I125" s="1">
        <f>IFERROR(__xludf.DUMMYFUNCTION("""COMPUTED_VALUE"""),50.0)</f>
        <v>50</v>
      </c>
      <c r="J125" s="1">
        <f>IFERROR(__xludf.DUMMYFUNCTION("""COMPUTED_VALUE"""),98.0)</f>
        <v>98</v>
      </c>
      <c r="K125" s="1">
        <f>IFERROR(__xludf.DUMMYFUNCTION("""COMPUTED_VALUE"""),47.0)</f>
        <v>47</v>
      </c>
      <c r="L125" s="1">
        <f>IFERROR(__xludf.DUMMYFUNCTION("""COMPUTED_VALUE"""),338.0)</f>
        <v>338</v>
      </c>
      <c r="M125" s="1">
        <f>IFERROR(__xludf.DUMMYFUNCTION("""COMPUTED_VALUE"""),67.6)</f>
        <v>67.6</v>
      </c>
      <c r="N125" s="1">
        <f>IFERROR(__xludf.DUMMYFUNCTION("""COMPUTED_VALUE"""),91.0)</f>
        <v>91</v>
      </c>
      <c r="O125" s="1" t="str">
        <f>IFERROR(__xludf.DUMMYFUNCTION("""COMPUTED_VALUE"""),"Pass")</f>
        <v>Pass</v>
      </c>
    </row>
    <row r="126" ht="15.75" customHeight="1">
      <c r="A126" s="1" t="str">
        <f>IFERROR(__xludf.DUMMYFUNCTION("""COMPUTED_VALUE"""),"STD-1284")</f>
        <v>STD-1284</v>
      </c>
      <c r="B126" s="1" t="str">
        <f>IFERROR(__xludf.DUMMYFUNCTION("""COMPUTED_VALUE"""),"Ananya Reddy")</f>
        <v>Ananya Reddy</v>
      </c>
      <c r="C126" s="1" t="str">
        <f>IFERROR(__xludf.DUMMYFUNCTION("""COMPUTED_VALUE"""),"Male")</f>
        <v>Male</v>
      </c>
      <c r="D126" s="1" t="str">
        <f>IFERROR(__xludf.DUMMYFUNCTION("""COMPUTED_VALUE"""),"8")</f>
        <v>8</v>
      </c>
      <c r="E126" s="1" t="str">
        <f>IFERROR(__xludf.DUMMYFUNCTION("""COMPUTED_VALUE"""),"B")</f>
        <v>B</v>
      </c>
      <c r="F126" s="1" t="str">
        <f>IFERROR(__xludf.DUMMYFUNCTION("""COMPUTED_VALUE"""),"Kolkata")</f>
        <v>Kolkata</v>
      </c>
      <c r="G126" s="1">
        <f>IFERROR(__xludf.DUMMYFUNCTION("""COMPUTED_VALUE"""),100.0)</f>
        <v>100</v>
      </c>
      <c r="H126" s="1">
        <f>IFERROR(__xludf.DUMMYFUNCTION("""COMPUTED_VALUE"""),51.0)</f>
        <v>51</v>
      </c>
      <c r="I126" s="1">
        <f>IFERROR(__xludf.DUMMYFUNCTION("""COMPUTED_VALUE"""),70.0)</f>
        <v>70</v>
      </c>
      <c r="J126" s="1">
        <f>IFERROR(__xludf.DUMMYFUNCTION("""COMPUTED_VALUE"""),93.0)</f>
        <v>93</v>
      </c>
      <c r="K126" s="1">
        <f>IFERROR(__xludf.DUMMYFUNCTION("""COMPUTED_VALUE"""),56.0)</f>
        <v>56</v>
      </c>
      <c r="L126" s="1">
        <f>IFERROR(__xludf.DUMMYFUNCTION("""COMPUTED_VALUE"""),370.0)</f>
        <v>370</v>
      </c>
      <c r="M126" s="1">
        <f>IFERROR(__xludf.DUMMYFUNCTION("""COMPUTED_VALUE"""),74.0)</f>
        <v>74</v>
      </c>
      <c r="N126" s="1">
        <f>IFERROR(__xludf.DUMMYFUNCTION("""COMPUTED_VALUE"""),77.0)</f>
        <v>77</v>
      </c>
      <c r="O126" s="1" t="str">
        <f>IFERROR(__xludf.DUMMYFUNCTION("""COMPUTED_VALUE"""),"Pass")</f>
        <v>Pass</v>
      </c>
    </row>
    <row r="127" ht="15.75" customHeight="1">
      <c r="A127" s="1" t="str">
        <f>IFERROR(__xludf.DUMMYFUNCTION("""COMPUTED_VALUE"""),"STD-1285")</f>
        <v>STD-1285</v>
      </c>
      <c r="B127" s="1" t="str">
        <f>IFERROR(__xludf.DUMMYFUNCTION("""COMPUTED_VALUE"""),"Rahul Kulkarni")</f>
        <v>Rahul Kulkarni</v>
      </c>
      <c r="C127" s="1" t="str">
        <f>IFERROR(__xludf.DUMMYFUNCTION("""COMPUTED_VALUE"""),"Male")</f>
        <v>Male</v>
      </c>
      <c r="D127" s="1" t="str">
        <f>IFERROR(__xludf.DUMMYFUNCTION("""COMPUTED_VALUE"""),"8")</f>
        <v>8</v>
      </c>
      <c r="E127" s="1" t="str">
        <f>IFERROR(__xludf.DUMMYFUNCTION("""COMPUTED_VALUE"""),"A")</f>
        <v>A</v>
      </c>
      <c r="F127" s="1" t="str">
        <f>IFERROR(__xludf.DUMMYFUNCTION("""COMPUTED_VALUE"""),"Jaipur")</f>
        <v>Jaipur</v>
      </c>
      <c r="G127" s="1">
        <f>IFERROR(__xludf.DUMMYFUNCTION("""COMPUTED_VALUE"""),76.0)</f>
        <v>76</v>
      </c>
      <c r="H127" s="1">
        <f>IFERROR(__xludf.DUMMYFUNCTION("""COMPUTED_VALUE"""),83.0)</f>
        <v>83</v>
      </c>
      <c r="I127" s="1">
        <f>IFERROR(__xludf.DUMMYFUNCTION("""COMPUTED_VALUE"""),43.0)</f>
        <v>43</v>
      </c>
      <c r="J127" s="1">
        <f>IFERROR(__xludf.DUMMYFUNCTION("""COMPUTED_VALUE"""),43.0)</f>
        <v>43</v>
      </c>
      <c r="K127" s="1">
        <f>IFERROR(__xludf.DUMMYFUNCTION("""COMPUTED_VALUE"""),79.0)</f>
        <v>79</v>
      </c>
      <c r="L127" s="1">
        <f>IFERROR(__xludf.DUMMYFUNCTION("""COMPUTED_VALUE"""),324.0)</f>
        <v>324</v>
      </c>
      <c r="M127" s="1">
        <f>IFERROR(__xludf.DUMMYFUNCTION("""COMPUTED_VALUE"""),64.8)</f>
        <v>64.8</v>
      </c>
      <c r="N127" s="1">
        <f>IFERROR(__xludf.DUMMYFUNCTION("""COMPUTED_VALUE"""),90.0)</f>
        <v>90</v>
      </c>
      <c r="O127" s="1" t="str">
        <f>IFERROR(__xludf.DUMMYFUNCTION("""COMPUTED_VALUE"""),"Pass")</f>
        <v>Pass</v>
      </c>
    </row>
    <row r="128" ht="15.75" customHeight="1">
      <c r="A128" s="1" t="str">
        <f>IFERROR(__xludf.DUMMYFUNCTION("""COMPUTED_VALUE"""),"STD-1290")</f>
        <v>STD-1290</v>
      </c>
      <c r="B128" s="1" t="str">
        <f>IFERROR(__xludf.DUMMYFUNCTION("""COMPUTED_VALUE"""),"Sneha Patel")</f>
        <v>Sneha Patel</v>
      </c>
      <c r="C128" s="1" t="str">
        <f>IFERROR(__xludf.DUMMYFUNCTION("""COMPUTED_VALUE"""),"Female")</f>
        <v>Female</v>
      </c>
      <c r="D128" s="1" t="str">
        <f>IFERROR(__xludf.DUMMYFUNCTION("""COMPUTED_VALUE"""),"7")</f>
        <v>7</v>
      </c>
      <c r="E128" s="1" t="str">
        <f>IFERROR(__xludf.DUMMYFUNCTION("""COMPUTED_VALUE"""),"C")</f>
        <v>C</v>
      </c>
      <c r="F128" s="1" t="str">
        <f>IFERROR(__xludf.DUMMYFUNCTION("""COMPUTED_VALUE"""),"Lucknow")</f>
        <v>Lucknow</v>
      </c>
      <c r="G128" s="1">
        <f>IFERROR(__xludf.DUMMYFUNCTION("""COMPUTED_VALUE"""),94.0)</f>
        <v>94</v>
      </c>
      <c r="H128" s="1">
        <f>IFERROR(__xludf.DUMMYFUNCTION("""COMPUTED_VALUE"""),77.0)</f>
        <v>77</v>
      </c>
      <c r="I128" s="1">
        <f>IFERROR(__xludf.DUMMYFUNCTION("""COMPUTED_VALUE"""),72.0)</f>
        <v>72</v>
      </c>
      <c r="J128" s="1">
        <f>IFERROR(__xludf.DUMMYFUNCTION("""COMPUTED_VALUE"""),59.0)</f>
        <v>59</v>
      </c>
      <c r="K128" s="1">
        <f>IFERROR(__xludf.DUMMYFUNCTION("""COMPUTED_VALUE"""),61.0)</f>
        <v>61</v>
      </c>
      <c r="L128" s="1">
        <f>IFERROR(__xludf.DUMMYFUNCTION("""COMPUTED_VALUE"""),363.0)</f>
        <v>363</v>
      </c>
      <c r="M128" s="1">
        <f>IFERROR(__xludf.DUMMYFUNCTION("""COMPUTED_VALUE"""),72.6)</f>
        <v>72.6</v>
      </c>
      <c r="N128" s="1">
        <f>IFERROR(__xludf.DUMMYFUNCTION("""COMPUTED_VALUE"""),93.0)</f>
        <v>93</v>
      </c>
      <c r="O128" s="1" t="str">
        <f>IFERROR(__xludf.DUMMYFUNCTION("""COMPUTED_VALUE"""),"Pass")</f>
        <v>Pass</v>
      </c>
    </row>
    <row r="129" ht="15.75" customHeight="1">
      <c r="A129" s="1" t="str">
        <f>IFERROR(__xludf.DUMMYFUNCTION("""COMPUTED_VALUE"""),"STD-1293")</f>
        <v>STD-1293</v>
      </c>
      <c r="B129" s="1" t="str">
        <f>IFERROR(__xludf.DUMMYFUNCTION("""COMPUTED_VALUE"""),"Aarav Das")</f>
        <v>Aarav Das</v>
      </c>
      <c r="C129" s="1" t="str">
        <f>IFERROR(__xludf.DUMMYFUNCTION("""COMPUTED_VALUE"""),"Male")</f>
        <v>Male</v>
      </c>
      <c r="D129" s="1" t="str">
        <f>IFERROR(__xludf.DUMMYFUNCTION("""COMPUTED_VALUE"""),"6")</f>
        <v>6</v>
      </c>
      <c r="E129" s="1" t="str">
        <f>IFERROR(__xludf.DUMMYFUNCTION("""COMPUTED_VALUE"""),"C")</f>
        <v>C</v>
      </c>
      <c r="F129" s="1" t="str">
        <f>IFERROR(__xludf.DUMMYFUNCTION("""COMPUTED_VALUE"""),"Jaipur")</f>
        <v>Jaipur</v>
      </c>
      <c r="G129" s="1">
        <f>IFERROR(__xludf.DUMMYFUNCTION("""COMPUTED_VALUE"""),76.0)</f>
        <v>76</v>
      </c>
      <c r="H129" s="1">
        <f>IFERROR(__xludf.DUMMYFUNCTION("""COMPUTED_VALUE"""),42.0)</f>
        <v>42</v>
      </c>
      <c r="I129" s="1">
        <f>IFERROR(__xludf.DUMMYFUNCTION("""COMPUTED_VALUE"""),41.0)</f>
        <v>41</v>
      </c>
      <c r="J129" s="1">
        <f>IFERROR(__xludf.DUMMYFUNCTION("""COMPUTED_VALUE"""),62.0)</f>
        <v>62</v>
      </c>
      <c r="K129" s="1">
        <f>IFERROR(__xludf.DUMMYFUNCTION("""COMPUTED_VALUE"""),93.0)</f>
        <v>93</v>
      </c>
      <c r="L129" s="1">
        <f>IFERROR(__xludf.DUMMYFUNCTION("""COMPUTED_VALUE"""),314.0)</f>
        <v>314</v>
      </c>
      <c r="M129" s="1">
        <f>IFERROR(__xludf.DUMMYFUNCTION("""COMPUTED_VALUE"""),62.8)</f>
        <v>62.8</v>
      </c>
      <c r="N129" s="1">
        <f>IFERROR(__xludf.DUMMYFUNCTION("""COMPUTED_VALUE"""),91.0)</f>
        <v>91</v>
      </c>
      <c r="O129" s="1" t="str">
        <f>IFERROR(__xludf.DUMMYFUNCTION("""COMPUTED_VALUE"""),"Pass")</f>
        <v>Pass</v>
      </c>
    </row>
    <row r="130" ht="15.75" customHeight="1">
      <c r="A130" s="1" t="str">
        <f>IFERROR(__xludf.DUMMYFUNCTION("""COMPUTED_VALUE"""),"STD-1295")</f>
        <v>STD-1295</v>
      </c>
      <c r="B130" s="1" t="str">
        <f>IFERROR(__xludf.DUMMYFUNCTION("""COMPUTED_VALUE"""),"Sneha Singh")</f>
        <v>Sneha Singh</v>
      </c>
      <c r="C130" s="1" t="str">
        <f>IFERROR(__xludf.DUMMYFUNCTION("""COMPUTED_VALUE"""),"Male")</f>
        <v>Male</v>
      </c>
      <c r="D130" s="1" t="str">
        <f>IFERROR(__xludf.DUMMYFUNCTION("""COMPUTED_VALUE"""),"7")</f>
        <v>7</v>
      </c>
      <c r="E130" s="1" t="str">
        <f>IFERROR(__xludf.DUMMYFUNCTION("""COMPUTED_VALUE"""),"B")</f>
        <v>B</v>
      </c>
      <c r="F130" s="1" t="str">
        <f>IFERROR(__xludf.DUMMYFUNCTION("""COMPUTED_VALUE"""),"Kolkata")</f>
        <v>Kolkata</v>
      </c>
      <c r="G130" s="1">
        <f>IFERROR(__xludf.DUMMYFUNCTION("""COMPUTED_VALUE"""),84.0)</f>
        <v>84</v>
      </c>
      <c r="H130" s="1">
        <f>IFERROR(__xludf.DUMMYFUNCTION("""COMPUTED_VALUE"""),88.0)</f>
        <v>88</v>
      </c>
      <c r="I130" s="1">
        <f>IFERROR(__xludf.DUMMYFUNCTION("""COMPUTED_VALUE"""),63.0)</f>
        <v>63</v>
      </c>
      <c r="J130" s="1">
        <f>IFERROR(__xludf.DUMMYFUNCTION("""COMPUTED_VALUE"""),95.0)</f>
        <v>95</v>
      </c>
      <c r="K130" s="1">
        <f>IFERROR(__xludf.DUMMYFUNCTION("""COMPUTED_VALUE"""),63.0)</f>
        <v>63</v>
      </c>
      <c r="L130" s="1">
        <f>IFERROR(__xludf.DUMMYFUNCTION("""COMPUTED_VALUE"""),393.0)</f>
        <v>393</v>
      </c>
      <c r="M130" s="1">
        <f>IFERROR(__xludf.DUMMYFUNCTION("""COMPUTED_VALUE"""),78.6)</f>
        <v>78.6</v>
      </c>
      <c r="N130" s="1">
        <f>IFERROR(__xludf.DUMMYFUNCTION("""COMPUTED_VALUE"""),100.0)</f>
        <v>100</v>
      </c>
      <c r="O130" s="1" t="str">
        <f>IFERROR(__xludf.DUMMYFUNCTION("""COMPUTED_VALUE"""),"Pass")</f>
        <v>Pass</v>
      </c>
    </row>
    <row r="131" ht="15.75" customHeight="1">
      <c r="A131" s="1" t="str">
        <f>IFERROR(__xludf.DUMMYFUNCTION("""COMPUTED_VALUE"""),"STD-1296")</f>
        <v>STD-1296</v>
      </c>
      <c r="B131" s="1" t="str">
        <f>IFERROR(__xludf.DUMMYFUNCTION("""COMPUTED_VALUE"""),"Pooja Sharma")</f>
        <v>Pooja Sharma</v>
      </c>
      <c r="C131" s="1" t="str">
        <f>IFERROR(__xludf.DUMMYFUNCTION("""COMPUTED_VALUE"""),"Male")</f>
        <v>Male</v>
      </c>
      <c r="D131" s="1" t="str">
        <f>IFERROR(__xludf.DUMMYFUNCTION("""COMPUTED_VALUE"""),"6")</f>
        <v>6</v>
      </c>
      <c r="E131" s="1" t="str">
        <f>IFERROR(__xludf.DUMMYFUNCTION("""COMPUTED_VALUE"""),"C")</f>
        <v>C</v>
      </c>
      <c r="F131" s="1" t="str">
        <f>IFERROR(__xludf.DUMMYFUNCTION("""COMPUTED_VALUE"""),"Mumbai")</f>
        <v>Mumbai</v>
      </c>
      <c r="G131" s="1">
        <f>IFERROR(__xludf.DUMMYFUNCTION("""COMPUTED_VALUE"""),93.0)</f>
        <v>93</v>
      </c>
      <c r="H131" s="1">
        <f>IFERROR(__xludf.DUMMYFUNCTION("""COMPUTED_VALUE"""),43.0)</f>
        <v>43</v>
      </c>
      <c r="I131" s="1">
        <f>IFERROR(__xludf.DUMMYFUNCTION("""COMPUTED_VALUE"""),98.0)</f>
        <v>98</v>
      </c>
      <c r="J131" s="1">
        <f>IFERROR(__xludf.DUMMYFUNCTION("""COMPUTED_VALUE"""),59.0)</f>
        <v>59</v>
      </c>
      <c r="K131" s="1">
        <f>IFERROR(__xludf.DUMMYFUNCTION("""COMPUTED_VALUE"""),63.0)</f>
        <v>63</v>
      </c>
      <c r="L131" s="1">
        <f>IFERROR(__xludf.DUMMYFUNCTION("""COMPUTED_VALUE"""),356.0)</f>
        <v>356</v>
      </c>
      <c r="M131" s="1">
        <f>IFERROR(__xludf.DUMMYFUNCTION("""COMPUTED_VALUE"""),71.2)</f>
        <v>71.2</v>
      </c>
      <c r="N131" s="1">
        <f>IFERROR(__xludf.DUMMYFUNCTION("""COMPUTED_VALUE"""),98.0)</f>
        <v>98</v>
      </c>
      <c r="O131" s="1" t="str">
        <f>IFERROR(__xludf.DUMMYFUNCTION("""COMPUTED_VALUE"""),"Pass")</f>
        <v>Pass</v>
      </c>
    </row>
    <row r="132" ht="15.75" customHeight="1">
      <c r="A132" s="1" t="str">
        <f>IFERROR(__xludf.DUMMYFUNCTION("""COMPUTED_VALUE"""),"STD-1297")</f>
        <v>STD-1297</v>
      </c>
      <c r="B132" s="1" t="str">
        <f>IFERROR(__xludf.DUMMYFUNCTION("""COMPUTED_VALUE"""),"Vivaan Choudhary")</f>
        <v>Vivaan Choudhary</v>
      </c>
      <c r="C132" s="1" t="str">
        <f>IFERROR(__xludf.DUMMYFUNCTION("""COMPUTED_VALUE"""),"Male")</f>
        <v>Male</v>
      </c>
      <c r="D132" s="1" t="str">
        <f>IFERROR(__xludf.DUMMYFUNCTION("""COMPUTED_VALUE"""),"6")</f>
        <v>6</v>
      </c>
      <c r="E132" s="1" t="str">
        <f>IFERROR(__xludf.DUMMYFUNCTION("""COMPUTED_VALUE"""),"B")</f>
        <v>B</v>
      </c>
      <c r="F132" s="1" t="str">
        <f>IFERROR(__xludf.DUMMYFUNCTION("""COMPUTED_VALUE"""),"Kolkata")</f>
        <v>Kolkata</v>
      </c>
      <c r="G132" s="1">
        <f>IFERROR(__xludf.DUMMYFUNCTION("""COMPUTED_VALUE"""),85.0)</f>
        <v>85</v>
      </c>
      <c r="H132" s="1">
        <f>IFERROR(__xludf.DUMMYFUNCTION("""COMPUTED_VALUE"""),97.0)</f>
        <v>97</v>
      </c>
      <c r="I132" s="1">
        <f>IFERROR(__xludf.DUMMYFUNCTION("""COMPUTED_VALUE"""),80.0)</f>
        <v>80</v>
      </c>
      <c r="J132" s="1">
        <f>IFERROR(__xludf.DUMMYFUNCTION("""COMPUTED_VALUE"""),75.0)</f>
        <v>75</v>
      </c>
      <c r="K132" s="1">
        <f>IFERROR(__xludf.DUMMYFUNCTION("""COMPUTED_VALUE"""),58.0)</f>
        <v>58</v>
      </c>
      <c r="L132" s="1">
        <f>IFERROR(__xludf.DUMMYFUNCTION("""COMPUTED_VALUE"""),395.0)</f>
        <v>395</v>
      </c>
      <c r="M132" s="1">
        <f>IFERROR(__xludf.DUMMYFUNCTION("""COMPUTED_VALUE"""),79.0)</f>
        <v>79</v>
      </c>
      <c r="N132" s="1">
        <f>IFERROR(__xludf.DUMMYFUNCTION("""COMPUTED_VALUE"""),96.0)</f>
        <v>96</v>
      </c>
      <c r="O132" s="1" t="str">
        <f>IFERROR(__xludf.DUMMYFUNCTION("""COMPUTED_VALUE"""),"Pass")</f>
        <v>Pass</v>
      </c>
    </row>
    <row r="133" ht="15.75" customHeight="1">
      <c r="A133" s="1" t="str">
        <f>IFERROR(__xludf.DUMMYFUNCTION("""COMPUTED_VALUE"""),"STD-1298")</f>
        <v>STD-1298</v>
      </c>
      <c r="B133" s="1" t="str">
        <f>IFERROR(__xludf.DUMMYFUNCTION("""COMPUTED_VALUE"""),"Shreya Jain")</f>
        <v>Shreya Jain</v>
      </c>
      <c r="C133" s="1" t="str">
        <f>IFERROR(__xludf.DUMMYFUNCTION("""COMPUTED_VALUE"""),"Male")</f>
        <v>Male</v>
      </c>
      <c r="D133" s="1" t="str">
        <f>IFERROR(__xludf.DUMMYFUNCTION("""COMPUTED_VALUE"""),"8")</f>
        <v>8</v>
      </c>
      <c r="E133" s="1" t="str">
        <f>IFERROR(__xludf.DUMMYFUNCTION("""COMPUTED_VALUE"""),"B")</f>
        <v>B</v>
      </c>
      <c r="F133" s="1" t="str">
        <f>IFERROR(__xludf.DUMMYFUNCTION("""COMPUTED_VALUE"""),"Delhi")</f>
        <v>Delhi</v>
      </c>
      <c r="G133" s="1">
        <f>IFERROR(__xludf.DUMMYFUNCTION("""COMPUTED_VALUE"""),89.0)</f>
        <v>89</v>
      </c>
      <c r="H133" s="1">
        <f>IFERROR(__xludf.DUMMYFUNCTION("""COMPUTED_VALUE"""),61.0)</f>
        <v>61</v>
      </c>
      <c r="I133" s="1">
        <f>IFERROR(__xludf.DUMMYFUNCTION("""COMPUTED_VALUE"""),42.0)</f>
        <v>42</v>
      </c>
      <c r="J133" s="1">
        <f>IFERROR(__xludf.DUMMYFUNCTION("""COMPUTED_VALUE"""),74.0)</f>
        <v>74</v>
      </c>
      <c r="K133" s="1">
        <f>IFERROR(__xludf.DUMMYFUNCTION("""COMPUTED_VALUE"""),69.0)</f>
        <v>69</v>
      </c>
      <c r="L133" s="1">
        <f>IFERROR(__xludf.DUMMYFUNCTION("""COMPUTED_VALUE"""),335.0)</f>
        <v>335</v>
      </c>
      <c r="M133" s="1">
        <f>IFERROR(__xludf.DUMMYFUNCTION("""COMPUTED_VALUE"""),67.0)</f>
        <v>67</v>
      </c>
      <c r="N133" s="1">
        <f>IFERROR(__xludf.DUMMYFUNCTION("""COMPUTED_VALUE"""),77.0)</f>
        <v>77</v>
      </c>
      <c r="O133" s="1" t="str">
        <f>IFERROR(__xludf.DUMMYFUNCTION("""COMPUTED_VALUE"""),"Pass")</f>
        <v>Pass</v>
      </c>
    </row>
    <row r="134" ht="15.75" customHeight="1">
      <c r="A134" s="1" t="str">
        <f>IFERROR(__xludf.DUMMYFUNCTION("""COMPUTED_VALUE"""),"STD-1302")</f>
        <v>STD-1302</v>
      </c>
      <c r="B134" s="1" t="str">
        <f>IFERROR(__xludf.DUMMYFUNCTION("""COMPUTED_VALUE"""),"Vivaan Nair")</f>
        <v>Vivaan Nair</v>
      </c>
      <c r="C134" s="1" t="str">
        <f>IFERROR(__xludf.DUMMYFUNCTION("""COMPUTED_VALUE"""),"Male")</f>
        <v>Male</v>
      </c>
      <c r="D134" s="1" t="str">
        <f>IFERROR(__xludf.DUMMYFUNCTION("""COMPUTED_VALUE"""),"10")</f>
        <v>10</v>
      </c>
      <c r="E134" s="1" t="str">
        <f>IFERROR(__xludf.DUMMYFUNCTION("""COMPUTED_VALUE"""),"C")</f>
        <v>C</v>
      </c>
      <c r="F134" s="1" t="str">
        <f>IFERROR(__xludf.DUMMYFUNCTION("""COMPUTED_VALUE"""),"Jaipur")</f>
        <v>Jaipur</v>
      </c>
      <c r="G134" s="1">
        <f>IFERROR(__xludf.DUMMYFUNCTION("""COMPUTED_VALUE"""),97.0)</f>
        <v>97</v>
      </c>
      <c r="H134" s="1">
        <f>IFERROR(__xludf.DUMMYFUNCTION("""COMPUTED_VALUE"""),52.0)</f>
        <v>52</v>
      </c>
      <c r="I134" s="1">
        <f>IFERROR(__xludf.DUMMYFUNCTION("""COMPUTED_VALUE"""),98.0)</f>
        <v>98</v>
      </c>
      <c r="J134" s="1">
        <f>IFERROR(__xludf.DUMMYFUNCTION("""COMPUTED_VALUE"""),78.0)</f>
        <v>78</v>
      </c>
      <c r="K134" s="1">
        <f>IFERROR(__xludf.DUMMYFUNCTION("""COMPUTED_VALUE"""),63.0)</f>
        <v>63</v>
      </c>
      <c r="L134" s="1">
        <f>IFERROR(__xludf.DUMMYFUNCTION("""COMPUTED_VALUE"""),388.0)</f>
        <v>388</v>
      </c>
      <c r="M134" s="1">
        <f>IFERROR(__xludf.DUMMYFUNCTION("""COMPUTED_VALUE"""),77.6)</f>
        <v>77.6</v>
      </c>
      <c r="N134" s="1">
        <f>IFERROR(__xludf.DUMMYFUNCTION("""COMPUTED_VALUE"""),70.0)</f>
        <v>70</v>
      </c>
      <c r="O134" s="1" t="str">
        <f>IFERROR(__xludf.DUMMYFUNCTION("""COMPUTED_VALUE"""),"Pass")</f>
        <v>Pass</v>
      </c>
    </row>
    <row r="135" ht="15.75" customHeight="1">
      <c r="A135" s="1" t="str">
        <f>IFERROR(__xludf.DUMMYFUNCTION("""COMPUTED_VALUE"""),"STD-1308")</f>
        <v>STD-1308</v>
      </c>
      <c r="B135" s="1" t="str">
        <f>IFERROR(__xludf.DUMMYFUNCTION("""COMPUTED_VALUE"""),"Pooja Das")</f>
        <v>Pooja Das</v>
      </c>
      <c r="C135" s="1" t="str">
        <f>IFERROR(__xludf.DUMMYFUNCTION("""COMPUTED_VALUE"""),"Male")</f>
        <v>Male</v>
      </c>
      <c r="D135" s="1" t="str">
        <f>IFERROR(__xludf.DUMMYFUNCTION("""COMPUTED_VALUE"""),"9")</f>
        <v>9</v>
      </c>
      <c r="E135" s="1" t="str">
        <f>IFERROR(__xludf.DUMMYFUNCTION("""COMPUTED_VALUE"""),"A")</f>
        <v>A</v>
      </c>
      <c r="F135" s="1" t="str">
        <f>IFERROR(__xludf.DUMMYFUNCTION("""COMPUTED_VALUE"""),"Jaipur")</f>
        <v>Jaipur</v>
      </c>
      <c r="G135" s="1">
        <f>IFERROR(__xludf.DUMMYFUNCTION("""COMPUTED_VALUE"""),93.0)</f>
        <v>93</v>
      </c>
      <c r="H135" s="1">
        <f>IFERROR(__xludf.DUMMYFUNCTION("""COMPUTED_VALUE"""),84.0)</f>
        <v>84</v>
      </c>
      <c r="I135" s="1">
        <f>IFERROR(__xludf.DUMMYFUNCTION("""COMPUTED_VALUE"""),63.0)</f>
        <v>63</v>
      </c>
      <c r="J135" s="1">
        <f>IFERROR(__xludf.DUMMYFUNCTION("""COMPUTED_VALUE"""),80.0)</f>
        <v>80</v>
      </c>
      <c r="K135" s="1">
        <f>IFERROR(__xludf.DUMMYFUNCTION("""COMPUTED_VALUE"""),76.0)</f>
        <v>76</v>
      </c>
      <c r="L135" s="1">
        <f>IFERROR(__xludf.DUMMYFUNCTION("""COMPUTED_VALUE"""),396.0)</f>
        <v>396</v>
      </c>
      <c r="M135" s="1">
        <f>IFERROR(__xludf.DUMMYFUNCTION("""COMPUTED_VALUE"""),79.2)</f>
        <v>79.2</v>
      </c>
      <c r="N135" s="1">
        <f>IFERROR(__xludf.DUMMYFUNCTION("""COMPUTED_VALUE"""),93.0)</f>
        <v>93</v>
      </c>
      <c r="O135" s="1" t="str">
        <f>IFERROR(__xludf.DUMMYFUNCTION("""COMPUTED_VALUE"""),"Pass")</f>
        <v>Pass</v>
      </c>
    </row>
    <row r="136" ht="15.75" customHeight="1">
      <c r="A136" s="1" t="str">
        <f>IFERROR(__xludf.DUMMYFUNCTION("""COMPUTED_VALUE"""),"STD-1309")</f>
        <v>STD-1309</v>
      </c>
      <c r="B136" s="1" t="str">
        <f>IFERROR(__xludf.DUMMYFUNCTION("""COMPUTED_VALUE"""),"Ananya Nair")</f>
        <v>Ananya Nair</v>
      </c>
      <c r="C136" s="1" t="str">
        <f>IFERROR(__xludf.DUMMYFUNCTION("""COMPUTED_VALUE"""),"Female")</f>
        <v>Female</v>
      </c>
      <c r="D136" s="1" t="str">
        <f>IFERROR(__xludf.DUMMYFUNCTION("""COMPUTED_VALUE"""),"9")</f>
        <v>9</v>
      </c>
      <c r="E136" s="1" t="str">
        <f>IFERROR(__xludf.DUMMYFUNCTION("""COMPUTED_VALUE"""),"C")</f>
        <v>C</v>
      </c>
      <c r="F136" s="1" t="str">
        <f>IFERROR(__xludf.DUMMYFUNCTION("""COMPUTED_VALUE"""),"Mumbai")</f>
        <v>Mumbai</v>
      </c>
      <c r="G136" s="1">
        <f>IFERROR(__xludf.DUMMYFUNCTION("""COMPUTED_VALUE"""),98.0)</f>
        <v>98</v>
      </c>
      <c r="H136" s="1">
        <f>IFERROR(__xludf.DUMMYFUNCTION("""COMPUTED_VALUE"""),44.0)</f>
        <v>44</v>
      </c>
      <c r="I136" s="1">
        <f>IFERROR(__xludf.DUMMYFUNCTION("""COMPUTED_VALUE"""),94.0)</f>
        <v>94</v>
      </c>
      <c r="J136" s="1">
        <f>IFERROR(__xludf.DUMMYFUNCTION("""COMPUTED_VALUE"""),88.0)</f>
        <v>88</v>
      </c>
      <c r="K136" s="1">
        <f>IFERROR(__xludf.DUMMYFUNCTION("""COMPUTED_VALUE"""),59.0)</f>
        <v>59</v>
      </c>
      <c r="L136" s="1">
        <f>IFERROR(__xludf.DUMMYFUNCTION("""COMPUTED_VALUE"""),383.0)</f>
        <v>383</v>
      </c>
      <c r="M136" s="1">
        <f>IFERROR(__xludf.DUMMYFUNCTION("""COMPUTED_VALUE"""),76.6)</f>
        <v>76.6</v>
      </c>
      <c r="N136" s="1">
        <f>IFERROR(__xludf.DUMMYFUNCTION("""COMPUTED_VALUE"""),90.0)</f>
        <v>90</v>
      </c>
      <c r="O136" s="1" t="str">
        <f>IFERROR(__xludf.DUMMYFUNCTION("""COMPUTED_VALUE"""),"Pass")</f>
        <v>Pass</v>
      </c>
    </row>
    <row r="137" ht="15.75" customHeight="1">
      <c r="A137" s="1" t="str">
        <f>IFERROR(__xludf.DUMMYFUNCTION("""COMPUTED_VALUE"""),"STD-1312")</f>
        <v>STD-1312</v>
      </c>
      <c r="B137" s="1" t="str">
        <f>IFERROR(__xludf.DUMMYFUNCTION("""COMPUTED_VALUE"""),"Neha Das")</f>
        <v>Neha Das</v>
      </c>
      <c r="C137" s="1" t="str">
        <f>IFERROR(__xludf.DUMMYFUNCTION("""COMPUTED_VALUE"""),"Female")</f>
        <v>Female</v>
      </c>
      <c r="D137" s="1" t="str">
        <f>IFERROR(__xludf.DUMMYFUNCTION("""COMPUTED_VALUE"""),"7")</f>
        <v>7</v>
      </c>
      <c r="E137" s="1" t="str">
        <f>IFERROR(__xludf.DUMMYFUNCTION("""COMPUTED_VALUE"""),"B")</f>
        <v>B</v>
      </c>
      <c r="F137" s="1" t="str">
        <f>IFERROR(__xludf.DUMMYFUNCTION("""COMPUTED_VALUE"""),"Kolkata")</f>
        <v>Kolkata</v>
      </c>
      <c r="G137" s="1">
        <f>IFERROR(__xludf.DUMMYFUNCTION("""COMPUTED_VALUE"""),80.0)</f>
        <v>80</v>
      </c>
      <c r="H137" s="1">
        <f>IFERROR(__xludf.DUMMYFUNCTION("""COMPUTED_VALUE"""),100.0)</f>
        <v>100</v>
      </c>
      <c r="I137" s="1">
        <f>IFERROR(__xludf.DUMMYFUNCTION("""COMPUTED_VALUE"""),92.0)</f>
        <v>92</v>
      </c>
      <c r="J137" s="1">
        <f>IFERROR(__xludf.DUMMYFUNCTION("""COMPUTED_VALUE"""),46.0)</f>
        <v>46</v>
      </c>
      <c r="K137" s="1">
        <f>IFERROR(__xludf.DUMMYFUNCTION("""COMPUTED_VALUE"""),87.0)</f>
        <v>87</v>
      </c>
      <c r="L137" s="1">
        <f>IFERROR(__xludf.DUMMYFUNCTION("""COMPUTED_VALUE"""),405.0)</f>
        <v>405</v>
      </c>
      <c r="M137" s="1">
        <f>IFERROR(__xludf.DUMMYFUNCTION("""COMPUTED_VALUE"""),81.0)</f>
        <v>81</v>
      </c>
      <c r="N137" s="1">
        <f>IFERROR(__xludf.DUMMYFUNCTION("""COMPUTED_VALUE"""),75.0)</f>
        <v>75</v>
      </c>
      <c r="O137" s="1" t="str">
        <f>IFERROR(__xludf.DUMMYFUNCTION("""COMPUTED_VALUE"""),"Pass")</f>
        <v>Pass</v>
      </c>
    </row>
    <row r="138" ht="15.75" customHeight="1">
      <c r="A138" s="1" t="str">
        <f>IFERROR(__xludf.DUMMYFUNCTION("""COMPUTED_VALUE"""),"STD-1313")</f>
        <v>STD-1313</v>
      </c>
      <c r="B138" s="1" t="str">
        <f>IFERROR(__xludf.DUMMYFUNCTION("""COMPUTED_VALUE"""),"Sai Sharma")</f>
        <v>Sai Sharma</v>
      </c>
      <c r="C138" s="1" t="str">
        <f>IFERROR(__xludf.DUMMYFUNCTION("""COMPUTED_VALUE"""),"Female")</f>
        <v>Female</v>
      </c>
      <c r="D138" s="1" t="str">
        <f>IFERROR(__xludf.DUMMYFUNCTION("""COMPUTED_VALUE"""),"7")</f>
        <v>7</v>
      </c>
      <c r="E138" s="1" t="str">
        <f>IFERROR(__xludf.DUMMYFUNCTION("""COMPUTED_VALUE"""),"B")</f>
        <v>B</v>
      </c>
      <c r="F138" s="1" t="str">
        <f>IFERROR(__xludf.DUMMYFUNCTION("""COMPUTED_VALUE"""),"Mumbai")</f>
        <v>Mumbai</v>
      </c>
      <c r="G138" s="1">
        <f>IFERROR(__xludf.DUMMYFUNCTION("""COMPUTED_VALUE"""),94.0)</f>
        <v>94</v>
      </c>
      <c r="H138" s="1">
        <f>IFERROR(__xludf.DUMMYFUNCTION("""COMPUTED_VALUE"""),67.0)</f>
        <v>67</v>
      </c>
      <c r="I138" s="1">
        <f>IFERROR(__xludf.DUMMYFUNCTION("""COMPUTED_VALUE"""),41.0)</f>
        <v>41</v>
      </c>
      <c r="J138" s="1">
        <f>IFERROR(__xludf.DUMMYFUNCTION("""COMPUTED_VALUE"""),48.0)</f>
        <v>48</v>
      </c>
      <c r="K138" s="1">
        <f>IFERROR(__xludf.DUMMYFUNCTION("""COMPUTED_VALUE"""),45.0)</f>
        <v>45</v>
      </c>
      <c r="L138" s="1">
        <f>IFERROR(__xludf.DUMMYFUNCTION("""COMPUTED_VALUE"""),295.0)</f>
        <v>295</v>
      </c>
      <c r="M138" s="1">
        <f>IFERROR(__xludf.DUMMYFUNCTION("""COMPUTED_VALUE"""),59.0)</f>
        <v>59</v>
      </c>
      <c r="N138" s="1">
        <f>IFERROR(__xludf.DUMMYFUNCTION("""COMPUTED_VALUE"""),91.0)</f>
        <v>91</v>
      </c>
      <c r="O138" s="1" t="str">
        <f>IFERROR(__xludf.DUMMYFUNCTION("""COMPUTED_VALUE"""),"Pass")</f>
        <v>Pass</v>
      </c>
    </row>
    <row r="139" ht="15.75" customHeight="1">
      <c r="A139" s="1" t="str">
        <f>IFERROR(__xludf.DUMMYFUNCTION("""COMPUTED_VALUE"""),"STD-1314")</f>
        <v>STD-1314</v>
      </c>
      <c r="B139" s="1" t="str">
        <f>IFERROR(__xludf.DUMMYFUNCTION("""COMPUTED_VALUE"""),"Sai Das")</f>
        <v>Sai Das</v>
      </c>
      <c r="C139" s="1" t="str">
        <f>IFERROR(__xludf.DUMMYFUNCTION("""COMPUTED_VALUE"""),"Female")</f>
        <v>Female</v>
      </c>
      <c r="D139" s="1" t="str">
        <f>IFERROR(__xludf.DUMMYFUNCTION("""COMPUTED_VALUE"""),"10")</f>
        <v>10</v>
      </c>
      <c r="E139" s="1" t="str">
        <f>IFERROR(__xludf.DUMMYFUNCTION("""COMPUTED_VALUE"""),"C")</f>
        <v>C</v>
      </c>
      <c r="F139" s="1" t="str">
        <f>IFERROR(__xludf.DUMMYFUNCTION("""COMPUTED_VALUE"""),"Bhopal")</f>
        <v>Bhopal</v>
      </c>
      <c r="G139" s="1">
        <f>IFERROR(__xludf.DUMMYFUNCTION("""COMPUTED_VALUE"""),80.0)</f>
        <v>80</v>
      </c>
      <c r="H139" s="1">
        <f>IFERROR(__xludf.DUMMYFUNCTION("""COMPUTED_VALUE"""),96.0)</f>
        <v>96</v>
      </c>
      <c r="I139" s="1">
        <f>IFERROR(__xludf.DUMMYFUNCTION("""COMPUTED_VALUE"""),49.0)</f>
        <v>49</v>
      </c>
      <c r="J139" s="1">
        <f>IFERROR(__xludf.DUMMYFUNCTION("""COMPUTED_VALUE"""),98.0)</f>
        <v>98</v>
      </c>
      <c r="K139" s="1">
        <f>IFERROR(__xludf.DUMMYFUNCTION("""COMPUTED_VALUE"""),97.0)</f>
        <v>97</v>
      </c>
      <c r="L139" s="1">
        <f>IFERROR(__xludf.DUMMYFUNCTION("""COMPUTED_VALUE"""),420.0)</f>
        <v>420</v>
      </c>
      <c r="M139" s="1">
        <f>IFERROR(__xludf.DUMMYFUNCTION("""COMPUTED_VALUE"""),84.0)</f>
        <v>84</v>
      </c>
      <c r="N139" s="1">
        <f>IFERROR(__xludf.DUMMYFUNCTION("""COMPUTED_VALUE"""),85.0)</f>
        <v>85</v>
      </c>
      <c r="O139" s="1" t="str">
        <f>IFERROR(__xludf.DUMMYFUNCTION("""COMPUTED_VALUE"""),"Pass")</f>
        <v>Pass</v>
      </c>
    </row>
    <row r="140" ht="15.75" customHeight="1">
      <c r="A140" s="1" t="str">
        <f>IFERROR(__xludf.DUMMYFUNCTION("""COMPUTED_VALUE"""),"STD-1317")</f>
        <v>STD-1317</v>
      </c>
      <c r="B140" s="1" t="str">
        <f>IFERROR(__xludf.DUMMYFUNCTION("""COMPUTED_VALUE"""),"Kavya Reddy")</f>
        <v>Kavya Reddy</v>
      </c>
      <c r="C140" s="1" t="str">
        <f>IFERROR(__xludf.DUMMYFUNCTION("""COMPUTED_VALUE"""),"Male")</f>
        <v>Male</v>
      </c>
      <c r="D140" s="1" t="str">
        <f>IFERROR(__xludf.DUMMYFUNCTION("""COMPUTED_VALUE"""),"8")</f>
        <v>8</v>
      </c>
      <c r="E140" s="1" t="str">
        <f>IFERROR(__xludf.DUMMYFUNCTION("""COMPUTED_VALUE"""),"A")</f>
        <v>A</v>
      </c>
      <c r="F140" s="1" t="str">
        <f>IFERROR(__xludf.DUMMYFUNCTION("""COMPUTED_VALUE"""),"Bhopal")</f>
        <v>Bhopal</v>
      </c>
      <c r="G140" s="1">
        <f>IFERROR(__xludf.DUMMYFUNCTION("""COMPUTED_VALUE"""),78.0)</f>
        <v>78</v>
      </c>
      <c r="H140" s="1">
        <f>IFERROR(__xludf.DUMMYFUNCTION("""COMPUTED_VALUE"""),65.0)</f>
        <v>65</v>
      </c>
      <c r="I140" s="1">
        <f>IFERROR(__xludf.DUMMYFUNCTION("""COMPUTED_VALUE"""),43.0)</f>
        <v>43</v>
      </c>
      <c r="J140" s="1">
        <f>IFERROR(__xludf.DUMMYFUNCTION("""COMPUTED_VALUE"""),82.0)</f>
        <v>82</v>
      </c>
      <c r="K140" s="1">
        <f>IFERROR(__xludf.DUMMYFUNCTION("""COMPUTED_VALUE"""),75.0)</f>
        <v>75</v>
      </c>
      <c r="L140" s="1">
        <f>IFERROR(__xludf.DUMMYFUNCTION("""COMPUTED_VALUE"""),343.0)</f>
        <v>343</v>
      </c>
      <c r="M140" s="1">
        <f>IFERROR(__xludf.DUMMYFUNCTION("""COMPUTED_VALUE"""),68.6)</f>
        <v>68.6</v>
      </c>
      <c r="N140" s="1">
        <f>IFERROR(__xludf.DUMMYFUNCTION("""COMPUTED_VALUE"""),94.0)</f>
        <v>94</v>
      </c>
      <c r="O140" s="1" t="str">
        <f>IFERROR(__xludf.DUMMYFUNCTION("""COMPUTED_VALUE"""),"Pass")</f>
        <v>Pass</v>
      </c>
    </row>
    <row r="141" ht="15.75" customHeight="1">
      <c r="A141" s="1" t="str">
        <f>IFERROR(__xludf.DUMMYFUNCTION("""COMPUTED_VALUE"""),"STD-1320")</f>
        <v>STD-1320</v>
      </c>
      <c r="B141" s="1" t="str">
        <f>IFERROR(__xludf.DUMMYFUNCTION("""COMPUTED_VALUE"""),"Arjun Yadav")</f>
        <v>Arjun Yadav</v>
      </c>
      <c r="C141" s="1" t="str">
        <f>IFERROR(__xludf.DUMMYFUNCTION("""COMPUTED_VALUE"""),"Male")</f>
        <v>Male</v>
      </c>
      <c r="D141" s="1" t="str">
        <f>IFERROR(__xludf.DUMMYFUNCTION("""COMPUTED_VALUE"""),"7")</f>
        <v>7</v>
      </c>
      <c r="E141" s="1" t="str">
        <f>IFERROR(__xludf.DUMMYFUNCTION("""COMPUTED_VALUE"""),"A")</f>
        <v>A</v>
      </c>
      <c r="F141" s="1" t="str">
        <f>IFERROR(__xludf.DUMMYFUNCTION("""COMPUTED_VALUE"""),"Mumbai")</f>
        <v>Mumbai</v>
      </c>
      <c r="G141" s="1">
        <f>IFERROR(__xludf.DUMMYFUNCTION("""COMPUTED_VALUE"""),90.0)</f>
        <v>90</v>
      </c>
      <c r="H141" s="1">
        <f>IFERROR(__xludf.DUMMYFUNCTION("""COMPUTED_VALUE"""),66.0)</f>
        <v>66</v>
      </c>
      <c r="I141" s="1">
        <f>IFERROR(__xludf.DUMMYFUNCTION("""COMPUTED_VALUE"""),52.0)</f>
        <v>52</v>
      </c>
      <c r="J141" s="1">
        <f>IFERROR(__xludf.DUMMYFUNCTION("""COMPUTED_VALUE"""),88.0)</f>
        <v>88</v>
      </c>
      <c r="K141" s="1">
        <f>IFERROR(__xludf.DUMMYFUNCTION("""COMPUTED_VALUE"""),65.0)</f>
        <v>65</v>
      </c>
      <c r="L141" s="1">
        <f>IFERROR(__xludf.DUMMYFUNCTION("""COMPUTED_VALUE"""),361.0)</f>
        <v>361</v>
      </c>
      <c r="M141" s="1">
        <f>IFERROR(__xludf.DUMMYFUNCTION("""COMPUTED_VALUE"""),72.2)</f>
        <v>72.2</v>
      </c>
      <c r="N141" s="1">
        <f>IFERROR(__xludf.DUMMYFUNCTION("""COMPUTED_VALUE"""),85.0)</f>
        <v>85</v>
      </c>
      <c r="O141" s="1" t="str">
        <f>IFERROR(__xludf.DUMMYFUNCTION("""COMPUTED_VALUE"""),"Pass")</f>
        <v>Pass</v>
      </c>
    </row>
    <row r="142" ht="15.75" customHeight="1">
      <c r="A142" s="1" t="str">
        <f>IFERROR(__xludf.DUMMYFUNCTION("""COMPUTED_VALUE"""),"STD-1321")</f>
        <v>STD-1321</v>
      </c>
      <c r="B142" s="1" t="str">
        <f>IFERROR(__xludf.DUMMYFUNCTION("""COMPUTED_VALUE"""),"Sai Choudhary")</f>
        <v>Sai Choudhary</v>
      </c>
      <c r="C142" s="1" t="str">
        <f>IFERROR(__xludf.DUMMYFUNCTION("""COMPUTED_VALUE"""),"Male")</f>
        <v>Male</v>
      </c>
      <c r="D142" s="1" t="str">
        <f>IFERROR(__xludf.DUMMYFUNCTION("""COMPUTED_VALUE"""),"9")</f>
        <v>9</v>
      </c>
      <c r="E142" s="1" t="str">
        <f>IFERROR(__xludf.DUMMYFUNCTION("""COMPUTED_VALUE"""),"A")</f>
        <v>A</v>
      </c>
      <c r="F142" s="1" t="str">
        <f>IFERROR(__xludf.DUMMYFUNCTION("""COMPUTED_VALUE"""),"Kolkata")</f>
        <v>Kolkata</v>
      </c>
      <c r="G142" s="1">
        <f>IFERROR(__xludf.DUMMYFUNCTION("""COMPUTED_VALUE"""),100.0)</f>
        <v>100</v>
      </c>
      <c r="H142" s="1">
        <f>IFERROR(__xludf.DUMMYFUNCTION("""COMPUTED_VALUE"""),55.0)</f>
        <v>55</v>
      </c>
      <c r="I142" s="1">
        <f>IFERROR(__xludf.DUMMYFUNCTION("""COMPUTED_VALUE"""),91.0)</f>
        <v>91</v>
      </c>
      <c r="J142" s="1">
        <f>IFERROR(__xludf.DUMMYFUNCTION("""COMPUTED_VALUE"""),42.0)</f>
        <v>42</v>
      </c>
      <c r="K142" s="1">
        <f>IFERROR(__xludf.DUMMYFUNCTION("""COMPUTED_VALUE"""),73.0)</f>
        <v>73</v>
      </c>
      <c r="L142" s="1">
        <f>IFERROR(__xludf.DUMMYFUNCTION("""COMPUTED_VALUE"""),361.0)</f>
        <v>361</v>
      </c>
      <c r="M142" s="1">
        <f>IFERROR(__xludf.DUMMYFUNCTION("""COMPUTED_VALUE"""),72.2)</f>
        <v>72.2</v>
      </c>
      <c r="N142" s="1">
        <f>IFERROR(__xludf.DUMMYFUNCTION("""COMPUTED_VALUE"""),83.0)</f>
        <v>83</v>
      </c>
      <c r="O142" s="1" t="str">
        <f>IFERROR(__xludf.DUMMYFUNCTION("""COMPUTED_VALUE"""),"Pass")</f>
        <v>Pass</v>
      </c>
    </row>
    <row r="143" ht="15.75" customHeight="1">
      <c r="A143" s="1" t="str">
        <f>IFERROR(__xludf.DUMMYFUNCTION("""COMPUTED_VALUE"""),"STD-1325")</f>
        <v>STD-1325</v>
      </c>
      <c r="B143" s="1" t="str">
        <f>IFERROR(__xludf.DUMMYFUNCTION("""COMPUTED_VALUE"""),"Pooja Sharma")</f>
        <v>Pooja Sharma</v>
      </c>
      <c r="C143" s="1" t="str">
        <f>IFERROR(__xludf.DUMMYFUNCTION("""COMPUTED_VALUE"""),"Female")</f>
        <v>Female</v>
      </c>
      <c r="D143" s="1" t="str">
        <f>IFERROR(__xludf.DUMMYFUNCTION("""COMPUTED_VALUE"""),"9")</f>
        <v>9</v>
      </c>
      <c r="E143" s="1" t="str">
        <f>IFERROR(__xludf.DUMMYFUNCTION("""COMPUTED_VALUE"""),"B")</f>
        <v>B</v>
      </c>
      <c r="F143" s="1" t="str">
        <f>IFERROR(__xludf.DUMMYFUNCTION("""COMPUTED_VALUE"""),"Bhopal")</f>
        <v>Bhopal</v>
      </c>
      <c r="G143" s="1">
        <f>IFERROR(__xludf.DUMMYFUNCTION("""COMPUTED_VALUE"""),80.0)</f>
        <v>80</v>
      </c>
      <c r="H143" s="1">
        <f>IFERROR(__xludf.DUMMYFUNCTION("""COMPUTED_VALUE"""),96.0)</f>
        <v>96</v>
      </c>
      <c r="I143" s="1">
        <f>IFERROR(__xludf.DUMMYFUNCTION("""COMPUTED_VALUE"""),51.0)</f>
        <v>51</v>
      </c>
      <c r="J143" s="1">
        <f>IFERROR(__xludf.DUMMYFUNCTION("""COMPUTED_VALUE"""),91.0)</f>
        <v>91</v>
      </c>
      <c r="K143" s="1">
        <f>IFERROR(__xludf.DUMMYFUNCTION("""COMPUTED_VALUE"""),89.0)</f>
        <v>89</v>
      </c>
      <c r="L143" s="1">
        <f>IFERROR(__xludf.DUMMYFUNCTION("""COMPUTED_VALUE"""),407.0)</f>
        <v>407</v>
      </c>
      <c r="M143" s="1">
        <f>IFERROR(__xludf.DUMMYFUNCTION("""COMPUTED_VALUE"""),81.4)</f>
        <v>81.4</v>
      </c>
      <c r="N143" s="1">
        <f>IFERROR(__xludf.DUMMYFUNCTION("""COMPUTED_VALUE"""),68.0)</f>
        <v>68</v>
      </c>
      <c r="O143" s="1" t="str">
        <f>IFERROR(__xludf.DUMMYFUNCTION("""COMPUTED_VALUE"""),"Pass")</f>
        <v>Pass</v>
      </c>
    </row>
    <row r="144" ht="15.75" customHeight="1">
      <c r="A144" s="1" t="str">
        <f>IFERROR(__xludf.DUMMYFUNCTION("""COMPUTED_VALUE"""),"STD-1328")</f>
        <v>STD-1328</v>
      </c>
      <c r="B144" s="1" t="str">
        <f>IFERROR(__xludf.DUMMYFUNCTION("""COMPUTED_VALUE"""),"Tanvi Gupta")</f>
        <v>Tanvi Gupta</v>
      </c>
      <c r="C144" s="1" t="str">
        <f>IFERROR(__xludf.DUMMYFUNCTION("""COMPUTED_VALUE"""),"Male")</f>
        <v>Male</v>
      </c>
      <c r="D144" s="1" t="str">
        <f>IFERROR(__xludf.DUMMYFUNCTION("""COMPUTED_VALUE"""),"8")</f>
        <v>8</v>
      </c>
      <c r="E144" s="1" t="str">
        <f>IFERROR(__xludf.DUMMYFUNCTION("""COMPUTED_VALUE"""),"C")</f>
        <v>C</v>
      </c>
      <c r="F144" s="1" t="str">
        <f>IFERROR(__xludf.DUMMYFUNCTION("""COMPUTED_VALUE"""),"Lucknow")</f>
        <v>Lucknow</v>
      </c>
      <c r="G144" s="1">
        <f>IFERROR(__xludf.DUMMYFUNCTION("""COMPUTED_VALUE"""),94.0)</f>
        <v>94</v>
      </c>
      <c r="H144" s="1">
        <f>IFERROR(__xludf.DUMMYFUNCTION("""COMPUTED_VALUE"""),79.0)</f>
        <v>79</v>
      </c>
      <c r="I144" s="1">
        <f>IFERROR(__xludf.DUMMYFUNCTION("""COMPUTED_VALUE"""),86.0)</f>
        <v>86</v>
      </c>
      <c r="J144" s="1">
        <f>IFERROR(__xludf.DUMMYFUNCTION("""COMPUTED_VALUE"""),71.0)</f>
        <v>71</v>
      </c>
      <c r="K144" s="1">
        <f>IFERROR(__xludf.DUMMYFUNCTION("""COMPUTED_VALUE"""),58.0)</f>
        <v>58</v>
      </c>
      <c r="L144" s="1">
        <f>IFERROR(__xludf.DUMMYFUNCTION("""COMPUTED_VALUE"""),388.0)</f>
        <v>388</v>
      </c>
      <c r="M144" s="1">
        <f>IFERROR(__xludf.DUMMYFUNCTION("""COMPUTED_VALUE"""),77.6)</f>
        <v>77.6</v>
      </c>
      <c r="N144" s="1">
        <f>IFERROR(__xludf.DUMMYFUNCTION("""COMPUTED_VALUE"""),66.0)</f>
        <v>66</v>
      </c>
      <c r="O144" s="1" t="str">
        <f>IFERROR(__xludf.DUMMYFUNCTION("""COMPUTED_VALUE"""),"Pass")</f>
        <v>Pass</v>
      </c>
    </row>
    <row r="145" ht="15.75" customHeight="1">
      <c r="A145" s="1" t="str">
        <f>IFERROR(__xludf.DUMMYFUNCTION("""COMPUTED_VALUE"""),"STD-1334")</f>
        <v>STD-1334</v>
      </c>
      <c r="B145" s="1" t="str">
        <f>IFERROR(__xludf.DUMMYFUNCTION("""COMPUTED_VALUE"""),"Shreya Choudhary")</f>
        <v>Shreya Choudhary</v>
      </c>
      <c r="C145" s="1" t="str">
        <f>IFERROR(__xludf.DUMMYFUNCTION("""COMPUTED_VALUE"""),"Male")</f>
        <v>Male</v>
      </c>
      <c r="D145" s="1" t="str">
        <f>IFERROR(__xludf.DUMMYFUNCTION("""COMPUTED_VALUE"""),"10")</f>
        <v>10</v>
      </c>
      <c r="E145" s="1" t="str">
        <f>IFERROR(__xludf.DUMMYFUNCTION("""COMPUTED_VALUE"""),"C")</f>
        <v>C</v>
      </c>
      <c r="F145" s="1" t="str">
        <f>IFERROR(__xludf.DUMMYFUNCTION("""COMPUTED_VALUE"""),"Bhopal")</f>
        <v>Bhopal</v>
      </c>
      <c r="G145" s="1">
        <f>IFERROR(__xludf.DUMMYFUNCTION("""COMPUTED_VALUE"""),84.0)</f>
        <v>84</v>
      </c>
      <c r="H145" s="1">
        <f>IFERROR(__xludf.DUMMYFUNCTION("""COMPUTED_VALUE"""),85.0)</f>
        <v>85</v>
      </c>
      <c r="I145" s="1">
        <f>IFERROR(__xludf.DUMMYFUNCTION("""COMPUTED_VALUE"""),48.0)</f>
        <v>48</v>
      </c>
      <c r="J145" s="1">
        <f>IFERROR(__xludf.DUMMYFUNCTION("""COMPUTED_VALUE"""),72.0)</f>
        <v>72</v>
      </c>
      <c r="K145" s="1">
        <f>IFERROR(__xludf.DUMMYFUNCTION("""COMPUTED_VALUE"""),90.0)</f>
        <v>90</v>
      </c>
      <c r="L145" s="1">
        <f>IFERROR(__xludf.DUMMYFUNCTION("""COMPUTED_VALUE"""),379.0)</f>
        <v>379</v>
      </c>
      <c r="M145" s="1">
        <f>IFERROR(__xludf.DUMMYFUNCTION("""COMPUTED_VALUE"""),75.8)</f>
        <v>75.8</v>
      </c>
      <c r="N145" s="1">
        <f>IFERROR(__xludf.DUMMYFUNCTION("""COMPUTED_VALUE"""),81.0)</f>
        <v>81</v>
      </c>
      <c r="O145" s="1" t="str">
        <f>IFERROR(__xludf.DUMMYFUNCTION("""COMPUTED_VALUE"""),"Pass")</f>
        <v>Pass</v>
      </c>
    </row>
    <row r="146" ht="15.75" customHeight="1">
      <c r="A146" s="1" t="str">
        <f>IFERROR(__xludf.DUMMYFUNCTION("""COMPUTED_VALUE"""),"STD-1336")</f>
        <v>STD-1336</v>
      </c>
      <c r="B146" s="1" t="str">
        <f>IFERROR(__xludf.DUMMYFUNCTION("""COMPUTED_VALUE"""),"Ritika Sharma")</f>
        <v>Ritika Sharma</v>
      </c>
      <c r="C146" s="1" t="str">
        <f>IFERROR(__xludf.DUMMYFUNCTION("""COMPUTED_VALUE"""),"Female")</f>
        <v>Female</v>
      </c>
      <c r="D146" s="1" t="str">
        <f>IFERROR(__xludf.DUMMYFUNCTION("""COMPUTED_VALUE"""),"7")</f>
        <v>7</v>
      </c>
      <c r="E146" s="1" t="str">
        <f>IFERROR(__xludf.DUMMYFUNCTION("""COMPUTED_VALUE"""),"A")</f>
        <v>A</v>
      </c>
      <c r="F146" s="1" t="str">
        <f>IFERROR(__xludf.DUMMYFUNCTION("""COMPUTED_VALUE"""),"Jaipur")</f>
        <v>Jaipur</v>
      </c>
      <c r="G146" s="1">
        <f>IFERROR(__xludf.DUMMYFUNCTION("""COMPUTED_VALUE"""),94.0)</f>
        <v>94</v>
      </c>
      <c r="H146" s="1">
        <f>IFERROR(__xludf.DUMMYFUNCTION("""COMPUTED_VALUE"""),95.0)</f>
        <v>95</v>
      </c>
      <c r="I146" s="1">
        <f>IFERROR(__xludf.DUMMYFUNCTION("""COMPUTED_VALUE"""),80.0)</f>
        <v>80</v>
      </c>
      <c r="J146" s="1">
        <f>IFERROR(__xludf.DUMMYFUNCTION("""COMPUTED_VALUE"""),71.0)</f>
        <v>71</v>
      </c>
      <c r="K146" s="1">
        <f>IFERROR(__xludf.DUMMYFUNCTION("""COMPUTED_VALUE"""),91.0)</f>
        <v>91</v>
      </c>
      <c r="L146" s="1">
        <f>IFERROR(__xludf.DUMMYFUNCTION("""COMPUTED_VALUE"""),431.0)</f>
        <v>431</v>
      </c>
      <c r="M146" s="1">
        <f>IFERROR(__xludf.DUMMYFUNCTION("""COMPUTED_VALUE"""),86.2)</f>
        <v>86.2</v>
      </c>
      <c r="N146" s="1">
        <f>IFERROR(__xludf.DUMMYFUNCTION("""COMPUTED_VALUE"""),95.0)</f>
        <v>95</v>
      </c>
      <c r="O146" s="1" t="str">
        <f>IFERROR(__xludf.DUMMYFUNCTION("""COMPUTED_VALUE"""),"Pass")</f>
        <v>Pass</v>
      </c>
    </row>
    <row r="147" ht="15.75" customHeight="1">
      <c r="A147" s="1" t="str">
        <f>IFERROR(__xludf.DUMMYFUNCTION("""COMPUTED_VALUE"""),"STD-1337")</f>
        <v>STD-1337</v>
      </c>
      <c r="B147" s="1" t="str">
        <f>IFERROR(__xludf.DUMMYFUNCTION("""COMPUTED_VALUE"""),"Shreya Singh")</f>
        <v>Shreya Singh</v>
      </c>
      <c r="C147" s="1" t="str">
        <f>IFERROR(__xludf.DUMMYFUNCTION("""COMPUTED_VALUE"""),"Female")</f>
        <v>Female</v>
      </c>
      <c r="D147" s="1" t="str">
        <f>IFERROR(__xludf.DUMMYFUNCTION("""COMPUTED_VALUE"""),"10")</f>
        <v>10</v>
      </c>
      <c r="E147" s="1" t="str">
        <f>IFERROR(__xludf.DUMMYFUNCTION("""COMPUTED_VALUE"""),"B")</f>
        <v>B</v>
      </c>
      <c r="F147" s="1" t="str">
        <f>IFERROR(__xludf.DUMMYFUNCTION("""COMPUTED_VALUE"""),"Chandigarh")</f>
        <v>Chandigarh</v>
      </c>
      <c r="G147" s="1">
        <f>IFERROR(__xludf.DUMMYFUNCTION("""COMPUTED_VALUE"""),77.0)</f>
        <v>77</v>
      </c>
      <c r="H147" s="1">
        <f>IFERROR(__xludf.DUMMYFUNCTION("""COMPUTED_VALUE"""),55.0)</f>
        <v>55</v>
      </c>
      <c r="I147" s="1">
        <f>IFERROR(__xludf.DUMMYFUNCTION("""COMPUTED_VALUE"""),78.0)</f>
        <v>78</v>
      </c>
      <c r="J147" s="1">
        <f>IFERROR(__xludf.DUMMYFUNCTION("""COMPUTED_VALUE"""),74.0)</f>
        <v>74</v>
      </c>
      <c r="K147" s="1">
        <f>IFERROR(__xludf.DUMMYFUNCTION("""COMPUTED_VALUE"""),90.0)</f>
        <v>90</v>
      </c>
      <c r="L147" s="1">
        <f>IFERROR(__xludf.DUMMYFUNCTION("""COMPUTED_VALUE"""),374.0)</f>
        <v>374</v>
      </c>
      <c r="M147" s="1">
        <f>IFERROR(__xludf.DUMMYFUNCTION("""COMPUTED_VALUE"""),74.8)</f>
        <v>74.8</v>
      </c>
      <c r="N147" s="1">
        <f>IFERROR(__xludf.DUMMYFUNCTION("""COMPUTED_VALUE"""),62.0)</f>
        <v>62</v>
      </c>
      <c r="O147" s="1" t="str">
        <f>IFERROR(__xludf.DUMMYFUNCTION("""COMPUTED_VALUE"""),"Pass")</f>
        <v>Pass</v>
      </c>
    </row>
    <row r="148" ht="15.75" customHeight="1">
      <c r="A148" s="1" t="str">
        <f>IFERROR(__xludf.DUMMYFUNCTION("""COMPUTED_VALUE"""),"STD-1340")</f>
        <v>STD-1340</v>
      </c>
      <c r="B148" s="1" t="str">
        <f>IFERROR(__xludf.DUMMYFUNCTION("""COMPUTED_VALUE"""),"Vivaan Patel")</f>
        <v>Vivaan Patel</v>
      </c>
      <c r="C148" s="1" t="str">
        <f>IFERROR(__xludf.DUMMYFUNCTION("""COMPUTED_VALUE"""),"Female")</f>
        <v>Female</v>
      </c>
      <c r="D148" s="1" t="str">
        <f>IFERROR(__xludf.DUMMYFUNCTION("""COMPUTED_VALUE"""),"10")</f>
        <v>10</v>
      </c>
      <c r="E148" s="1" t="str">
        <f>IFERROR(__xludf.DUMMYFUNCTION("""COMPUTED_VALUE"""),"C")</f>
        <v>C</v>
      </c>
      <c r="F148" s="1" t="str">
        <f>IFERROR(__xludf.DUMMYFUNCTION("""COMPUTED_VALUE"""),"Mumbai")</f>
        <v>Mumbai</v>
      </c>
      <c r="G148" s="1">
        <f>IFERROR(__xludf.DUMMYFUNCTION("""COMPUTED_VALUE"""),82.0)</f>
        <v>82</v>
      </c>
      <c r="H148" s="1">
        <f>IFERROR(__xludf.DUMMYFUNCTION("""COMPUTED_VALUE"""),44.0)</f>
        <v>44</v>
      </c>
      <c r="I148" s="1">
        <f>IFERROR(__xludf.DUMMYFUNCTION("""COMPUTED_VALUE"""),50.0)</f>
        <v>50</v>
      </c>
      <c r="J148" s="1">
        <f>IFERROR(__xludf.DUMMYFUNCTION("""COMPUTED_VALUE"""),48.0)</f>
        <v>48</v>
      </c>
      <c r="K148" s="1">
        <f>IFERROR(__xludf.DUMMYFUNCTION("""COMPUTED_VALUE"""),92.0)</f>
        <v>92</v>
      </c>
      <c r="L148" s="1">
        <f>IFERROR(__xludf.DUMMYFUNCTION("""COMPUTED_VALUE"""),316.0)</f>
        <v>316</v>
      </c>
      <c r="M148" s="1">
        <f>IFERROR(__xludf.DUMMYFUNCTION("""COMPUTED_VALUE"""),63.2)</f>
        <v>63.2</v>
      </c>
      <c r="N148" s="1">
        <f>IFERROR(__xludf.DUMMYFUNCTION("""COMPUTED_VALUE"""),89.0)</f>
        <v>89</v>
      </c>
      <c r="O148" s="1" t="str">
        <f>IFERROR(__xludf.DUMMYFUNCTION("""COMPUTED_VALUE"""),"Pass")</f>
        <v>Pass</v>
      </c>
    </row>
    <row r="149" ht="15.75" customHeight="1">
      <c r="A149" s="1" t="str">
        <f>IFERROR(__xludf.DUMMYFUNCTION("""COMPUTED_VALUE"""),"STD-1343")</f>
        <v>STD-1343</v>
      </c>
      <c r="B149" s="1" t="str">
        <f>IFERROR(__xludf.DUMMYFUNCTION("""COMPUTED_VALUE"""),"Simran Yadav")</f>
        <v>Simran Yadav</v>
      </c>
      <c r="C149" s="1" t="str">
        <f>IFERROR(__xludf.DUMMYFUNCTION("""COMPUTED_VALUE"""),"Female")</f>
        <v>Female</v>
      </c>
      <c r="D149" s="1" t="str">
        <f>IFERROR(__xludf.DUMMYFUNCTION("""COMPUTED_VALUE"""),"10")</f>
        <v>10</v>
      </c>
      <c r="E149" s="1" t="str">
        <f>IFERROR(__xludf.DUMMYFUNCTION("""COMPUTED_VALUE"""),"B")</f>
        <v>B</v>
      </c>
      <c r="F149" s="1" t="str">
        <f>IFERROR(__xludf.DUMMYFUNCTION("""COMPUTED_VALUE"""),"Mumbai")</f>
        <v>Mumbai</v>
      </c>
      <c r="G149" s="1">
        <f>IFERROR(__xludf.DUMMYFUNCTION("""COMPUTED_VALUE"""),79.0)</f>
        <v>79</v>
      </c>
      <c r="H149" s="1">
        <f>IFERROR(__xludf.DUMMYFUNCTION("""COMPUTED_VALUE"""),52.0)</f>
        <v>52</v>
      </c>
      <c r="I149" s="1">
        <f>IFERROR(__xludf.DUMMYFUNCTION("""COMPUTED_VALUE"""),100.0)</f>
        <v>100</v>
      </c>
      <c r="J149" s="1">
        <f>IFERROR(__xludf.DUMMYFUNCTION("""COMPUTED_VALUE"""),73.0)</f>
        <v>73</v>
      </c>
      <c r="K149" s="1">
        <f>IFERROR(__xludf.DUMMYFUNCTION("""COMPUTED_VALUE"""),49.0)</f>
        <v>49</v>
      </c>
      <c r="L149" s="1">
        <f>IFERROR(__xludf.DUMMYFUNCTION("""COMPUTED_VALUE"""),353.0)</f>
        <v>353</v>
      </c>
      <c r="M149" s="1">
        <f>IFERROR(__xludf.DUMMYFUNCTION("""COMPUTED_VALUE"""),70.6)</f>
        <v>70.6</v>
      </c>
      <c r="N149" s="1">
        <f>IFERROR(__xludf.DUMMYFUNCTION("""COMPUTED_VALUE"""),89.0)</f>
        <v>89</v>
      </c>
      <c r="O149" s="1" t="str">
        <f>IFERROR(__xludf.DUMMYFUNCTION("""COMPUTED_VALUE"""),"Pass")</f>
        <v>Pass</v>
      </c>
    </row>
    <row r="150" ht="15.75" customHeight="1">
      <c r="A150" s="1" t="str">
        <f>IFERROR(__xludf.DUMMYFUNCTION("""COMPUTED_VALUE"""),"STD-1345")</f>
        <v>STD-1345</v>
      </c>
      <c r="B150" s="1" t="str">
        <f>IFERROR(__xludf.DUMMYFUNCTION("""COMPUTED_VALUE"""),"Vivaan Gupta")</f>
        <v>Vivaan Gupta</v>
      </c>
      <c r="C150" s="1" t="str">
        <f>IFERROR(__xludf.DUMMYFUNCTION("""COMPUTED_VALUE"""),"Female")</f>
        <v>Female</v>
      </c>
      <c r="D150" s="1" t="str">
        <f>IFERROR(__xludf.DUMMYFUNCTION("""COMPUTED_VALUE"""),"10")</f>
        <v>10</v>
      </c>
      <c r="E150" s="1" t="str">
        <f>IFERROR(__xludf.DUMMYFUNCTION("""COMPUTED_VALUE"""),"B")</f>
        <v>B</v>
      </c>
      <c r="F150" s="1" t="str">
        <f>IFERROR(__xludf.DUMMYFUNCTION("""COMPUTED_VALUE"""),"Bhopal")</f>
        <v>Bhopal</v>
      </c>
      <c r="G150" s="1">
        <f>IFERROR(__xludf.DUMMYFUNCTION("""COMPUTED_VALUE"""),93.0)</f>
        <v>93</v>
      </c>
      <c r="H150" s="1">
        <f>IFERROR(__xludf.DUMMYFUNCTION("""COMPUTED_VALUE"""),45.0)</f>
        <v>45</v>
      </c>
      <c r="I150" s="1">
        <f>IFERROR(__xludf.DUMMYFUNCTION("""COMPUTED_VALUE"""),88.0)</f>
        <v>88</v>
      </c>
      <c r="J150" s="1">
        <f>IFERROR(__xludf.DUMMYFUNCTION("""COMPUTED_VALUE"""),77.0)</f>
        <v>77</v>
      </c>
      <c r="K150" s="1">
        <f>IFERROR(__xludf.DUMMYFUNCTION("""COMPUTED_VALUE"""),59.0)</f>
        <v>59</v>
      </c>
      <c r="L150" s="1">
        <f>IFERROR(__xludf.DUMMYFUNCTION("""COMPUTED_VALUE"""),362.0)</f>
        <v>362</v>
      </c>
      <c r="M150" s="1">
        <f>IFERROR(__xludf.DUMMYFUNCTION("""COMPUTED_VALUE"""),72.4)</f>
        <v>72.4</v>
      </c>
      <c r="N150" s="1">
        <f>IFERROR(__xludf.DUMMYFUNCTION("""COMPUTED_VALUE"""),75.0)</f>
        <v>75</v>
      </c>
      <c r="O150" s="1" t="str">
        <f>IFERROR(__xludf.DUMMYFUNCTION("""COMPUTED_VALUE"""),"Pass")</f>
        <v>Pass</v>
      </c>
    </row>
    <row r="151" ht="15.75" customHeight="1">
      <c r="A151" s="1" t="str">
        <f>IFERROR(__xludf.DUMMYFUNCTION("""COMPUTED_VALUE"""),"STD-1347")</f>
        <v>STD-1347</v>
      </c>
      <c r="B151" s="1" t="str">
        <f>IFERROR(__xludf.DUMMYFUNCTION("""COMPUTED_VALUE"""),"Tanvi Kaur")</f>
        <v>Tanvi Kaur</v>
      </c>
      <c r="C151" s="1" t="str">
        <f>IFERROR(__xludf.DUMMYFUNCTION("""COMPUTED_VALUE"""),"Male")</f>
        <v>Male</v>
      </c>
      <c r="D151" s="1" t="str">
        <f>IFERROR(__xludf.DUMMYFUNCTION("""COMPUTED_VALUE"""),"7")</f>
        <v>7</v>
      </c>
      <c r="E151" s="1" t="str">
        <f>IFERROR(__xludf.DUMMYFUNCTION("""COMPUTED_VALUE"""),"A")</f>
        <v>A</v>
      </c>
      <c r="F151" s="1" t="str">
        <f>IFERROR(__xludf.DUMMYFUNCTION("""COMPUTED_VALUE"""),"Lucknow")</f>
        <v>Lucknow</v>
      </c>
      <c r="G151" s="1">
        <f>IFERROR(__xludf.DUMMYFUNCTION("""COMPUTED_VALUE"""),91.0)</f>
        <v>91</v>
      </c>
      <c r="H151" s="1">
        <f>IFERROR(__xludf.DUMMYFUNCTION("""COMPUTED_VALUE"""),44.0)</f>
        <v>44</v>
      </c>
      <c r="I151" s="1">
        <f>IFERROR(__xludf.DUMMYFUNCTION("""COMPUTED_VALUE"""),46.0)</f>
        <v>46</v>
      </c>
      <c r="J151" s="1">
        <f>IFERROR(__xludf.DUMMYFUNCTION("""COMPUTED_VALUE"""),72.0)</f>
        <v>72</v>
      </c>
      <c r="K151" s="1">
        <f>IFERROR(__xludf.DUMMYFUNCTION("""COMPUTED_VALUE"""),51.0)</f>
        <v>51</v>
      </c>
      <c r="L151" s="1">
        <f>IFERROR(__xludf.DUMMYFUNCTION("""COMPUTED_VALUE"""),304.0)</f>
        <v>304</v>
      </c>
      <c r="M151" s="1">
        <f>IFERROR(__xludf.DUMMYFUNCTION("""COMPUTED_VALUE"""),60.8)</f>
        <v>60.8</v>
      </c>
      <c r="N151" s="1">
        <f>IFERROR(__xludf.DUMMYFUNCTION("""COMPUTED_VALUE"""),74.0)</f>
        <v>74</v>
      </c>
      <c r="O151" s="1" t="str">
        <f>IFERROR(__xludf.DUMMYFUNCTION("""COMPUTED_VALUE"""),"Pass")</f>
        <v>Pass</v>
      </c>
    </row>
    <row r="152" ht="15.75" customHeight="1">
      <c r="A152" s="1" t="str">
        <f>IFERROR(__xludf.DUMMYFUNCTION("""COMPUTED_VALUE"""),"STD-1348")</f>
        <v>STD-1348</v>
      </c>
      <c r="B152" s="1" t="str">
        <f>IFERROR(__xludf.DUMMYFUNCTION("""COMPUTED_VALUE"""),"Priya Nair")</f>
        <v>Priya Nair</v>
      </c>
      <c r="C152" s="1" t="str">
        <f>IFERROR(__xludf.DUMMYFUNCTION("""COMPUTED_VALUE"""),"Female")</f>
        <v>Female</v>
      </c>
      <c r="D152" s="1" t="str">
        <f>IFERROR(__xludf.DUMMYFUNCTION("""COMPUTED_VALUE"""),"9")</f>
        <v>9</v>
      </c>
      <c r="E152" s="1" t="str">
        <f>IFERROR(__xludf.DUMMYFUNCTION("""COMPUTED_VALUE"""),"C")</f>
        <v>C</v>
      </c>
      <c r="F152" s="1" t="str">
        <f>IFERROR(__xludf.DUMMYFUNCTION("""COMPUTED_VALUE"""),"Patna")</f>
        <v>Patna</v>
      </c>
      <c r="G152" s="1">
        <f>IFERROR(__xludf.DUMMYFUNCTION("""COMPUTED_VALUE"""),80.0)</f>
        <v>80</v>
      </c>
      <c r="H152" s="1">
        <f>IFERROR(__xludf.DUMMYFUNCTION("""COMPUTED_VALUE"""),62.0)</f>
        <v>62</v>
      </c>
      <c r="I152" s="1">
        <f>IFERROR(__xludf.DUMMYFUNCTION("""COMPUTED_VALUE"""),54.0)</f>
        <v>54</v>
      </c>
      <c r="J152" s="1">
        <f>IFERROR(__xludf.DUMMYFUNCTION("""COMPUTED_VALUE"""),43.0)</f>
        <v>43</v>
      </c>
      <c r="K152" s="1">
        <f>IFERROR(__xludf.DUMMYFUNCTION("""COMPUTED_VALUE"""),43.0)</f>
        <v>43</v>
      </c>
      <c r="L152" s="1">
        <f>IFERROR(__xludf.DUMMYFUNCTION("""COMPUTED_VALUE"""),282.0)</f>
        <v>282</v>
      </c>
      <c r="M152" s="1">
        <f>IFERROR(__xludf.DUMMYFUNCTION("""COMPUTED_VALUE"""),56.4)</f>
        <v>56.4</v>
      </c>
      <c r="N152" s="1">
        <f>IFERROR(__xludf.DUMMYFUNCTION("""COMPUTED_VALUE"""),87.0)</f>
        <v>87</v>
      </c>
      <c r="O152" s="1" t="str">
        <f>IFERROR(__xludf.DUMMYFUNCTION("""COMPUTED_VALUE"""),"Pass")</f>
        <v>Pass</v>
      </c>
    </row>
    <row r="153" ht="15.75" customHeight="1">
      <c r="A153" s="1" t="str">
        <f>IFERROR(__xludf.DUMMYFUNCTION("""COMPUTED_VALUE"""),"STD-1349")</f>
        <v>STD-1349</v>
      </c>
      <c r="B153" s="1" t="str">
        <f>IFERROR(__xludf.DUMMYFUNCTION("""COMPUTED_VALUE"""),"Sneha Verma")</f>
        <v>Sneha Verma</v>
      </c>
      <c r="C153" s="1" t="str">
        <f>IFERROR(__xludf.DUMMYFUNCTION("""COMPUTED_VALUE"""),"Female")</f>
        <v>Female</v>
      </c>
      <c r="D153" s="1" t="str">
        <f>IFERROR(__xludf.DUMMYFUNCTION("""COMPUTED_VALUE"""),"10")</f>
        <v>10</v>
      </c>
      <c r="E153" s="1" t="str">
        <f>IFERROR(__xludf.DUMMYFUNCTION("""COMPUTED_VALUE"""),"C")</f>
        <v>C</v>
      </c>
      <c r="F153" s="1" t="str">
        <f>IFERROR(__xludf.DUMMYFUNCTION("""COMPUTED_VALUE"""),"Lucknow")</f>
        <v>Lucknow</v>
      </c>
      <c r="G153" s="1">
        <f>IFERROR(__xludf.DUMMYFUNCTION("""COMPUTED_VALUE"""),87.0)</f>
        <v>87</v>
      </c>
      <c r="H153" s="1">
        <f>IFERROR(__xludf.DUMMYFUNCTION("""COMPUTED_VALUE"""),70.0)</f>
        <v>70</v>
      </c>
      <c r="I153" s="1">
        <f>IFERROR(__xludf.DUMMYFUNCTION("""COMPUTED_VALUE"""),67.0)</f>
        <v>67</v>
      </c>
      <c r="J153" s="1">
        <f>IFERROR(__xludf.DUMMYFUNCTION("""COMPUTED_VALUE"""),84.0)</f>
        <v>84</v>
      </c>
      <c r="K153" s="1">
        <f>IFERROR(__xludf.DUMMYFUNCTION("""COMPUTED_VALUE"""),42.0)</f>
        <v>42</v>
      </c>
      <c r="L153" s="1">
        <f>IFERROR(__xludf.DUMMYFUNCTION("""COMPUTED_VALUE"""),350.0)</f>
        <v>350</v>
      </c>
      <c r="M153" s="1">
        <f>IFERROR(__xludf.DUMMYFUNCTION("""COMPUTED_VALUE"""),70.0)</f>
        <v>70</v>
      </c>
      <c r="N153" s="1">
        <f>IFERROR(__xludf.DUMMYFUNCTION("""COMPUTED_VALUE"""),65.0)</f>
        <v>65</v>
      </c>
      <c r="O153" s="1" t="str">
        <f>IFERROR(__xludf.DUMMYFUNCTION("""COMPUTED_VALUE"""),"Pass")</f>
        <v>Pass</v>
      </c>
    </row>
    <row r="154" ht="15.75" customHeight="1">
      <c r="A154" s="1" t="str">
        <f>IFERROR(__xludf.DUMMYFUNCTION("""COMPUTED_VALUE"""),"STD-1354")</f>
        <v>STD-1354</v>
      </c>
      <c r="B154" s="1" t="str">
        <f>IFERROR(__xludf.DUMMYFUNCTION("""COMPUTED_VALUE"""),"Arjun Singh")</f>
        <v>Arjun Singh</v>
      </c>
      <c r="C154" s="1" t="str">
        <f>IFERROR(__xludf.DUMMYFUNCTION("""COMPUTED_VALUE"""),"Female")</f>
        <v>Female</v>
      </c>
      <c r="D154" s="1" t="str">
        <f>IFERROR(__xludf.DUMMYFUNCTION("""COMPUTED_VALUE"""),"6")</f>
        <v>6</v>
      </c>
      <c r="E154" s="1" t="str">
        <f>IFERROR(__xludf.DUMMYFUNCTION("""COMPUTED_VALUE"""),"B")</f>
        <v>B</v>
      </c>
      <c r="F154" s="1" t="str">
        <f>IFERROR(__xludf.DUMMYFUNCTION("""COMPUTED_VALUE"""),"Jaipur")</f>
        <v>Jaipur</v>
      </c>
      <c r="G154" s="1">
        <f>IFERROR(__xludf.DUMMYFUNCTION("""COMPUTED_VALUE"""),98.0)</f>
        <v>98</v>
      </c>
      <c r="H154" s="1">
        <f>IFERROR(__xludf.DUMMYFUNCTION("""COMPUTED_VALUE"""),50.0)</f>
        <v>50</v>
      </c>
      <c r="I154" s="1">
        <f>IFERROR(__xludf.DUMMYFUNCTION("""COMPUTED_VALUE"""),63.0)</f>
        <v>63</v>
      </c>
      <c r="J154" s="1">
        <f>IFERROR(__xludf.DUMMYFUNCTION("""COMPUTED_VALUE"""),46.0)</f>
        <v>46</v>
      </c>
      <c r="K154" s="1">
        <f>IFERROR(__xludf.DUMMYFUNCTION("""COMPUTED_VALUE"""),44.0)</f>
        <v>44</v>
      </c>
      <c r="L154" s="1">
        <f>IFERROR(__xludf.DUMMYFUNCTION("""COMPUTED_VALUE"""),301.0)</f>
        <v>301</v>
      </c>
      <c r="M154" s="1">
        <f>IFERROR(__xludf.DUMMYFUNCTION("""COMPUTED_VALUE"""),60.2)</f>
        <v>60.2</v>
      </c>
      <c r="N154" s="1">
        <f>IFERROR(__xludf.DUMMYFUNCTION("""COMPUTED_VALUE"""),60.0)</f>
        <v>60</v>
      </c>
      <c r="O154" s="1" t="str">
        <f>IFERROR(__xludf.DUMMYFUNCTION("""COMPUTED_VALUE"""),"Pass")</f>
        <v>Pass</v>
      </c>
    </row>
    <row r="155" ht="15.75" customHeight="1">
      <c r="A155" s="1" t="str">
        <f>IFERROR(__xludf.DUMMYFUNCTION("""COMPUTED_VALUE"""),"STD-1355")</f>
        <v>STD-1355</v>
      </c>
      <c r="B155" s="1" t="str">
        <f>IFERROR(__xludf.DUMMYFUNCTION("""COMPUTED_VALUE"""),"Rahul Sharma")</f>
        <v>Rahul Sharma</v>
      </c>
      <c r="C155" s="1" t="str">
        <f>IFERROR(__xludf.DUMMYFUNCTION("""COMPUTED_VALUE"""),"Male")</f>
        <v>Male</v>
      </c>
      <c r="D155" s="1" t="str">
        <f>IFERROR(__xludf.DUMMYFUNCTION("""COMPUTED_VALUE"""),"9")</f>
        <v>9</v>
      </c>
      <c r="E155" s="1" t="str">
        <f>IFERROR(__xludf.DUMMYFUNCTION("""COMPUTED_VALUE"""),"C")</f>
        <v>C</v>
      </c>
      <c r="F155" s="1" t="str">
        <f>IFERROR(__xludf.DUMMYFUNCTION("""COMPUTED_VALUE"""),"Kolkata")</f>
        <v>Kolkata</v>
      </c>
      <c r="G155" s="1">
        <f>IFERROR(__xludf.DUMMYFUNCTION("""COMPUTED_VALUE"""),99.0)</f>
        <v>99</v>
      </c>
      <c r="H155" s="1">
        <f>IFERROR(__xludf.DUMMYFUNCTION("""COMPUTED_VALUE"""),62.0)</f>
        <v>62</v>
      </c>
      <c r="I155" s="1">
        <f>IFERROR(__xludf.DUMMYFUNCTION("""COMPUTED_VALUE"""),63.0)</f>
        <v>63</v>
      </c>
      <c r="J155" s="1">
        <f>IFERROR(__xludf.DUMMYFUNCTION("""COMPUTED_VALUE"""),82.0)</f>
        <v>82</v>
      </c>
      <c r="K155" s="1">
        <f>IFERROR(__xludf.DUMMYFUNCTION("""COMPUTED_VALUE"""),69.0)</f>
        <v>69</v>
      </c>
      <c r="L155" s="1">
        <f>IFERROR(__xludf.DUMMYFUNCTION("""COMPUTED_VALUE"""),375.0)</f>
        <v>375</v>
      </c>
      <c r="M155" s="1">
        <f>IFERROR(__xludf.DUMMYFUNCTION("""COMPUTED_VALUE"""),75.0)</f>
        <v>75</v>
      </c>
      <c r="N155" s="1">
        <f>IFERROR(__xludf.DUMMYFUNCTION("""COMPUTED_VALUE"""),81.0)</f>
        <v>81</v>
      </c>
      <c r="O155" s="1" t="str">
        <f>IFERROR(__xludf.DUMMYFUNCTION("""COMPUTED_VALUE"""),"Pass")</f>
        <v>Pass</v>
      </c>
    </row>
    <row r="156" ht="15.75" customHeight="1">
      <c r="A156" s="1" t="str">
        <f>IFERROR(__xludf.DUMMYFUNCTION("""COMPUTED_VALUE"""),"STD-1356")</f>
        <v>STD-1356</v>
      </c>
      <c r="B156" s="1" t="str">
        <f>IFERROR(__xludf.DUMMYFUNCTION("""COMPUTED_VALUE"""),"Ritika Banerjee")</f>
        <v>Ritika Banerjee</v>
      </c>
      <c r="C156" s="1" t="str">
        <f>IFERROR(__xludf.DUMMYFUNCTION("""COMPUTED_VALUE"""),"Female")</f>
        <v>Female</v>
      </c>
      <c r="D156" s="1" t="str">
        <f>IFERROR(__xludf.DUMMYFUNCTION("""COMPUTED_VALUE"""),"7")</f>
        <v>7</v>
      </c>
      <c r="E156" s="1" t="str">
        <f>IFERROR(__xludf.DUMMYFUNCTION("""COMPUTED_VALUE"""),"C")</f>
        <v>C</v>
      </c>
      <c r="F156" s="1" t="str">
        <f>IFERROR(__xludf.DUMMYFUNCTION("""COMPUTED_VALUE"""),"Bhopal")</f>
        <v>Bhopal</v>
      </c>
      <c r="G156" s="1">
        <f>IFERROR(__xludf.DUMMYFUNCTION("""COMPUTED_VALUE"""),90.0)</f>
        <v>90</v>
      </c>
      <c r="H156" s="1">
        <f>IFERROR(__xludf.DUMMYFUNCTION("""COMPUTED_VALUE"""),44.0)</f>
        <v>44</v>
      </c>
      <c r="I156" s="1">
        <f>IFERROR(__xludf.DUMMYFUNCTION("""COMPUTED_VALUE"""),40.0)</f>
        <v>40</v>
      </c>
      <c r="J156" s="1">
        <f>IFERROR(__xludf.DUMMYFUNCTION("""COMPUTED_VALUE"""),91.0)</f>
        <v>91</v>
      </c>
      <c r="K156" s="1">
        <f>IFERROR(__xludf.DUMMYFUNCTION("""COMPUTED_VALUE"""),61.0)</f>
        <v>61</v>
      </c>
      <c r="L156" s="1">
        <f>IFERROR(__xludf.DUMMYFUNCTION("""COMPUTED_VALUE"""),326.0)</f>
        <v>326</v>
      </c>
      <c r="M156" s="1">
        <f>IFERROR(__xludf.DUMMYFUNCTION("""COMPUTED_VALUE"""),65.2)</f>
        <v>65.2</v>
      </c>
      <c r="N156" s="1">
        <f>IFERROR(__xludf.DUMMYFUNCTION("""COMPUTED_VALUE"""),89.0)</f>
        <v>89</v>
      </c>
      <c r="O156" s="1" t="str">
        <f>IFERROR(__xludf.DUMMYFUNCTION("""COMPUTED_VALUE"""),"Pass")</f>
        <v>Pass</v>
      </c>
    </row>
    <row r="157" ht="15.75" customHeight="1">
      <c r="A157" s="1" t="str">
        <f>IFERROR(__xludf.DUMMYFUNCTION("""COMPUTED_VALUE"""),"STD-1358")</f>
        <v>STD-1358</v>
      </c>
      <c r="B157" s="1" t="str">
        <f>IFERROR(__xludf.DUMMYFUNCTION("""COMPUTED_VALUE"""),"Sneha Banerjee")</f>
        <v>Sneha Banerjee</v>
      </c>
      <c r="C157" s="1" t="str">
        <f>IFERROR(__xludf.DUMMYFUNCTION("""COMPUTED_VALUE"""),"Male")</f>
        <v>Male</v>
      </c>
      <c r="D157" s="1" t="str">
        <f>IFERROR(__xludf.DUMMYFUNCTION("""COMPUTED_VALUE"""),"7")</f>
        <v>7</v>
      </c>
      <c r="E157" s="1" t="str">
        <f>IFERROR(__xludf.DUMMYFUNCTION("""COMPUTED_VALUE"""),"C")</f>
        <v>C</v>
      </c>
      <c r="F157" s="1" t="str">
        <f>IFERROR(__xludf.DUMMYFUNCTION("""COMPUTED_VALUE"""),"Kolkata")</f>
        <v>Kolkata</v>
      </c>
      <c r="G157" s="1">
        <f>IFERROR(__xludf.DUMMYFUNCTION("""COMPUTED_VALUE"""),93.0)</f>
        <v>93</v>
      </c>
      <c r="H157" s="1">
        <f>IFERROR(__xludf.DUMMYFUNCTION("""COMPUTED_VALUE"""),50.0)</f>
        <v>50</v>
      </c>
      <c r="I157" s="1">
        <f>IFERROR(__xludf.DUMMYFUNCTION("""COMPUTED_VALUE"""),94.0)</f>
        <v>94</v>
      </c>
      <c r="J157" s="1">
        <f>IFERROR(__xludf.DUMMYFUNCTION("""COMPUTED_VALUE"""),63.0)</f>
        <v>63</v>
      </c>
      <c r="K157" s="1">
        <f>IFERROR(__xludf.DUMMYFUNCTION("""COMPUTED_VALUE"""),96.0)</f>
        <v>96</v>
      </c>
      <c r="L157" s="1">
        <f>IFERROR(__xludf.DUMMYFUNCTION("""COMPUTED_VALUE"""),396.0)</f>
        <v>396</v>
      </c>
      <c r="M157" s="1">
        <f>IFERROR(__xludf.DUMMYFUNCTION("""COMPUTED_VALUE"""),79.2)</f>
        <v>79.2</v>
      </c>
      <c r="N157" s="1">
        <f>IFERROR(__xludf.DUMMYFUNCTION("""COMPUTED_VALUE"""),91.0)</f>
        <v>91</v>
      </c>
      <c r="O157" s="1" t="str">
        <f>IFERROR(__xludf.DUMMYFUNCTION("""COMPUTED_VALUE"""),"Pass")</f>
        <v>Pass</v>
      </c>
    </row>
    <row r="158" ht="15.75" customHeight="1">
      <c r="A158" s="1" t="str">
        <f>IFERROR(__xludf.DUMMYFUNCTION("""COMPUTED_VALUE"""),"STD-1364")</f>
        <v>STD-1364</v>
      </c>
      <c r="B158" s="1" t="str">
        <f>IFERROR(__xludf.DUMMYFUNCTION("""COMPUTED_VALUE"""),"Priya Verma")</f>
        <v>Priya Verma</v>
      </c>
      <c r="C158" s="1" t="str">
        <f>IFERROR(__xludf.DUMMYFUNCTION("""COMPUTED_VALUE"""),"Male")</f>
        <v>Male</v>
      </c>
      <c r="D158" s="1" t="str">
        <f>IFERROR(__xludf.DUMMYFUNCTION("""COMPUTED_VALUE"""),"8")</f>
        <v>8</v>
      </c>
      <c r="E158" s="1" t="str">
        <f>IFERROR(__xludf.DUMMYFUNCTION("""COMPUTED_VALUE"""),"B")</f>
        <v>B</v>
      </c>
      <c r="F158" s="1" t="str">
        <f>IFERROR(__xludf.DUMMYFUNCTION("""COMPUTED_VALUE"""),"Delhi")</f>
        <v>Delhi</v>
      </c>
      <c r="G158" s="1">
        <f>IFERROR(__xludf.DUMMYFUNCTION("""COMPUTED_VALUE"""),100.0)</f>
        <v>100</v>
      </c>
      <c r="H158" s="1">
        <f>IFERROR(__xludf.DUMMYFUNCTION("""COMPUTED_VALUE"""),78.0)</f>
        <v>78</v>
      </c>
      <c r="I158" s="1">
        <f>IFERROR(__xludf.DUMMYFUNCTION("""COMPUTED_VALUE"""),88.0)</f>
        <v>88</v>
      </c>
      <c r="J158" s="1">
        <f>IFERROR(__xludf.DUMMYFUNCTION("""COMPUTED_VALUE"""),54.0)</f>
        <v>54</v>
      </c>
      <c r="K158" s="1">
        <f>IFERROR(__xludf.DUMMYFUNCTION("""COMPUTED_VALUE"""),97.0)</f>
        <v>97</v>
      </c>
      <c r="L158" s="1">
        <f>IFERROR(__xludf.DUMMYFUNCTION("""COMPUTED_VALUE"""),417.0)</f>
        <v>417</v>
      </c>
      <c r="M158" s="1">
        <f>IFERROR(__xludf.DUMMYFUNCTION("""COMPUTED_VALUE"""),83.4)</f>
        <v>83.4</v>
      </c>
      <c r="N158" s="1">
        <f>IFERROR(__xludf.DUMMYFUNCTION("""COMPUTED_VALUE"""),65.0)</f>
        <v>65</v>
      </c>
      <c r="O158" s="1" t="str">
        <f>IFERROR(__xludf.DUMMYFUNCTION("""COMPUTED_VALUE"""),"Pass")</f>
        <v>Pass</v>
      </c>
    </row>
    <row r="159" ht="15.75" customHeight="1">
      <c r="A159" s="1" t="str">
        <f>IFERROR(__xludf.DUMMYFUNCTION("""COMPUTED_VALUE"""),"STD-1366")</f>
        <v>STD-1366</v>
      </c>
      <c r="B159" s="1" t="str">
        <f>IFERROR(__xludf.DUMMYFUNCTION("""COMPUTED_VALUE"""),"Pooja Verma")</f>
        <v>Pooja Verma</v>
      </c>
      <c r="C159" s="1" t="str">
        <f>IFERROR(__xludf.DUMMYFUNCTION("""COMPUTED_VALUE"""),"Female")</f>
        <v>Female</v>
      </c>
      <c r="D159" s="1" t="str">
        <f>IFERROR(__xludf.DUMMYFUNCTION("""COMPUTED_VALUE"""),"9")</f>
        <v>9</v>
      </c>
      <c r="E159" s="1" t="str">
        <f>IFERROR(__xludf.DUMMYFUNCTION("""COMPUTED_VALUE"""),"A")</f>
        <v>A</v>
      </c>
      <c r="F159" s="1" t="str">
        <f>IFERROR(__xludf.DUMMYFUNCTION("""COMPUTED_VALUE"""),"Jaipur")</f>
        <v>Jaipur</v>
      </c>
      <c r="G159" s="1">
        <f>IFERROR(__xludf.DUMMYFUNCTION("""COMPUTED_VALUE"""),77.0)</f>
        <v>77</v>
      </c>
      <c r="H159" s="1">
        <f>IFERROR(__xludf.DUMMYFUNCTION("""COMPUTED_VALUE"""),83.0)</f>
        <v>83</v>
      </c>
      <c r="I159" s="1">
        <f>IFERROR(__xludf.DUMMYFUNCTION("""COMPUTED_VALUE"""),82.0)</f>
        <v>82</v>
      </c>
      <c r="J159" s="1">
        <f>IFERROR(__xludf.DUMMYFUNCTION("""COMPUTED_VALUE"""),71.0)</f>
        <v>71</v>
      </c>
      <c r="K159" s="1">
        <f>IFERROR(__xludf.DUMMYFUNCTION("""COMPUTED_VALUE"""),88.0)</f>
        <v>88</v>
      </c>
      <c r="L159" s="1">
        <f>IFERROR(__xludf.DUMMYFUNCTION("""COMPUTED_VALUE"""),401.0)</f>
        <v>401</v>
      </c>
      <c r="M159" s="1">
        <f>IFERROR(__xludf.DUMMYFUNCTION("""COMPUTED_VALUE"""),80.2)</f>
        <v>80.2</v>
      </c>
      <c r="N159" s="1">
        <f>IFERROR(__xludf.DUMMYFUNCTION("""COMPUTED_VALUE"""),64.0)</f>
        <v>64</v>
      </c>
      <c r="O159" s="1" t="str">
        <f>IFERROR(__xludf.DUMMYFUNCTION("""COMPUTED_VALUE"""),"Pass")</f>
        <v>Pass</v>
      </c>
    </row>
    <row r="160" ht="15.75" customHeight="1">
      <c r="A160" s="1" t="str">
        <f>IFERROR(__xludf.DUMMYFUNCTION("""COMPUTED_VALUE"""),"STD-1367")</f>
        <v>STD-1367</v>
      </c>
      <c r="B160" s="1" t="str">
        <f>IFERROR(__xludf.DUMMYFUNCTION("""COMPUTED_VALUE"""),"Arjun Sharma")</f>
        <v>Arjun Sharma</v>
      </c>
      <c r="C160" s="1" t="str">
        <f>IFERROR(__xludf.DUMMYFUNCTION("""COMPUTED_VALUE"""),"Male")</f>
        <v>Male</v>
      </c>
      <c r="D160" s="1" t="str">
        <f>IFERROR(__xludf.DUMMYFUNCTION("""COMPUTED_VALUE"""),"8")</f>
        <v>8</v>
      </c>
      <c r="E160" s="1" t="str">
        <f>IFERROR(__xludf.DUMMYFUNCTION("""COMPUTED_VALUE"""),"B")</f>
        <v>B</v>
      </c>
      <c r="F160" s="1" t="str">
        <f>IFERROR(__xludf.DUMMYFUNCTION("""COMPUTED_VALUE"""),"Delhi")</f>
        <v>Delhi</v>
      </c>
      <c r="G160" s="1">
        <f>IFERROR(__xludf.DUMMYFUNCTION("""COMPUTED_VALUE"""),92.0)</f>
        <v>92</v>
      </c>
      <c r="H160" s="1">
        <f>IFERROR(__xludf.DUMMYFUNCTION("""COMPUTED_VALUE"""),57.0)</f>
        <v>57</v>
      </c>
      <c r="I160" s="1">
        <f>IFERROR(__xludf.DUMMYFUNCTION("""COMPUTED_VALUE"""),95.0)</f>
        <v>95</v>
      </c>
      <c r="J160" s="1">
        <f>IFERROR(__xludf.DUMMYFUNCTION("""COMPUTED_VALUE"""),54.0)</f>
        <v>54</v>
      </c>
      <c r="K160" s="1">
        <f>IFERROR(__xludf.DUMMYFUNCTION("""COMPUTED_VALUE"""),87.0)</f>
        <v>87</v>
      </c>
      <c r="L160" s="1">
        <f>IFERROR(__xludf.DUMMYFUNCTION("""COMPUTED_VALUE"""),385.0)</f>
        <v>385</v>
      </c>
      <c r="M160" s="1">
        <f>IFERROR(__xludf.DUMMYFUNCTION("""COMPUTED_VALUE"""),77.0)</f>
        <v>77</v>
      </c>
      <c r="N160" s="1">
        <f>IFERROR(__xludf.DUMMYFUNCTION("""COMPUTED_VALUE"""),60.0)</f>
        <v>60</v>
      </c>
      <c r="O160" s="1" t="str">
        <f>IFERROR(__xludf.DUMMYFUNCTION("""COMPUTED_VALUE"""),"Pass")</f>
        <v>Pass</v>
      </c>
    </row>
    <row r="161" ht="15.75" customHeight="1">
      <c r="A161" s="1" t="str">
        <f>IFERROR(__xludf.DUMMYFUNCTION("""COMPUTED_VALUE"""),"STD-1368")</f>
        <v>STD-1368</v>
      </c>
      <c r="B161" s="1" t="str">
        <f>IFERROR(__xludf.DUMMYFUNCTION("""COMPUTED_VALUE"""),"Simran Banerjee")</f>
        <v>Simran Banerjee</v>
      </c>
      <c r="C161" s="1" t="str">
        <f>IFERROR(__xludf.DUMMYFUNCTION("""COMPUTED_VALUE"""),"Female")</f>
        <v>Female</v>
      </c>
      <c r="D161" s="1" t="str">
        <f>IFERROR(__xludf.DUMMYFUNCTION("""COMPUTED_VALUE"""),"9")</f>
        <v>9</v>
      </c>
      <c r="E161" s="1" t="str">
        <f>IFERROR(__xludf.DUMMYFUNCTION("""COMPUTED_VALUE"""),"B")</f>
        <v>B</v>
      </c>
      <c r="F161" s="1" t="str">
        <f>IFERROR(__xludf.DUMMYFUNCTION("""COMPUTED_VALUE"""),"Delhi")</f>
        <v>Delhi</v>
      </c>
      <c r="G161" s="1">
        <f>IFERROR(__xludf.DUMMYFUNCTION("""COMPUTED_VALUE"""),89.0)</f>
        <v>89</v>
      </c>
      <c r="H161" s="1">
        <f>IFERROR(__xludf.DUMMYFUNCTION("""COMPUTED_VALUE"""),44.0)</f>
        <v>44</v>
      </c>
      <c r="I161" s="1">
        <f>IFERROR(__xludf.DUMMYFUNCTION("""COMPUTED_VALUE"""),73.0)</f>
        <v>73</v>
      </c>
      <c r="J161" s="1">
        <f>IFERROR(__xludf.DUMMYFUNCTION("""COMPUTED_VALUE"""),86.0)</f>
        <v>86</v>
      </c>
      <c r="K161" s="1">
        <f>IFERROR(__xludf.DUMMYFUNCTION("""COMPUTED_VALUE"""),52.0)</f>
        <v>52</v>
      </c>
      <c r="L161" s="1">
        <f>IFERROR(__xludf.DUMMYFUNCTION("""COMPUTED_VALUE"""),344.0)</f>
        <v>344</v>
      </c>
      <c r="M161" s="1">
        <f>IFERROR(__xludf.DUMMYFUNCTION("""COMPUTED_VALUE"""),68.8)</f>
        <v>68.8</v>
      </c>
      <c r="N161" s="1">
        <f>IFERROR(__xludf.DUMMYFUNCTION("""COMPUTED_VALUE"""),88.0)</f>
        <v>88</v>
      </c>
      <c r="O161" s="1" t="str">
        <f>IFERROR(__xludf.DUMMYFUNCTION("""COMPUTED_VALUE"""),"Pass")</f>
        <v>Pass</v>
      </c>
    </row>
    <row r="162" ht="15.75" customHeight="1">
      <c r="A162" s="1" t="str">
        <f>IFERROR(__xludf.DUMMYFUNCTION("""COMPUTED_VALUE"""),"STD-1370")</f>
        <v>STD-1370</v>
      </c>
      <c r="B162" s="1" t="str">
        <f>IFERROR(__xludf.DUMMYFUNCTION("""COMPUTED_VALUE"""),"Arjun Banerjee")</f>
        <v>Arjun Banerjee</v>
      </c>
      <c r="C162" s="1" t="str">
        <f>IFERROR(__xludf.DUMMYFUNCTION("""COMPUTED_VALUE"""),"Female")</f>
        <v>Female</v>
      </c>
      <c r="D162" s="1" t="str">
        <f>IFERROR(__xludf.DUMMYFUNCTION("""COMPUTED_VALUE"""),"7")</f>
        <v>7</v>
      </c>
      <c r="E162" s="1" t="str">
        <f>IFERROR(__xludf.DUMMYFUNCTION("""COMPUTED_VALUE"""),"B")</f>
        <v>B</v>
      </c>
      <c r="F162" s="1" t="str">
        <f>IFERROR(__xludf.DUMMYFUNCTION("""COMPUTED_VALUE"""),"Bhopal")</f>
        <v>Bhopal</v>
      </c>
      <c r="G162" s="1">
        <f>IFERROR(__xludf.DUMMYFUNCTION("""COMPUTED_VALUE"""),80.0)</f>
        <v>80</v>
      </c>
      <c r="H162" s="1">
        <f>IFERROR(__xludf.DUMMYFUNCTION("""COMPUTED_VALUE"""),94.0)</f>
        <v>94</v>
      </c>
      <c r="I162" s="1">
        <f>IFERROR(__xludf.DUMMYFUNCTION("""COMPUTED_VALUE"""),100.0)</f>
        <v>100</v>
      </c>
      <c r="J162" s="1">
        <f>IFERROR(__xludf.DUMMYFUNCTION("""COMPUTED_VALUE"""),71.0)</f>
        <v>71</v>
      </c>
      <c r="K162" s="1">
        <f>IFERROR(__xludf.DUMMYFUNCTION("""COMPUTED_VALUE"""),62.0)</f>
        <v>62</v>
      </c>
      <c r="L162" s="1">
        <f>IFERROR(__xludf.DUMMYFUNCTION("""COMPUTED_VALUE"""),407.0)</f>
        <v>407</v>
      </c>
      <c r="M162" s="1">
        <f>IFERROR(__xludf.DUMMYFUNCTION("""COMPUTED_VALUE"""),81.4)</f>
        <v>81.4</v>
      </c>
      <c r="N162" s="1">
        <f>IFERROR(__xludf.DUMMYFUNCTION("""COMPUTED_VALUE"""),66.0)</f>
        <v>66</v>
      </c>
      <c r="O162" s="1" t="str">
        <f>IFERROR(__xludf.DUMMYFUNCTION("""COMPUTED_VALUE"""),"Pass")</f>
        <v>Pass</v>
      </c>
    </row>
    <row r="163" ht="15.75" customHeight="1">
      <c r="A163" s="1" t="str">
        <f>IFERROR(__xludf.DUMMYFUNCTION("""COMPUTED_VALUE"""),"STD-1372")</f>
        <v>STD-1372</v>
      </c>
      <c r="B163" s="1" t="str">
        <f>IFERROR(__xludf.DUMMYFUNCTION("""COMPUTED_VALUE"""),"Priya Jain")</f>
        <v>Priya Jain</v>
      </c>
      <c r="C163" s="1" t="str">
        <f>IFERROR(__xludf.DUMMYFUNCTION("""COMPUTED_VALUE"""),"Male")</f>
        <v>Male</v>
      </c>
      <c r="D163" s="1" t="str">
        <f>IFERROR(__xludf.DUMMYFUNCTION("""COMPUTED_VALUE"""),"7")</f>
        <v>7</v>
      </c>
      <c r="E163" s="1" t="str">
        <f>IFERROR(__xludf.DUMMYFUNCTION("""COMPUTED_VALUE"""),"C")</f>
        <v>C</v>
      </c>
      <c r="F163" s="1" t="str">
        <f>IFERROR(__xludf.DUMMYFUNCTION("""COMPUTED_VALUE"""),"Jaipur")</f>
        <v>Jaipur</v>
      </c>
      <c r="G163" s="1">
        <f>IFERROR(__xludf.DUMMYFUNCTION("""COMPUTED_VALUE"""),96.0)</f>
        <v>96</v>
      </c>
      <c r="H163" s="1">
        <f>IFERROR(__xludf.DUMMYFUNCTION("""COMPUTED_VALUE"""),84.0)</f>
        <v>84</v>
      </c>
      <c r="I163" s="1">
        <f>IFERROR(__xludf.DUMMYFUNCTION("""COMPUTED_VALUE"""),74.0)</f>
        <v>74</v>
      </c>
      <c r="J163" s="1">
        <f>IFERROR(__xludf.DUMMYFUNCTION("""COMPUTED_VALUE"""),61.0)</f>
        <v>61</v>
      </c>
      <c r="K163" s="1">
        <f>IFERROR(__xludf.DUMMYFUNCTION("""COMPUTED_VALUE"""),80.0)</f>
        <v>80</v>
      </c>
      <c r="L163" s="1">
        <f>IFERROR(__xludf.DUMMYFUNCTION("""COMPUTED_VALUE"""),395.0)</f>
        <v>395</v>
      </c>
      <c r="M163" s="1">
        <f>IFERROR(__xludf.DUMMYFUNCTION("""COMPUTED_VALUE"""),79.0)</f>
        <v>79</v>
      </c>
      <c r="N163" s="1">
        <f>IFERROR(__xludf.DUMMYFUNCTION("""COMPUTED_VALUE"""),60.0)</f>
        <v>60</v>
      </c>
      <c r="O163" s="1" t="str">
        <f>IFERROR(__xludf.DUMMYFUNCTION("""COMPUTED_VALUE"""),"Pass")</f>
        <v>Pass</v>
      </c>
    </row>
    <row r="164" ht="15.75" customHeight="1">
      <c r="A164" s="1" t="str">
        <f>IFERROR(__xludf.DUMMYFUNCTION("""COMPUTED_VALUE"""),"STD-1376")</f>
        <v>STD-1376</v>
      </c>
      <c r="B164" s="1" t="str">
        <f>IFERROR(__xludf.DUMMYFUNCTION("""COMPUTED_VALUE"""),"Neha Verma")</f>
        <v>Neha Verma</v>
      </c>
      <c r="C164" s="1" t="str">
        <f>IFERROR(__xludf.DUMMYFUNCTION("""COMPUTED_VALUE"""),"Female")</f>
        <v>Female</v>
      </c>
      <c r="D164" s="1" t="str">
        <f>IFERROR(__xludf.DUMMYFUNCTION("""COMPUTED_VALUE"""),"7")</f>
        <v>7</v>
      </c>
      <c r="E164" s="1" t="str">
        <f>IFERROR(__xludf.DUMMYFUNCTION("""COMPUTED_VALUE"""),"B")</f>
        <v>B</v>
      </c>
      <c r="F164" s="1" t="str">
        <f>IFERROR(__xludf.DUMMYFUNCTION("""COMPUTED_VALUE"""),"Delhi")</f>
        <v>Delhi</v>
      </c>
      <c r="G164" s="1">
        <f>IFERROR(__xludf.DUMMYFUNCTION("""COMPUTED_VALUE"""),94.0)</f>
        <v>94</v>
      </c>
      <c r="H164" s="1">
        <f>IFERROR(__xludf.DUMMYFUNCTION("""COMPUTED_VALUE"""),63.0)</f>
        <v>63</v>
      </c>
      <c r="I164" s="1">
        <f>IFERROR(__xludf.DUMMYFUNCTION("""COMPUTED_VALUE"""),46.0)</f>
        <v>46</v>
      </c>
      <c r="J164" s="1">
        <f>IFERROR(__xludf.DUMMYFUNCTION("""COMPUTED_VALUE"""),73.0)</f>
        <v>73</v>
      </c>
      <c r="K164" s="1">
        <f>IFERROR(__xludf.DUMMYFUNCTION("""COMPUTED_VALUE"""),68.0)</f>
        <v>68</v>
      </c>
      <c r="L164" s="1">
        <f>IFERROR(__xludf.DUMMYFUNCTION("""COMPUTED_VALUE"""),344.0)</f>
        <v>344</v>
      </c>
      <c r="M164" s="1">
        <f>IFERROR(__xludf.DUMMYFUNCTION("""COMPUTED_VALUE"""),68.8)</f>
        <v>68.8</v>
      </c>
      <c r="N164" s="1">
        <f>IFERROR(__xludf.DUMMYFUNCTION("""COMPUTED_VALUE"""),87.0)</f>
        <v>87</v>
      </c>
      <c r="O164" s="1" t="str">
        <f>IFERROR(__xludf.DUMMYFUNCTION("""COMPUTED_VALUE"""),"Pass")</f>
        <v>Pass</v>
      </c>
    </row>
    <row r="165" ht="15.75" customHeight="1">
      <c r="A165" s="1" t="str">
        <f>IFERROR(__xludf.DUMMYFUNCTION("""COMPUTED_VALUE"""),"STD-1377")</f>
        <v>STD-1377</v>
      </c>
      <c r="B165" s="1" t="str">
        <f>IFERROR(__xludf.DUMMYFUNCTION("""COMPUTED_VALUE"""),"Shreya Reddy")</f>
        <v>Shreya Reddy</v>
      </c>
      <c r="C165" s="1" t="str">
        <f>IFERROR(__xludf.DUMMYFUNCTION("""COMPUTED_VALUE"""),"Male")</f>
        <v>Male</v>
      </c>
      <c r="D165" s="1" t="str">
        <f>IFERROR(__xludf.DUMMYFUNCTION("""COMPUTED_VALUE"""),"8")</f>
        <v>8</v>
      </c>
      <c r="E165" s="1" t="str">
        <f>IFERROR(__xludf.DUMMYFUNCTION("""COMPUTED_VALUE"""),"C")</f>
        <v>C</v>
      </c>
      <c r="F165" s="1" t="str">
        <f>IFERROR(__xludf.DUMMYFUNCTION("""COMPUTED_VALUE"""),"Patna")</f>
        <v>Patna</v>
      </c>
      <c r="G165" s="1">
        <f>IFERROR(__xludf.DUMMYFUNCTION("""COMPUTED_VALUE"""),94.0)</f>
        <v>94</v>
      </c>
      <c r="H165" s="1">
        <f>IFERROR(__xludf.DUMMYFUNCTION("""COMPUTED_VALUE"""),48.0)</f>
        <v>48</v>
      </c>
      <c r="I165" s="1">
        <f>IFERROR(__xludf.DUMMYFUNCTION("""COMPUTED_VALUE"""),80.0)</f>
        <v>80</v>
      </c>
      <c r="J165" s="1">
        <f>IFERROR(__xludf.DUMMYFUNCTION("""COMPUTED_VALUE"""),42.0)</f>
        <v>42</v>
      </c>
      <c r="K165" s="1">
        <f>IFERROR(__xludf.DUMMYFUNCTION("""COMPUTED_VALUE"""),91.0)</f>
        <v>91</v>
      </c>
      <c r="L165" s="1">
        <f>IFERROR(__xludf.DUMMYFUNCTION("""COMPUTED_VALUE"""),355.0)</f>
        <v>355</v>
      </c>
      <c r="M165" s="1">
        <f>IFERROR(__xludf.DUMMYFUNCTION("""COMPUTED_VALUE"""),71.0)</f>
        <v>71</v>
      </c>
      <c r="N165" s="1">
        <f>IFERROR(__xludf.DUMMYFUNCTION("""COMPUTED_VALUE"""),81.0)</f>
        <v>81</v>
      </c>
      <c r="O165" s="1" t="str">
        <f>IFERROR(__xludf.DUMMYFUNCTION("""COMPUTED_VALUE"""),"Pass")</f>
        <v>Pass</v>
      </c>
    </row>
    <row r="166" ht="15.75" customHeight="1">
      <c r="A166" s="1" t="str">
        <f>IFERROR(__xludf.DUMMYFUNCTION("""COMPUTED_VALUE"""),"STD-1378")</f>
        <v>STD-1378</v>
      </c>
      <c r="B166" s="1" t="str">
        <f>IFERROR(__xludf.DUMMYFUNCTION("""COMPUTED_VALUE"""),"Ritika Patel")</f>
        <v>Ritika Patel</v>
      </c>
      <c r="C166" s="1" t="str">
        <f>IFERROR(__xludf.DUMMYFUNCTION("""COMPUTED_VALUE"""),"Male")</f>
        <v>Male</v>
      </c>
      <c r="D166" s="1" t="str">
        <f>IFERROR(__xludf.DUMMYFUNCTION("""COMPUTED_VALUE"""),"10")</f>
        <v>10</v>
      </c>
      <c r="E166" s="1" t="str">
        <f>IFERROR(__xludf.DUMMYFUNCTION("""COMPUTED_VALUE"""),"A")</f>
        <v>A</v>
      </c>
      <c r="F166" s="1" t="str">
        <f>IFERROR(__xludf.DUMMYFUNCTION("""COMPUTED_VALUE"""),"Lucknow")</f>
        <v>Lucknow</v>
      </c>
      <c r="G166" s="1">
        <f>IFERROR(__xludf.DUMMYFUNCTION("""COMPUTED_VALUE"""),97.0)</f>
        <v>97</v>
      </c>
      <c r="H166" s="1">
        <f>IFERROR(__xludf.DUMMYFUNCTION("""COMPUTED_VALUE"""),61.0)</f>
        <v>61</v>
      </c>
      <c r="I166" s="1">
        <f>IFERROR(__xludf.DUMMYFUNCTION("""COMPUTED_VALUE"""),80.0)</f>
        <v>80</v>
      </c>
      <c r="J166" s="1">
        <f>IFERROR(__xludf.DUMMYFUNCTION("""COMPUTED_VALUE"""),78.0)</f>
        <v>78</v>
      </c>
      <c r="K166" s="1">
        <f>IFERROR(__xludf.DUMMYFUNCTION("""COMPUTED_VALUE"""),93.0)</f>
        <v>93</v>
      </c>
      <c r="L166" s="1">
        <f>IFERROR(__xludf.DUMMYFUNCTION("""COMPUTED_VALUE"""),409.0)</f>
        <v>409</v>
      </c>
      <c r="M166" s="1">
        <f>IFERROR(__xludf.DUMMYFUNCTION("""COMPUTED_VALUE"""),81.8)</f>
        <v>81.8</v>
      </c>
      <c r="N166" s="1">
        <f>IFERROR(__xludf.DUMMYFUNCTION("""COMPUTED_VALUE"""),93.0)</f>
        <v>93</v>
      </c>
      <c r="O166" s="1" t="str">
        <f>IFERROR(__xludf.DUMMYFUNCTION("""COMPUTED_VALUE"""),"Pass")</f>
        <v>Pass</v>
      </c>
    </row>
    <row r="167" ht="15.75" customHeight="1">
      <c r="A167" s="1" t="str">
        <f>IFERROR(__xludf.DUMMYFUNCTION("""COMPUTED_VALUE"""),"STD-1381")</f>
        <v>STD-1381</v>
      </c>
      <c r="B167" s="1" t="str">
        <f>IFERROR(__xludf.DUMMYFUNCTION("""COMPUTED_VALUE"""),"Ritika Kaur")</f>
        <v>Ritika Kaur</v>
      </c>
      <c r="C167" s="1" t="str">
        <f>IFERROR(__xludf.DUMMYFUNCTION("""COMPUTED_VALUE"""),"Male")</f>
        <v>Male</v>
      </c>
      <c r="D167" s="1" t="str">
        <f>IFERROR(__xludf.DUMMYFUNCTION("""COMPUTED_VALUE"""),"7")</f>
        <v>7</v>
      </c>
      <c r="E167" s="1" t="str">
        <f>IFERROR(__xludf.DUMMYFUNCTION("""COMPUTED_VALUE"""),"B")</f>
        <v>B</v>
      </c>
      <c r="F167" s="1" t="str">
        <f>IFERROR(__xludf.DUMMYFUNCTION("""COMPUTED_VALUE"""),"Bhopal")</f>
        <v>Bhopal</v>
      </c>
      <c r="G167" s="1">
        <f>IFERROR(__xludf.DUMMYFUNCTION("""COMPUTED_VALUE"""),93.0)</f>
        <v>93</v>
      </c>
      <c r="H167" s="1">
        <f>IFERROR(__xludf.DUMMYFUNCTION("""COMPUTED_VALUE"""),47.0)</f>
        <v>47</v>
      </c>
      <c r="I167" s="1">
        <f>IFERROR(__xludf.DUMMYFUNCTION("""COMPUTED_VALUE"""),76.0)</f>
        <v>76</v>
      </c>
      <c r="J167" s="1">
        <f>IFERROR(__xludf.DUMMYFUNCTION("""COMPUTED_VALUE"""),47.0)</f>
        <v>47</v>
      </c>
      <c r="K167" s="1">
        <f>IFERROR(__xludf.DUMMYFUNCTION("""COMPUTED_VALUE"""),83.0)</f>
        <v>83</v>
      </c>
      <c r="L167" s="1">
        <f>IFERROR(__xludf.DUMMYFUNCTION("""COMPUTED_VALUE"""),346.0)</f>
        <v>346</v>
      </c>
      <c r="M167" s="1">
        <f>IFERROR(__xludf.DUMMYFUNCTION("""COMPUTED_VALUE"""),69.2)</f>
        <v>69.2</v>
      </c>
      <c r="N167" s="1">
        <f>IFERROR(__xludf.DUMMYFUNCTION("""COMPUTED_VALUE"""),77.0)</f>
        <v>77</v>
      </c>
      <c r="O167" s="1" t="str">
        <f>IFERROR(__xludf.DUMMYFUNCTION("""COMPUTED_VALUE"""),"Pass")</f>
        <v>Pass</v>
      </c>
    </row>
    <row r="168" ht="15.75" customHeight="1">
      <c r="A168" s="1" t="str">
        <f>IFERROR(__xludf.DUMMYFUNCTION("""COMPUTED_VALUE"""),"STD-1383")</f>
        <v>STD-1383</v>
      </c>
      <c r="B168" s="1" t="str">
        <f>IFERROR(__xludf.DUMMYFUNCTION("""COMPUTED_VALUE"""),"Shreya Das")</f>
        <v>Shreya Das</v>
      </c>
      <c r="C168" s="1" t="str">
        <f>IFERROR(__xludf.DUMMYFUNCTION("""COMPUTED_VALUE"""),"Female")</f>
        <v>Female</v>
      </c>
      <c r="D168" s="1" t="str">
        <f>IFERROR(__xludf.DUMMYFUNCTION("""COMPUTED_VALUE"""),"6")</f>
        <v>6</v>
      </c>
      <c r="E168" s="1" t="str">
        <f>IFERROR(__xludf.DUMMYFUNCTION("""COMPUTED_VALUE"""),"A")</f>
        <v>A</v>
      </c>
      <c r="F168" s="1" t="str">
        <f>IFERROR(__xludf.DUMMYFUNCTION("""COMPUTED_VALUE"""),"Bhopal")</f>
        <v>Bhopal</v>
      </c>
      <c r="G168" s="1">
        <f>IFERROR(__xludf.DUMMYFUNCTION("""COMPUTED_VALUE"""),96.0)</f>
        <v>96</v>
      </c>
      <c r="H168" s="1">
        <f>IFERROR(__xludf.DUMMYFUNCTION("""COMPUTED_VALUE"""),87.0)</f>
        <v>87</v>
      </c>
      <c r="I168" s="1">
        <f>IFERROR(__xludf.DUMMYFUNCTION("""COMPUTED_VALUE"""),77.0)</f>
        <v>77</v>
      </c>
      <c r="J168" s="1">
        <f>IFERROR(__xludf.DUMMYFUNCTION("""COMPUTED_VALUE"""),67.0)</f>
        <v>67</v>
      </c>
      <c r="K168" s="1">
        <f>IFERROR(__xludf.DUMMYFUNCTION("""COMPUTED_VALUE"""),88.0)</f>
        <v>88</v>
      </c>
      <c r="L168" s="1">
        <f>IFERROR(__xludf.DUMMYFUNCTION("""COMPUTED_VALUE"""),415.0)</f>
        <v>415</v>
      </c>
      <c r="M168" s="1">
        <f>IFERROR(__xludf.DUMMYFUNCTION("""COMPUTED_VALUE"""),83.0)</f>
        <v>83</v>
      </c>
      <c r="N168" s="1">
        <f>IFERROR(__xludf.DUMMYFUNCTION("""COMPUTED_VALUE"""),65.0)</f>
        <v>65</v>
      </c>
      <c r="O168" s="1" t="str">
        <f>IFERROR(__xludf.DUMMYFUNCTION("""COMPUTED_VALUE"""),"Pass")</f>
        <v>Pass</v>
      </c>
    </row>
    <row r="169" ht="15.75" customHeight="1">
      <c r="A169" s="1" t="str">
        <f>IFERROR(__xludf.DUMMYFUNCTION("""COMPUTED_VALUE"""),"STD-1384")</f>
        <v>STD-1384</v>
      </c>
      <c r="B169" s="1" t="str">
        <f>IFERROR(__xludf.DUMMYFUNCTION("""COMPUTED_VALUE"""),"Karan Reddy")</f>
        <v>Karan Reddy</v>
      </c>
      <c r="C169" s="1" t="str">
        <f>IFERROR(__xludf.DUMMYFUNCTION("""COMPUTED_VALUE"""),"Male")</f>
        <v>Male</v>
      </c>
      <c r="D169" s="1" t="str">
        <f>IFERROR(__xludf.DUMMYFUNCTION("""COMPUTED_VALUE"""),"6")</f>
        <v>6</v>
      </c>
      <c r="E169" s="1" t="str">
        <f>IFERROR(__xludf.DUMMYFUNCTION("""COMPUTED_VALUE"""),"B")</f>
        <v>B</v>
      </c>
      <c r="F169" s="1" t="str">
        <f>IFERROR(__xludf.DUMMYFUNCTION("""COMPUTED_VALUE"""),"Mumbai")</f>
        <v>Mumbai</v>
      </c>
      <c r="G169" s="1">
        <f>IFERROR(__xludf.DUMMYFUNCTION("""COMPUTED_VALUE"""),85.0)</f>
        <v>85</v>
      </c>
      <c r="H169" s="1">
        <f>IFERROR(__xludf.DUMMYFUNCTION("""COMPUTED_VALUE"""),93.0)</f>
        <v>93</v>
      </c>
      <c r="I169" s="1">
        <f>IFERROR(__xludf.DUMMYFUNCTION("""COMPUTED_VALUE"""),65.0)</f>
        <v>65</v>
      </c>
      <c r="J169" s="1">
        <f>IFERROR(__xludf.DUMMYFUNCTION("""COMPUTED_VALUE"""),57.0)</f>
        <v>57</v>
      </c>
      <c r="K169" s="1">
        <f>IFERROR(__xludf.DUMMYFUNCTION("""COMPUTED_VALUE"""),55.0)</f>
        <v>55</v>
      </c>
      <c r="L169" s="1">
        <f>IFERROR(__xludf.DUMMYFUNCTION("""COMPUTED_VALUE"""),355.0)</f>
        <v>355</v>
      </c>
      <c r="M169" s="1">
        <f>IFERROR(__xludf.DUMMYFUNCTION("""COMPUTED_VALUE"""),71.0)</f>
        <v>71</v>
      </c>
      <c r="N169" s="1">
        <f>IFERROR(__xludf.DUMMYFUNCTION("""COMPUTED_VALUE"""),84.0)</f>
        <v>84</v>
      </c>
      <c r="O169" s="1" t="str">
        <f>IFERROR(__xludf.DUMMYFUNCTION("""COMPUTED_VALUE"""),"Pass")</f>
        <v>Pass</v>
      </c>
    </row>
    <row r="170" ht="15.75" customHeight="1">
      <c r="A170" s="1" t="str">
        <f>IFERROR(__xludf.DUMMYFUNCTION("""COMPUTED_VALUE"""),"STD-1385")</f>
        <v>STD-1385</v>
      </c>
      <c r="B170" s="1" t="str">
        <f>IFERROR(__xludf.DUMMYFUNCTION("""COMPUTED_VALUE"""),"Ritika Das")</f>
        <v>Ritika Das</v>
      </c>
      <c r="C170" s="1" t="str">
        <f>IFERROR(__xludf.DUMMYFUNCTION("""COMPUTED_VALUE"""),"Female")</f>
        <v>Female</v>
      </c>
      <c r="D170" s="1" t="str">
        <f>IFERROR(__xludf.DUMMYFUNCTION("""COMPUTED_VALUE"""),"6")</f>
        <v>6</v>
      </c>
      <c r="E170" s="1" t="str">
        <f>IFERROR(__xludf.DUMMYFUNCTION("""COMPUTED_VALUE"""),"B")</f>
        <v>B</v>
      </c>
      <c r="F170" s="1" t="str">
        <f>IFERROR(__xludf.DUMMYFUNCTION("""COMPUTED_VALUE"""),"Delhi")</f>
        <v>Delhi</v>
      </c>
      <c r="G170" s="1">
        <f>IFERROR(__xludf.DUMMYFUNCTION("""COMPUTED_VALUE"""),99.0)</f>
        <v>99</v>
      </c>
      <c r="H170" s="1">
        <f>IFERROR(__xludf.DUMMYFUNCTION("""COMPUTED_VALUE"""),47.0)</f>
        <v>47</v>
      </c>
      <c r="I170" s="1">
        <f>IFERROR(__xludf.DUMMYFUNCTION("""COMPUTED_VALUE"""),60.0)</f>
        <v>60</v>
      </c>
      <c r="J170" s="1">
        <f>IFERROR(__xludf.DUMMYFUNCTION("""COMPUTED_VALUE"""),54.0)</f>
        <v>54</v>
      </c>
      <c r="K170" s="1">
        <f>IFERROR(__xludf.DUMMYFUNCTION("""COMPUTED_VALUE"""),95.0)</f>
        <v>95</v>
      </c>
      <c r="L170" s="1">
        <f>IFERROR(__xludf.DUMMYFUNCTION("""COMPUTED_VALUE"""),355.0)</f>
        <v>355</v>
      </c>
      <c r="M170" s="1">
        <f>IFERROR(__xludf.DUMMYFUNCTION("""COMPUTED_VALUE"""),71.0)</f>
        <v>71</v>
      </c>
      <c r="N170" s="1">
        <f>IFERROR(__xludf.DUMMYFUNCTION("""COMPUTED_VALUE"""),68.0)</f>
        <v>68</v>
      </c>
      <c r="O170" s="1" t="str">
        <f>IFERROR(__xludf.DUMMYFUNCTION("""COMPUTED_VALUE"""),"Pass")</f>
        <v>Pass</v>
      </c>
    </row>
    <row r="171" ht="15.75" customHeight="1">
      <c r="A171" s="1" t="str">
        <f>IFERROR(__xludf.DUMMYFUNCTION("""COMPUTED_VALUE"""),"STD-1388")</f>
        <v>STD-1388</v>
      </c>
      <c r="B171" s="1" t="str">
        <f>IFERROR(__xludf.DUMMYFUNCTION("""COMPUTED_VALUE"""),"Simran Reddy")</f>
        <v>Simran Reddy</v>
      </c>
      <c r="C171" s="1" t="str">
        <f>IFERROR(__xludf.DUMMYFUNCTION("""COMPUTED_VALUE"""),"Male")</f>
        <v>Male</v>
      </c>
      <c r="D171" s="1" t="str">
        <f>IFERROR(__xludf.DUMMYFUNCTION("""COMPUTED_VALUE"""),"9")</f>
        <v>9</v>
      </c>
      <c r="E171" s="1" t="str">
        <f>IFERROR(__xludf.DUMMYFUNCTION("""COMPUTED_VALUE"""),"B")</f>
        <v>B</v>
      </c>
      <c r="F171" s="1" t="str">
        <f>IFERROR(__xludf.DUMMYFUNCTION("""COMPUTED_VALUE"""),"Mumbai")</f>
        <v>Mumbai</v>
      </c>
      <c r="G171" s="1">
        <f>IFERROR(__xludf.DUMMYFUNCTION("""COMPUTED_VALUE"""),88.0)</f>
        <v>88</v>
      </c>
      <c r="H171" s="1">
        <f>IFERROR(__xludf.DUMMYFUNCTION("""COMPUTED_VALUE"""),64.0)</f>
        <v>64</v>
      </c>
      <c r="I171" s="1">
        <f>IFERROR(__xludf.DUMMYFUNCTION("""COMPUTED_VALUE"""),52.0)</f>
        <v>52</v>
      </c>
      <c r="J171" s="1">
        <f>IFERROR(__xludf.DUMMYFUNCTION("""COMPUTED_VALUE"""),63.0)</f>
        <v>63</v>
      </c>
      <c r="K171" s="1">
        <f>IFERROR(__xludf.DUMMYFUNCTION("""COMPUTED_VALUE"""),84.0)</f>
        <v>84</v>
      </c>
      <c r="L171" s="1">
        <f>IFERROR(__xludf.DUMMYFUNCTION("""COMPUTED_VALUE"""),351.0)</f>
        <v>351</v>
      </c>
      <c r="M171" s="1">
        <f>IFERROR(__xludf.DUMMYFUNCTION("""COMPUTED_VALUE"""),70.2)</f>
        <v>70.2</v>
      </c>
      <c r="N171" s="1">
        <f>IFERROR(__xludf.DUMMYFUNCTION("""COMPUTED_VALUE"""),99.0)</f>
        <v>99</v>
      </c>
      <c r="O171" s="1" t="str">
        <f>IFERROR(__xludf.DUMMYFUNCTION("""COMPUTED_VALUE"""),"Pass")</f>
        <v>Pass</v>
      </c>
    </row>
    <row r="172" ht="15.75" customHeight="1">
      <c r="A172" s="1" t="str">
        <f>IFERROR(__xludf.DUMMYFUNCTION("""COMPUTED_VALUE"""),"STD-1389")</f>
        <v>STD-1389</v>
      </c>
      <c r="B172" s="1" t="str">
        <f>IFERROR(__xludf.DUMMYFUNCTION("""COMPUTED_VALUE"""),"Ritika Yadav")</f>
        <v>Ritika Yadav</v>
      </c>
      <c r="C172" s="1" t="str">
        <f>IFERROR(__xludf.DUMMYFUNCTION("""COMPUTED_VALUE"""),"Male")</f>
        <v>Male</v>
      </c>
      <c r="D172" s="1" t="str">
        <f>IFERROR(__xludf.DUMMYFUNCTION("""COMPUTED_VALUE"""),"8")</f>
        <v>8</v>
      </c>
      <c r="E172" s="1" t="str">
        <f>IFERROR(__xludf.DUMMYFUNCTION("""COMPUTED_VALUE"""),"B")</f>
        <v>B</v>
      </c>
      <c r="F172" s="1" t="str">
        <f>IFERROR(__xludf.DUMMYFUNCTION("""COMPUTED_VALUE"""),"Kolkata")</f>
        <v>Kolkata</v>
      </c>
      <c r="G172" s="1">
        <f>IFERROR(__xludf.DUMMYFUNCTION("""COMPUTED_VALUE"""),91.0)</f>
        <v>91</v>
      </c>
      <c r="H172" s="1">
        <f>IFERROR(__xludf.DUMMYFUNCTION("""COMPUTED_VALUE"""),56.0)</f>
        <v>56</v>
      </c>
      <c r="I172" s="1">
        <f>IFERROR(__xludf.DUMMYFUNCTION("""COMPUTED_VALUE"""),80.0)</f>
        <v>80</v>
      </c>
      <c r="J172" s="1">
        <f>IFERROR(__xludf.DUMMYFUNCTION("""COMPUTED_VALUE"""),71.0)</f>
        <v>71</v>
      </c>
      <c r="K172" s="1">
        <f>IFERROR(__xludf.DUMMYFUNCTION("""COMPUTED_VALUE"""),100.0)</f>
        <v>100</v>
      </c>
      <c r="L172" s="1">
        <f>IFERROR(__xludf.DUMMYFUNCTION("""COMPUTED_VALUE"""),398.0)</f>
        <v>398</v>
      </c>
      <c r="M172" s="1">
        <f>IFERROR(__xludf.DUMMYFUNCTION("""COMPUTED_VALUE"""),79.6)</f>
        <v>79.6</v>
      </c>
      <c r="N172" s="1">
        <f>IFERROR(__xludf.DUMMYFUNCTION("""COMPUTED_VALUE"""),84.0)</f>
        <v>84</v>
      </c>
      <c r="O172" s="1" t="str">
        <f>IFERROR(__xludf.DUMMYFUNCTION("""COMPUTED_VALUE"""),"Pass")</f>
        <v>Pass</v>
      </c>
    </row>
    <row r="173" ht="15.75" customHeight="1">
      <c r="A173" s="1" t="str">
        <f>IFERROR(__xludf.DUMMYFUNCTION("""COMPUTED_VALUE"""),"STD-1397")</f>
        <v>STD-1397</v>
      </c>
      <c r="B173" s="1" t="str">
        <f>IFERROR(__xludf.DUMMYFUNCTION("""COMPUTED_VALUE"""),"Arjun Gupta")</f>
        <v>Arjun Gupta</v>
      </c>
      <c r="C173" s="1" t="str">
        <f>IFERROR(__xludf.DUMMYFUNCTION("""COMPUTED_VALUE"""),"Male")</f>
        <v>Male</v>
      </c>
      <c r="D173" s="1" t="str">
        <f>IFERROR(__xludf.DUMMYFUNCTION("""COMPUTED_VALUE"""),"7")</f>
        <v>7</v>
      </c>
      <c r="E173" s="1" t="str">
        <f>IFERROR(__xludf.DUMMYFUNCTION("""COMPUTED_VALUE"""),"B")</f>
        <v>B</v>
      </c>
      <c r="F173" s="1" t="str">
        <f>IFERROR(__xludf.DUMMYFUNCTION("""COMPUTED_VALUE"""),"Patna")</f>
        <v>Patna</v>
      </c>
      <c r="G173" s="1">
        <f>IFERROR(__xludf.DUMMYFUNCTION("""COMPUTED_VALUE"""),90.0)</f>
        <v>90</v>
      </c>
      <c r="H173" s="1">
        <f>IFERROR(__xludf.DUMMYFUNCTION("""COMPUTED_VALUE"""),56.0)</f>
        <v>56</v>
      </c>
      <c r="I173" s="1">
        <f>IFERROR(__xludf.DUMMYFUNCTION("""COMPUTED_VALUE"""),84.0)</f>
        <v>84</v>
      </c>
      <c r="J173" s="1">
        <f>IFERROR(__xludf.DUMMYFUNCTION("""COMPUTED_VALUE"""),63.0)</f>
        <v>63</v>
      </c>
      <c r="K173" s="1">
        <f>IFERROR(__xludf.DUMMYFUNCTION("""COMPUTED_VALUE"""),88.0)</f>
        <v>88</v>
      </c>
      <c r="L173" s="1">
        <f>IFERROR(__xludf.DUMMYFUNCTION("""COMPUTED_VALUE"""),381.0)</f>
        <v>381</v>
      </c>
      <c r="M173" s="1">
        <f>IFERROR(__xludf.DUMMYFUNCTION("""COMPUTED_VALUE"""),76.2)</f>
        <v>76.2</v>
      </c>
      <c r="N173" s="1">
        <f>IFERROR(__xludf.DUMMYFUNCTION("""COMPUTED_VALUE"""),80.0)</f>
        <v>80</v>
      </c>
      <c r="O173" s="1" t="str">
        <f>IFERROR(__xludf.DUMMYFUNCTION("""COMPUTED_VALUE"""),"Pass")</f>
        <v>Pass</v>
      </c>
    </row>
    <row r="174" ht="15.75" customHeight="1">
      <c r="A174" s="1" t="str">
        <f>IFERROR(__xludf.DUMMYFUNCTION("""COMPUTED_VALUE"""),"STD-1400")</f>
        <v>STD-1400</v>
      </c>
      <c r="B174" s="1" t="str">
        <f>IFERROR(__xludf.DUMMYFUNCTION("""COMPUTED_VALUE"""),"Ananya Iyer")</f>
        <v>Ananya Iyer</v>
      </c>
      <c r="C174" s="1" t="str">
        <f>IFERROR(__xludf.DUMMYFUNCTION("""COMPUTED_VALUE"""),"Male")</f>
        <v>Male</v>
      </c>
      <c r="D174" s="1" t="str">
        <f>IFERROR(__xludf.DUMMYFUNCTION("""COMPUTED_VALUE"""),"8")</f>
        <v>8</v>
      </c>
      <c r="E174" s="1" t="str">
        <f>IFERROR(__xludf.DUMMYFUNCTION("""COMPUTED_VALUE"""),"C")</f>
        <v>C</v>
      </c>
      <c r="F174" s="1" t="str">
        <f>IFERROR(__xludf.DUMMYFUNCTION("""COMPUTED_VALUE"""),"Chandigarh")</f>
        <v>Chandigarh</v>
      </c>
      <c r="G174" s="1">
        <f>IFERROR(__xludf.DUMMYFUNCTION("""COMPUTED_VALUE"""),87.0)</f>
        <v>87</v>
      </c>
      <c r="H174" s="1">
        <f>IFERROR(__xludf.DUMMYFUNCTION("""COMPUTED_VALUE"""),52.0)</f>
        <v>52</v>
      </c>
      <c r="I174" s="1">
        <f>IFERROR(__xludf.DUMMYFUNCTION("""COMPUTED_VALUE"""),98.0)</f>
        <v>98</v>
      </c>
      <c r="J174" s="1">
        <f>IFERROR(__xludf.DUMMYFUNCTION("""COMPUTED_VALUE"""),66.0)</f>
        <v>66</v>
      </c>
      <c r="K174" s="1">
        <f>IFERROR(__xludf.DUMMYFUNCTION("""COMPUTED_VALUE"""),80.0)</f>
        <v>80</v>
      </c>
      <c r="L174" s="1">
        <f>IFERROR(__xludf.DUMMYFUNCTION("""COMPUTED_VALUE"""),383.0)</f>
        <v>383</v>
      </c>
      <c r="M174" s="1">
        <f>IFERROR(__xludf.DUMMYFUNCTION("""COMPUTED_VALUE"""),76.6)</f>
        <v>76.6</v>
      </c>
      <c r="N174" s="1">
        <f>IFERROR(__xludf.DUMMYFUNCTION("""COMPUTED_VALUE"""),95.0)</f>
        <v>95</v>
      </c>
      <c r="O174" s="1" t="str">
        <f>IFERROR(__xludf.DUMMYFUNCTION("""COMPUTED_VALUE"""),"Pass")</f>
        <v>Pass</v>
      </c>
    </row>
    <row r="175" ht="15.75" customHeight="1">
      <c r="A175" s="1" t="str">
        <f>IFERROR(__xludf.DUMMYFUNCTION("""COMPUTED_VALUE"""),"STD-1401")</f>
        <v>STD-1401</v>
      </c>
      <c r="B175" s="1" t="str">
        <f>IFERROR(__xludf.DUMMYFUNCTION("""COMPUTED_VALUE"""),"Rohan Das")</f>
        <v>Rohan Das</v>
      </c>
      <c r="C175" s="1" t="str">
        <f>IFERROR(__xludf.DUMMYFUNCTION("""COMPUTED_VALUE"""),"Male")</f>
        <v>Male</v>
      </c>
      <c r="D175" s="1" t="str">
        <f>IFERROR(__xludf.DUMMYFUNCTION("""COMPUTED_VALUE"""),"8")</f>
        <v>8</v>
      </c>
      <c r="E175" s="1" t="str">
        <f>IFERROR(__xludf.DUMMYFUNCTION("""COMPUTED_VALUE"""),"C")</f>
        <v>C</v>
      </c>
      <c r="F175" s="1" t="str">
        <f>IFERROR(__xludf.DUMMYFUNCTION("""COMPUTED_VALUE"""),"Jaipur")</f>
        <v>Jaipur</v>
      </c>
      <c r="G175" s="1">
        <f>IFERROR(__xludf.DUMMYFUNCTION("""COMPUTED_VALUE"""),90.0)</f>
        <v>90</v>
      </c>
      <c r="H175" s="1">
        <f>IFERROR(__xludf.DUMMYFUNCTION("""COMPUTED_VALUE"""),76.0)</f>
        <v>76</v>
      </c>
      <c r="I175" s="1">
        <f>IFERROR(__xludf.DUMMYFUNCTION("""COMPUTED_VALUE"""),70.0)</f>
        <v>70</v>
      </c>
      <c r="J175" s="1">
        <f>IFERROR(__xludf.DUMMYFUNCTION("""COMPUTED_VALUE"""),96.0)</f>
        <v>96</v>
      </c>
      <c r="K175" s="1">
        <f>IFERROR(__xludf.DUMMYFUNCTION("""COMPUTED_VALUE"""),50.0)</f>
        <v>50</v>
      </c>
      <c r="L175" s="1">
        <f>IFERROR(__xludf.DUMMYFUNCTION("""COMPUTED_VALUE"""),382.0)</f>
        <v>382</v>
      </c>
      <c r="M175" s="1">
        <f>IFERROR(__xludf.DUMMYFUNCTION("""COMPUTED_VALUE"""),76.4)</f>
        <v>76.4</v>
      </c>
      <c r="N175" s="1">
        <f>IFERROR(__xludf.DUMMYFUNCTION("""COMPUTED_VALUE"""),71.0)</f>
        <v>71</v>
      </c>
      <c r="O175" s="1" t="str">
        <f>IFERROR(__xludf.DUMMYFUNCTION("""COMPUTED_VALUE"""),"Pass")</f>
        <v>Pass</v>
      </c>
    </row>
    <row r="176" ht="15.75" customHeight="1">
      <c r="A176" s="1" t="str">
        <f>IFERROR(__xludf.DUMMYFUNCTION("""COMPUTED_VALUE"""),"STD-1403")</f>
        <v>STD-1403</v>
      </c>
      <c r="B176" s="1" t="str">
        <f>IFERROR(__xludf.DUMMYFUNCTION("""COMPUTED_VALUE"""),"Pooja Patel")</f>
        <v>Pooja Patel</v>
      </c>
      <c r="C176" s="1" t="str">
        <f>IFERROR(__xludf.DUMMYFUNCTION("""COMPUTED_VALUE"""),"Female")</f>
        <v>Female</v>
      </c>
      <c r="D176" s="1" t="str">
        <f>IFERROR(__xludf.DUMMYFUNCTION("""COMPUTED_VALUE"""),"8")</f>
        <v>8</v>
      </c>
      <c r="E176" s="1" t="str">
        <f>IFERROR(__xludf.DUMMYFUNCTION("""COMPUTED_VALUE"""),"B")</f>
        <v>B</v>
      </c>
      <c r="F176" s="1" t="str">
        <f>IFERROR(__xludf.DUMMYFUNCTION("""COMPUTED_VALUE"""),"Patna")</f>
        <v>Patna</v>
      </c>
      <c r="G176" s="1">
        <f>IFERROR(__xludf.DUMMYFUNCTION("""COMPUTED_VALUE"""),78.0)</f>
        <v>78</v>
      </c>
      <c r="H176" s="1">
        <f>IFERROR(__xludf.DUMMYFUNCTION("""COMPUTED_VALUE"""),41.0)</f>
        <v>41</v>
      </c>
      <c r="I176" s="1">
        <f>IFERROR(__xludf.DUMMYFUNCTION("""COMPUTED_VALUE"""),44.0)</f>
        <v>44</v>
      </c>
      <c r="J176" s="1">
        <f>IFERROR(__xludf.DUMMYFUNCTION("""COMPUTED_VALUE"""),52.0)</f>
        <v>52</v>
      </c>
      <c r="K176" s="1">
        <f>IFERROR(__xludf.DUMMYFUNCTION("""COMPUTED_VALUE"""),89.0)</f>
        <v>89</v>
      </c>
      <c r="L176" s="1">
        <f>IFERROR(__xludf.DUMMYFUNCTION("""COMPUTED_VALUE"""),304.0)</f>
        <v>304</v>
      </c>
      <c r="M176" s="1">
        <f>IFERROR(__xludf.DUMMYFUNCTION("""COMPUTED_VALUE"""),60.8)</f>
        <v>60.8</v>
      </c>
      <c r="N176" s="1">
        <f>IFERROR(__xludf.DUMMYFUNCTION("""COMPUTED_VALUE"""),92.0)</f>
        <v>92</v>
      </c>
      <c r="O176" s="1" t="str">
        <f>IFERROR(__xludf.DUMMYFUNCTION("""COMPUTED_VALUE"""),"Pass")</f>
        <v>Pass</v>
      </c>
    </row>
    <row r="177" ht="15.75" customHeight="1">
      <c r="A177" s="1" t="str">
        <f>IFERROR(__xludf.DUMMYFUNCTION("""COMPUTED_VALUE"""),"STD-1407")</f>
        <v>STD-1407</v>
      </c>
      <c r="B177" s="1" t="str">
        <f>IFERROR(__xludf.DUMMYFUNCTION("""COMPUTED_VALUE"""),"Karan Sharma")</f>
        <v>Karan Sharma</v>
      </c>
      <c r="C177" s="1" t="str">
        <f>IFERROR(__xludf.DUMMYFUNCTION("""COMPUTED_VALUE"""),"Female")</f>
        <v>Female</v>
      </c>
      <c r="D177" s="1" t="str">
        <f>IFERROR(__xludf.DUMMYFUNCTION("""COMPUTED_VALUE"""),"6")</f>
        <v>6</v>
      </c>
      <c r="E177" s="1" t="str">
        <f>IFERROR(__xludf.DUMMYFUNCTION("""COMPUTED_VALUE"""),"C")</f>
        <v>C</v>
      </c>
      <c r="F177" s="1" t="str">
        <f>IFERROR(__xludf.DUMMYFUNCTION("""COMPUTED_VALUE"""),"Jaipur")</f>
        <v>Jaipur</v>
      </c>
      <c r="G177" s="1">
        <f>IFERROR(__xludf.DUMMYFUNCTION("""COMPUTED_VALUE"""),100.0)</f>
        <v>100</v>
      </c>
      <c r="H177" s="1">
        <f>IFERROR(__xludf.DUMMYFUNCTION("""COMPUTED_VALUE"""),92.0)</f>
        <v>92</v>
      </c>
      <c r="I177" s="1">
        <f>IFERROR(__xludf.DUMMYFUNCTION("""COMPUTED_VALUE"""),94.0)</f>
        <v>94</v>
      </c>
      <c r="J177" s="1">
        <f>IFERROR(__xludf.DUMMYFUNCTION("""COMPUTED_VALUE"""),64.0)</f>
        <v>64</v>
      </c>
      <c r="K177" s="1">
        <f>IFERROR(__xludf.DUMMYFUNCTION("""COMPUTED_VALUE"""),79.0)</f>
        <v>79</v>
      </c>
      <c r="L177" s="1">
        <f>IFERROR(__xludf.DUMMYFUNCTION("""COMPUTED_VALUE"""),429.0)</f>
        <v>429</v>
      </c>
      <c r="M177" s="1">
        <f>IFERROR(__xludf.DUMMYFUNCTION("""COMPUTED_VALUE"""),85.8)</f>
        <v>85.8</v>
      </c>
      <c r="N177" s="1">
        <f>IFERROR(__xludf.DUMMYFUNCTION("""COMPUTED_VALUE"""),68.0)</f>
        <v>68</v>
      </c>
      <c r="O177" s="1" t="str">
        <f>IFERROR(__xludf.DUMMYFUNCTION("""COMPUTED_VALUE"""),"Pass")</f>
        <v>Pass</v>
      </c>
    </row>
    <row r="178" ht="15.75" customHeight="1">
      <c r="A178" s="1" t="str">
        <f>IFERROR(__xludf.DUMMYFUNCTION("""COMPUTED_VALUE"""),"STD-1410")</f>
        <v>STD-1410</v>
      </c>
      <c r="B178" s="1" t="str">
        <f>IFERROR(__xludf.DUMMYFUNCTION("""COMPUTED_VALUE"""),"Arjun Yadav")</f>
        <v>Arjun Yadav</v>
      </c>
      <c r="C178" s="1" t="str">
        <f>IFERROR(__xludf.DUMMYFUNCTION("""COMPUTED_VALUE"""),"Male")</f>
        <v>Male</v>
      </c>
      <c r="D178" s="1" t="str">
        <f>IFERROR(__xludf.DUMMYFUNCTION("""COMPUTED_VALUE"""),"7")</f>
        <v>7</v>
      </c>
      <c r="E178" s="1" t="str">
        <f>IFERROR(__xludf.DUMMYFUNCTION("""COMPUTED_VALUE"""),"A")</f>
        <v>A</v>
      </c>
      <c r="F178" s="1" t="str">
        <f>IFERROR(__xludf.DUMMYFUNCTION("""COMPUTED_VALUE"""),"Chandigarh")</f>
        <v>Chandigarh</v>
      </c>
      <c r="G178" s="1">
        <f>IFERROR(__xludf.DUMMYFUNCTION("""COMPUTED_VALUE"""),94.0)</f>
        <v>94</v>
      </c>
      <c r="H178" s="1">
        <f>IFERROR(__xludf.DUMMYFUNCTION("""COMPUTED_VALUE"""),70.0)</f>
        <v>70</v>
      </c>
      <c r="I178" s="1">
        <f>IFERROR(__xludf.DUMMYFUNCTION("""COMPUTED_VALUE"""),55.0)</f>
        <v>55</v>
      </c>
      <c r="J178" s="1">
        <f>IFERROR(__xludf.DUMMYFUNCTION("""COMPUTED_VALUE"""),91.0)</f>
        <v>91</v>
      </c>
      <c r="K178" s="1">
        <f>IFERROR(__xludf.DUMMYFUNCTION("""COMPUTED_VALUE"""),87.0)</f>
        <v>87</v>
      </c>
      <c r="L178" s="1">
        <f>IFERROR(__xludf.DUMMYFUNCTION("""COMPUTED_VALUE"""),397.0)</f>
        <v>397</v>
      </c>
      <c r="M178" s="1">
        <f>IFERROR(__xludf.DUMMYFUNCTION("""COMPUTED_VALUE"""),79.4)</f>
        <v>79.4</v>
      </c>
      <c r="N178" s="1">
        <f>IFERROR(__xludf.DUMMYFUNCTION("""COMPUTED_VALUE"""),62.0)</f>
        <v>62</v>
      </c>
      <c r="O178" s="1" t="str">
        <f>IFERROR(__xludf.DUMMYFUNCTION("""COMPUTED_VALUE"""),"Pass")</f>
        <v>Pass</v>
      </c>
    </row>
    <row r="179" ht="15.75" customHeight="1">
      <c r="A179" s="1" t="str">
        <f>IFERROR(__xludf.DUMMYFUNCTION("""COMPUTED_VALUE"""),"STD-1411")</f>
        <v>STD-1411</v>
      </c>
      <c r="B179" s="1" t="str">
        <f>IFERROR(__xludf.DUMMYFUNCTION("""COMPUTED_VALUE"""),"Pooja Das")</f>
        <v>Pooja Das</v>
      </c>
      <c r="C179" s="1" t="str">
        <f>IFERROR(__xludf.DUMMYFUNCTION("""COMPUTED_VALUE"""),"Male")</f>
        <v>Male</v>
      </c>
      <c r="D179" s="1" t="str">
        <f>IFERROR(__xludf.DUMMYFUNCTION("""COMPUTED_VALUE"""),"8")</f>
        <v>8</v>
      </c>
      <c r="E179" s="1" t="str">
        <f>IFERROR(__xludf.DUMMYFUNCTION("""COMPUTED_VALUE"""),"A")</f>
        <v>A</v>
      </c>
      <c r="F179" s="1" t="str">
        <f>IFERROR(__xludf.DUMMYFUNCTION("""COMPUTED_VALUE"""),"Lucknow")</f>
        <v>Lucknow</v>
      </c>
      <c r="G179" s="1">
        <f>IFERROR(__xludf.DUMMYFUNCTION("""COMPUTED_VALUE"""),76.0)</f>
        <v>76</v>
      </c>
      <c r="H179" s="1">
        <f>IFERROR(__xludf.DUMMYFUNCTION("""COMPUTED_VALUE"""),41.0)</f>
        <v>41</v>
      </c>
      <c r="I179" s="1">
        <f>IFERROR(__xludf.DUMMYFUNCTION("""COMPUTED_VALUE"""),49.0)</f>
        <v>49</v>
      </c>
      <c r="J179" s="1">
        <f>IFERROR(__xludf.DUMMYFUNCTION("""COMPUTED_VALUE"""),54.0)</f>
        <v>54</v>
      </c>
      <c r="K179" s="1">
        <f>IFERROR(__xludf.DUMMYFUNCTION("""COMPUTED_VALUE"""),48.0)</f>
        <v>48</v>
      </c>
      <c r="L179" s="1">
        <f>IFERROR(__xludf.DUMMYFUNCTION("""COMPUTED_VALUE"""),268.0)</f>
        <v>268</v>
      </c>
      <c r="M179" s="1">
        <f>IFERROR(__xludf.DUMMYFUNCTION("""COMPUTED_VALUE"""),53.6)</f>
        <v>53.6</v>
      </c>
      <c r="N179" s="1">
        <f>IFERROR(__xludf.DUMMYFUNCTION("""COMPUTED_VALUE"""),88.0)</f>
        <v>88</v>
      </c>
      <c r="O179" s="1" t="str">
        <f>IFERROR(__xludf.DUMMYFUNCTION("""COMPUTED_VALUE"""),"Pass")</f>
        <v>Pass</v>
      </c>
    </row>
    <row r="180" ht="15.75" customHeight="1">
      <c r="A180" s="1" t="str">
        <f>IFERROR(__xludf.DUMMYFUNCTION("""COMPUTED_VALUE"""),"STD-1420")</f>
        <v>STD-1420</v>
      </c>
      <c r="B180" s="1" t="str">
        <f>IFERROR(__xludf.DUMMYFUNCTION("""COMPUTED_VALUE"""),"Rahul Choudhary")</f>
        <v>Rahul Choudhary</v>
      </c>
      <c r="C180" s="1" t="str">
        <f>IFERROR(__xludf.DUMMYFUNCTION("""COMPUTED_VALUE"""),"Male")</f>
        <v>Male</v>
      </c>
      <c r="D180" s="1" t="str">
        <f>IFERROR(__xludf.DUMMYFUNCTION("""COMPUTED_VALUE"""),"6")</f>
        <v>6</v>
      </c>
      <c r="E180" s="1" t="str">
        <f>IFERROR(__xludf.DUMMYFUNCTION("""COMPUTED_VALUE"""),"B")</f>
        <v>B</v>
      </c>
      <c r="F180" s="1" t="str">
        <f>IFERROR(__xludf.DUMMYFUNCTION("""COMPUTED_VALUE"""),"Delhi")</f>
        <v>Delhi</v>
      </c>
      <c r="G180" s="1">
        <f>IFERROR(__xludf.DUMMYFUNCTION("""COMPUTED_VALUE"""),97.0)</f>
        <v>97</v>
      </c>
      <c r="H180" s="1">
        <f>IFERROR(__xludf.DUMMYFUNCTION("""COMPUTED_VALUE"""),74.0)</f>
        <v>74</v>
      </c>
      <c r="I180" s="1">
        <f>IFERROR(__xludf.DUMMYFUNCTION("""COMPUTED_VALUE"""),85.0)</f>
        <v>85</v>
      </c>
      <c r="J180" s="1">
        <f>IFERROR(__xludf.DUMMYFUNCTION("""COMPUTED_VALUE"""),86.0)</f>
        <v>86</v>
      </c>
      <c r="K180" s="1">
        <f>IFERROR(__xludf.DUMMYFUNCTION("""COMPUTED_VALUE"""),85.0)</f>
        <v>85</v>
      </c>
      <c r="L180" s="1">
        <f>IFERROR(__xludf.DUMMYFUNCTION("""COMPUTED_VALUE"""),427.0)</f>
        <v>427</v>
      </c>
      <c r="M180" s="1">
        <f>IFERROR(__xludf.DUMMYFUNCTION("""COMPUTED_VALUE"""),85.4)</f>
        <v>85.4</v>
      </c>
      <c r="N180" s="1">
        <f>IFERROR(__xludf.DUMMYFUNCTION("""COMPUTED_VALUE"""),92.0)</f>
        <v>92</v>
      </c>
      <c r="O180" s="1" t="str">
        <f>IFERROR(__xludf.DUMMYFUNCTION("""COMPUTED_VALUE"""),"Pass")</f>
        <v>Pass</v>
      </c>
    </row>
    <row r="181" ht="15.75" customHeight="1">
      <c r="A181" s="1" t="str">
        <f>IFERROR(__xludf.DUMMYFUNCTION("""COMPUTED_VALUE"""),"STD-1423")</f>
        <v>STD-1423</v>
      </c>
      <c r="B181" s="1" t="str">
        <f>IFERROR(__xludf.DUMMYFUNCTION("""COMPUTED_VALUE"""),"Vivaan Yadav")</f>
        <v>Vivaan Yadav</v>
      </c>
      <c r="C181" s="1" t="str">
        <f>IFERROR(__xludf.DUMMYFUNCTION("""COMPUTED_VALUE"""),"Male")</f>
        <v>Male</v>
      </c>
      <c r="D181" s="1" t="str">
        <f>IFERROR(__xludf.DUMMYFUNCTION("""COMPUTED_VALUE"""),"8")</f>
        <v>8</v>
      </c>
      <c r="E181" s="1" t="str">
        <f>IFERROR(__xludf.DUMMYFUNCTION("""COMPUTED_VALUE"""),"A")</f>
        <v>A</v>
      </c>
      <c r="F181" s="1" t="str">
        <f>IFERROR(__xludf.DUMMYFUNCTION("""COMPUTED_VALUE"""),"Patna")</f>
        <v>Patna</v>
      </c>
      <c r="G181" s="1">
        <f>IFERROR(__xludf.DUMMYFUNCTION("""COMPUTED_VALUE"""),83.0)</f>
        <v>83</v>
      </c>
      <c r="H181" s="1">
        <f>IFERROR(__xludf.DUMMYFUNCTION("""COMPUTED_VALUE"""),86.0)</f>
        <v>86</v>
      </c>
      <c r="I181" s="1">
        <f>IFERROR(__xludf.DUMMYFUNCTION("""COMPUTED_VALUE"""),83.0)</f>
        <v>83</v>
      </c>
      <c r="J181" s="1">
        <f>IFERROR(__xludf.DUMMYFUNCTION("""COMPUTED_VALUE"""),82.0)</f>
        <v>82</v>
      </c>
      <c r="K181" s="1">
        <f>IFERROR(__xludf.DUMMYFUNCTION("""COMPUTED_VALUE"""),58.0)</f>
        <v>58</v>
      </c>
      <c r="L181" s="1">
        <f>IFERROR(__xludf.DUMMYFUNCTION("""COMPUTED_VALUE"""),392.0)</f>
        <v>392</v>
      </c>
      <c r="M181" s="1">
        <f>IFERROR(__xludf.DUMMYFUNCTION("""COMPUTED_VALUE"""),78.4)</f>
        <v>78.4</v>
      </c>
      <c r="N181" s="1">
        <f>IFERROR(__xludf.DUMMYFUNCTION("""COMPUTED_VALUE"""),78.0)</f>
        <v>78</v>
      </c>
      <c r="O181" s="1" t="str">
        <f>IFERROR(__xludf.DUMMYFUNCTION("""COMPUTED_VALUE"""),"Pass")</f>
        <v>Pass</v>
      </c>
    </row>
    <row r="182" ht="15.75" customHeight="1">
      <c r="A182" s="1" t="str">
        <f>IFERROR(__xludf.DUMMYFUNCTION("""COMPUTED_VALUE"""),"STD-1426")</f>
        <v>STD-1426</v>
      </c>
      <c r="B182" s="1" t="str">
        <f>IFERROR(__xludf.DUMMYFUNCTION("""COMPUTED_VALUE"""),"Aarav Nair")</f>
        <v>Aarav Nair</v>
      </c>
      <c r="C182" s="1" t="str">
        <f>IFERROR(__xludf.DUMMYFUNCTION("""COMPUTED_VALUE"""),"Male")</f>
        <v>Male</v>
      </c>
      <c r="D182" s="1" t="str">
        <f>IFERROR(__xludf.DUMMYFUNCTION("""COMPUTED_VALUE"""),"8")</f>
        <v>8</v>
      </c>
      <c r="E182" s="1" t="str">
        <f>IFERROR(__xludf.DUMMYFUNCTION("""COMPUTED_VALUE"""),"A")</f>
        <v>A</v>
      </c>
      <c r="F182" s="1" t="str">
        <f>IFERROR(__xludf.DUMMYFUNCTION("""COMPUTED_VALUE"""),"Jaipur")</f>
        <v>Jaipur</v>
      </c>
      <c r="G182" s="1">
        <f>IFERROR(__xludf.DUMMYFUNCTION("""COMPUTED_VALUE"""),77.0)</f>
        <v>77</v>
      </c>
      <c r="H182" s="1">
        <f>IFERROR(__xludf.DUMMYFUNCTION("""COMPUTED_VALUE"""),44.0)</f>
        <v>44</v>
      </c>
      <c r="I182" s="1">
        <f>IFERROR(__xludf.DUMMYFUNCTION("""COMPUTED_VALUE"""),84.0)</f>
        <v>84</v>
      </c>
      <c r="J182" s="1">
        <f>IFERROR(__xludf.DUMMYFUNCTION("""COMPUTED_VALUE"""),40.0)</f>
        <v>40</v>
      </c>
      <c r="K182" s="1">
        <f>IFERROR(__xludf.DUMMYFUNCTION("""COMPUTED_VALUE"""),88.0)</f>
        <v>88</v>
      </c>
      <c r="L182" s="1">
        <f>IFERROR(__xludf.DUMMYFUNCTION("""COMPUTED_VALUE"""),333.0)</f>
        <v>333</v>
      </c>
      <c r="M182" s="1">
        <f>IFERROR(__xludf.DUMMYFUNCTION("""COMPUTED_VALUE"""),66.6)</f>
        <v>66.6</v>
      </c>
      <c r="N182" s="1">
        <f>IFERROR(__xludf.DUMMYFUNCTION("""COMPUTED_VALUE"""),96.0)</f>
        <v>96</v>
      </c>
      <c r="O182" s="1" t="str">
        <f>IFERROR(__xludf.DUMMYFUNCTION("""COMPUTED_VALUE"""),"Pass")</f>
        <v>Pass</v>
      </c>
    </row>
    <row r="183" ht="15.75" customHeight="1">
      <c r="A183" s="1" t="str">
        <f>IFERROR(__xludf.DUMMYFUNCTION("""COMPUTED_VALUE"""),"STD-1427")</f>
        <v>STD-1427</v>
      </c>
      <c r="B183" s="1" t="str">
        <f>IFERROR(__xludf.DUMMYFUNCTION("""COMPUTED_VALUE"""),"Ananya Sharma")</f>
        <v>Ananya Sharma</v>
      </c>
      <c r="C183" s="1" t="str">
        <f>IFERROR(__xludf.DUMMYFUNCTION("""COMPUTED_VALUE"""),"Female")</f>
        <v>Female</v>
      </c>
      <c r="D183" s="1" t="str">
        <f>IFERROR(__xludf.DUMMYFUNCTION("""COMPUTED_VALUE"""),"7")</f>
        <v>7</v>
      </c>
      <c r="E183" s="1" t="str">
        <f>IFERROR(__xludf.DUMMYFUNCTION("""COMPUTED_VALUE"""),"A")</f>
        <v>A</v>
      </c>
      <c r="F183" s="1" t="str">
        <f>IFERROR(__xludf.DUMMYFUNCTION("""COMPUTED_VALUE"""),"Jaipur")</f>
        <v>Jaipur</v>
      </c>
      <c r="G183" s="1">
        <f>IFERROR(__xludf.DUMMYFUNCTION("""COMPUTED_VALUE"""),95.0)</f>
        <v>95</v>
      </c>
      <c r="H183" s="1">
        <f>IFERROR(__xludf.DUMMYFUNCTION("""COMPUTED_VALUE"""),62.0)</f>
        <v>62</v>
      </c>
      <c r="I183" s="1">
        <f>IFERROR(__xludf.DUMMYFUNCTION("""COMPUTED_VALUE"""),63.0)</f>
        <v>63</v>
      </c>
      <c r="J183" s="1">
        <f>IFERROR(__xludf.DUMMYFUNCTION("""COMPUTED_VALUE"""),74.0)</f>
        <v>74</v>
      </c>
      <c r="K183" s="1">
        <f>IFERROR(__xludf.DUMMYFUNCTION("""COMPUTED_VALUE"""),97.0)</f>
        <v>97</v>
      </c>
      <c r="L183" s="1">
        <f>IFERROR(__xludf.DUMMYFUNCTION("""COMPUTED_VALUE"""),391.0)</f>
        <v>391</v>
      </c>
      <c r="M183" s="1">
        <f>IFERROR(__xludf.DUMMYFUNCTION("""COMPUTED_VALUE"""),78.2)</f>
        <v>78.2</v>
      </c>
      <c r="N183" s="1">
        <f>IFERROR(__xludf.DUMMYFUNCTION("""COMPUTED_VALUE"""),79.0)</f>
        <v>79</v>
      </c>
      <c r="O183" s="1" t="str">
        <f>IFERROR(__xludf.DUMMYFUNCTION("""COMPUTED_VALUE"""),"Pass")</f>
        <v>Pass</v>
      </c>
    </row>
    <row r="184" ht="15.75" customHeight="1">
      <c r="A184" s="1" t="str">
        <f>IFERROR(__xludf.DUMMYFUNCTION("""COMPUTED_VALUE"""),"STD-1428")</f>
        <v>STD-1428</v>
      </c>
      <c r="B184" s="1" t="str">
        <f>IFERROR(__xludf.DUMMYFUNCTION("""COMPUTED_VALUE"""),"Meera Kulkarni")</f>
        <v>Meera Kulkarni</v>
      </c>
      <c r="C184" s="1" t="str">
        <f>IFERROR(__xludf.DUMMYFUNCTION("""COMPUTED_VALUE"""),"Male")</f>
        <v>Male</v>
      </c>
      <c r="D184" s="1" t="str">
        <f>IFERROR(__xludf.DUMMYFUNCTION("""COMPUTED_VALUE"""),"10")</f>
        <v>10</v>
      </c>
      <c r="E184" s="1" t="str">
        <f>IFERROR(__xludf.DUMMYFUNCTION("""COMPUTED_VALUE"""),"C")</f>
        <v>C</v>
      </c>
      <c r="F184" s="1" t="str">
        <f>IFERROR(__xludf.DUMMYFUNCTION("""COMPUTED_VALUE"""),"Lucknow")</f>
        <v>Lucknow</v>
      </c>
      <c r="G184" s="1">
        <f>IFERROR(__xludf.DUMMYFUNCTION("""COMPUTED_VALUE"""),83.0)</f>
        <v>83</v>
      </c>
      <c r="H184" s="1">
        <f>IFERROR(__xludf.DUMMYFUNCTION("""COMPUTED_VALUE"""),86.0)</f>
        <v>86</v>
      </c>
      <c r="I184" s="1">
        <f>IFERROR(__xludf.DUMMYFUNCTION("""COMPUTED_VALUE"""),51.0)</f>
        <v>51</v>
      </c>
      <c r="J184" s="1">
        <f>IFERROR(__xludf.DUMMYFUNCTION("""COMPUTED_VALUE"""),84.0)</f>
        <v>84</v>
      </c>
      <c r="K184" s="1">
        <f>IFERROR(__xludf.DUMMYFUNCTION("""COMPUTED_VALUE"""),85.0)</f>
        <v>85</v>
      </c>
      <c r="L184" s="1">
        <f>IFERROR(__xludf.DUMMYFUNCTION("""COMPUTED_VALUE"""),389.0)</f>
        <v>389</v>
      </c>
      <c r="M184" s="1">
        <f>IFERROR(__xludf.DUMMYFUNCTION("""COMPUTED_VALUE"""),77.8)</f>
        <v>77.8</v>
      </c>
      <c r="N184" s="1">
        <f>IFERROR(__xludf.DUMMYFUNCTION("""COMPUTED_VALUE"""),61.0)</f>
        <v>61</v>
      </c>
      <c r="O184" s="1" t="str">
        <f>IFERROR(__xludf.DUMMYFUNCTION("""COMPUTED_VALUE"""),"Pass")</f>
        <v>Pass</v>
      </c>
    </row>
    <row r="185" ht="15.75" customHeight="1">
      <c r="A185" s="1" t="str">
        <f>IFERROR(__xludf.DUMMYFUNCTION("""COMPUTED_VALUE"""),"STD-1431")</f>
        <v>STD-1431</v>
      </c>
      <c r="B185" s="1" t="str">
        <f>IFERROR(__xludf.DUMMYFUNCTION("""COMPUTED_VALUE"""),"Ananya Gupta")</f>
        <v>Ananya Gupta</v>
      </c>
      <c r="C185" s="1" t="str">
        <f>IFERROR(__xludf.DUMMYFUNCTION("""COMPUTED_VALUE"""),"Male")</f>
        <v>Male</v>
      </c>
      <c r="D185" s="1" t="str">
        <f>IFERROR(__xludf.DUMMYFUNCTION("""COMPUTED_VALUE"""),"6")</f>
        <v>6</v>
      </c>
      <c r="E185" s="1" t="str">
        <f>IFERROR(__xludf.DUMMYFUNCTION("""COMPUTED_VALUE"""),"A")</f>
        <v>A</v>
      </c>
      <c r="F185" s="1" t="str">
        <f>IFERROR(__xludf.DUMMYFUNCTION("""COMPUTED_VALUE"""),"Bhopal")</f>
        <v>Bhopal</v>
      </c>
      <c r="G185" s="1">
        <f>IFERROR(__xludf.DUMMYFUNCTION("""COMPUTED_VALUE"""),82.0)</f>
        <v>82</v>
      </c>
      <c r="H185" s="1">
        <f>IFERROR(__xludf.DUMMYFUNCTION("""COMPUTED_VALUE"""),78.0)</f>
        <v>78</v>
      </c>
      <c r="I185" s="1">
        <f>IFERROR(__xludf.DUMMYFUNCTION("""COMPUTED_VALUE"""),42.0)</f>
        <v>42</v>
      </c>
      <c r="J185" s="1">
        <f>IFERROR(__xludf.DUMMYFUNCTION("""COMPUTED_VALUE"""),84.0)</f>
        <v>84</v>
      </c>
      <c r="K185" s="1">
        <f>IFERROR(__xludf.DUMMYFUNCTION("""COMPUTED_VALUE"""),52.0)</f>
        <v>52</v>
      </c>
      <c r="L185" s="1">
        <f>IFERROR(__xludf.DUMMYFUNCTION("""COMPUTED_VALUE"""),338.0)</f>
        <v>338</v>
      </c>
      <c r="M185" s="1">
        <f>IFERROR(__xludf.DUMMYFUNCTION("""COMPUTED_VALUE"""),67.6)</f>
        <v>67.6</v>
      </c>
      <c r="N185" s="1">
        <f>IFERROR(__xludf.DUMMYFUNCTION("""COMPUTED_VALUE"""),88.0)</f>
        <v>88</v>
      </c>
      <c r="O185" s="1" t="str">
        <f>IFERROR(__xludf.DUMMYFUNCTION("""COMPUTED_VALUE"""),"Pass")</f>
        <v>Pass</v>
      </c>
    </row>
    <row r="186" ht="15.75" customHeight="1">
      <c r="A186" s="1" t="str">
        <f>IFERROR(__xludf.DUMMYFUNCTION("""COMPUTED_VALUE"""),"STD-1437")</f>
        <v>STD-1437</v>
      </c>
      <c r="B186" s="1" t="str">
        <f>IFERROR(__xludf.DUMMYFUNCTION("""COMPUTED_VALUE"""),"Neha Gupta")</f>
        <v>Neha Gupta</v>
      </c>
      <c r="C186" s="1" t="str">
        <f>IFERROR(__xludf.DUMMYFUNCTION("""COMPUTED_VALUE"""),"Female")</f>
        <v>Female</v>
      </c>
      <c r="D186" s="1" t="str">
        <f>IFERROR(__xludf.DUMMYFUNCTION("""COMPUTED_VALUE"""),"9")</f>
        <v>9</v>
      </c>
      <c r="E186" s="1" t="str">
        <f>IFERROR(__xludf.DUMMYFUNCTION("""COMPUTED_VALUE"""),"A")</f>
        <v>A</v>
      </c>
      <c r="F186" s="1" t="str">
        <f>IFERROR(__xludf.DUMMYFUNCTION("""COMPUTED_VALUE"""),"Patna")</f>
        <v>Patna</v>
      </c>
      <c r="G186" s="1">
        <f>IFERROR(__xludf.DUMMYFUNCTION("""COMPUTED_VALUE"""),89.0)</f>
        <v>89</v>
      </c>
      <c r="H186" s="1">
        <f>IFERROR(__xludf.DUMMYFUNCTION("""COMPUTED_VALUE"""),77.0)</f>
        <v>77</v>
      </c>
      <c r="I186" s="1">
        <f>IFERROR(__xludf.DUMMYFUNCTION("""COMPUTED_VALUE"""),91.0)</f>
        <v>91</v>
      </c>
      <c r="J186" s="1">
        <f>IFERROR(__xludf.DUMMYFUNCTION("""COMPUTED_VALUE"""),44.0)</f>
        <v>44</v>
      </c>
      <c r="K186" s="1">
        <f>IFERROR(__xludf.DUMMYFUNCTION("""COMPUTED_VALUE"""),79.0)</f>
        <v>79</v>
      </c>
      <c r="L186" s="1">
        <f>IFERROR(__xludf.DUMMYFUNCTION("""COMPUTED_VALUE"""),380.0)</f>
        <v>380</v>
      </c>
      <c r="M186" s="1">
        <f>IFERROR(__xludf.DUMMYFUNCTION("""COMPUTED_VALUE"""),76.0)</f>
        <v>76</v>
      </c>
      <c r="N186" s="1">
        <f>IFERROR(__xludf.DUMMYFUNCTION("""COMPUTED_VALUE"""),78.0)</f>
        <v>78</v>
      </c>
      <c r="O186" s="1" t="str">
        <f>IFERROR(__xludf.DUMMYFUNCTION("""COMPUTED_VALUE"""),"Pass")</f>
        <v>Pass</v>
      </c>
    </row>
    <row r="187" ht="15.75" customHeight="1">
      <c r="A187" s="1" t="str">
        <f>IFERROR(__xludf.DUMMYFUNCTION("""COMPUTED_VALUE"""),"STD-1441")</f>
        <v>STD-1441</v>
      </c>
      <c r="B187" s="1" t="str">
        <f>IFERROR(__xludf.DUMMYFUNCTION("""COMPUTED_VALUE"""),"Arjun Choudhary")</f>
        <v>Arjun Choudhary</v>
      </c>
      <c r="C187" s="1" t="str">
        <f>IFERROR(__xludf.DUMMYFUNCTION("""COMPUTED_VALUE"""),"Male")</f>
        <v>Male</v>
      </c>
      <c r="D187" s="1" t="str">
        <f>IFERROR(__xludf.DUMMYFUNCTION("""COMPUTED_VALUE"""),"7")</f>
        <v>7</v>
      </c>
      <c r="E187" s="1" t="str">
        <f>IFERROR(__xludf.DUMMYFUNCTION("""COMPUTED_VALUE"""),"C")</f>
        <v>C</v>
      </c>
      <c r="F187" s="1" t="str">
        <f>IFERROR(__xludf.DUMMYFUNCTION("""COMPUTED_VALUE"""),"Kolkata")</f>
        <v>Kolkata</v>
      </c>
      <c r="G187" s="1">
        <f>IFERROR(__xludf.DUMMYFUNCTION("""COMPUTED_VALUE"""),88.0)</f>
        <v>88</v>
      </c>
      <c r="H187" s="1">
        <f>IFERROR(__xludf.DUMMYFUNCTION("""COMPUTED_VALUE"""),59.0)</f>
        <v>59</v>
      </c>
      <c r="I187" s="1">
        <f>IFERROR(__xludf.DUMMYFUNCTION("""COMPUTED_VALUE"""),57.0)</f>
        <v>57</v>
      </c>
      <c r="J187" s="1">
        <f>IFERROR(__xludf.DUMMYFUNCTION("""COMPUTED_VALUE"""),52.0)</f>
        <v>52</v>
      </c>
      <c r="K187" s="1">
        <f>IFERROR(__xludf.DUMMYFUNCTION("""COMPUTED_VALUE"""),48.0)</f>
        <v>48</v>
      </c>
      <c r="L187" s="1">
        <f>IFERROR(__xludf.DUMMYFUNCTION("""COMPUTED_VALUE"""),304.0)</f>
        <v>304</v>
      </c>
      <c r="M187" s="1">
        <f>IFERROR(__xludf.DUMMYFUNCTION("""COMPUTED_VALUE"""),60.8)</f>
        <v>60.8</v>
      </c>
      <c r="N187" s="1">
        <f>IFERROR(__xludf.DUMMYFUNCTION("""COMPUTED_VALUE"""),92.0)</f>
        <v>92</v>
      </c>
      <c r="O187" s="1" t="str">
        <f>IFERROR(__xludf.DUMMYFUNCTION("""COMPUTED_VALUE"""),"Pass")</f>
        <v>Pass</v>
      </c>
    </row>
    <row r="188" ht="15.75" customHeight="1">
      <c r="A188" s="1" t="str">
        <f>IFERROR(__xludf.DUMMYFUNCTION("""COMPUTED_VALUE"""),"STD-1442")</f>
        <v>STD-1442</v>
      </c>
      <c r="B188" s="1" t="str">
        <f>IFERROR(__xludf.DUMMYFUNCTION("""COMPUTED_VALUE"""),"Karan Jain")</f>
        <v>Karan Jain</v>
      </c>
      <c r="C188" s="1" t="str">
        <f>IFERROR(__xludf.DUMMYFUNCTION("""COMPUTED_VALUE"""),"Male")</f>
        <v>Male</v>
      </c>
      <c r="D188" s="1" t="str">
        <f>IFERROR(__xludf.DUMMYFUNCTION("""COMPUTED_VALUE"""),"8")</f>
        <v>8</v>
      </c>
      <c r="E188" s="1" t="str">
        <f>IFERROR(__xludf.DUMMYFUNCTION("""COMPUTED_VALUE"""),"A")</f>
        <v>A</v>
      </c>
      <c r="F188" s="1" t="str">
        <f>IFERROR(__xludf.DUMMYFUNCTION("""COMPUTED_VALUE"""),"Delhi")</f>
        <v>Delhi</v>
      </c>
      <c r="G188" s="1">
        <f>IFERROR(__xludf.DUMMYFUNCTION("""COMPUTED_VALUE"""),89.0)</f>
        <v>89</v>
      </c>
      <c r="H188" s="1">
        <f>IFERROR(__xludf.DUMMYFUNCTION("""COMPUTED_VALUE"""),93.0)</f>
        <v>93</v>
      </c>
      <c r="I188" s="1">
        <f>IFERROR(__xludf.DUMMYFUNCTION("""COMPUTED_VALUE"""),63.0)</f>
        <v>63</v>
      </c>
      <c r="J188" s="1">
        <f>IFERROR(__xludf.DUMMYFUNCTION("""COMPUTED_VALUE"""),48.0)</f>
        <v>48</v>
      </c>
      <c r="K188" s="1">
        <f>IFERROR(__xludf.DUMMYFUNCTION("""COMPUTED_VALUE"""),81.0)</f>
        <v>81</v>
      </c>
      <c r="L188" s="1">
        <f>IFERROR(__xludf.DUMMYFUNCTION("""COMPUTED_VALUE"""),374.0)</f>
        <v>374</v>
      </c>
      <c r="M188" s="1">
        <f>IFERROR(__xludf.DUMMYFUNCTION("""COMPUTED_VALUE"""),74.8)</f>
        <v>74.8</v>
      </c>
      <c r="N188" s="1">
        <f>IFERROR(__xludf.DUMMYFUNCTION("""COMPUTED_VALUE"""),88.0)</f>
        <v>88</v>
      </c>
      <c r="O188" s="1" t="str">
        <f>IFERROR(__xludf.DUMMYFUNCTION("""COMPUTED_VALUE"""),"Pass")</f>
        <v>Pass</v>
      </c>
    </row>
    <row r="189" ht="15.75" customHeight="1">
      <c r="A189" s="1" t="str">
        <f>IFERROR(__xludf.DUMMYFUNCTION("""COMPUTED_VALUE"""),"STD-1445")</f>
        <v>STD-1445</v>
      </c>
      <c r="B189" s="1" t="str">
        <f>IFERROR(__xludf.DUMMYFUNCTION("""COMPUTED_VALUE"""),"Priya Reddy")</f>
        <v>Priya Reddy</v>
      </c>
      <c r="C189" s="1" t="str">
        <f>IFERROR(__xludf.DUMMYFUNCTION("""COMPUTED_VALUE"""),"Female")</f>
        <v>Female</v>
      </c>
      <c r="D189" s="1" t="str">
        <f>IFERROR(__xludf.DUMMYFUNCTION("""COMPUTED_VALUE"""),"9")</f>
        <v>9</v>
      </c>
      <c r="E189" s="1" t="str">
        <f>IFERROR(__xludf.DUMMYFUNCTION("""COMPUTED_VALUE"""),"C")</f>
        <v>C</v>
      </c>
      <c r="F189" s="1" t="str">
        <f>IFERROR(__xludf.DUMMYFUNCTION("""COMPUTED_VALUE"""),"Patna")</f>
        <v>Patna</v>
      </c>
      <c r="G189" s="1">
        <f>IFERROR(__xludf.DUMMYFUNCTION("""COMPUTED_VALUE"""),77.0)</f>
        <v>77</v>
      </c>
      <c r="H189" s="1">
        <f>IFERROR(__xludf.DUMMYFUNCTION("""COMPUTED_VALUE"""),93.0)</f>
        <v>93</v>
      </c>
      <c r="I189" s="1">
        <f>IFERROR(__xludf.DUMMYFUNCTION("""COMPUTED_VALUE"""),98.0)</f>
        <v>98</v>
      </c>
      <c r="J189" s="1">
        <f>IFERROR(__xludf.DUMMYFUNCTION("""COMPUTED_VALUE"""),93.0)</f>
        <v>93</v>
      </c>
      <c r="K189" s="1">
        <f>IFERROR(__xludf.DUMMYFUNCTION("""COMPUTED_VALUE"""),58.0)</f>
        <v>58</v>
      </c>
      <c r="L189" s="1">
        <f>IFERROR(__xludf.DUMMYFUNCTION("""COMPUTED_VALUE"""),419.0)</f>
        <v>419</v>
      </c>
      <c r="M189" s="1">
        <f>IFERROR(__xludf.DUMMYFUNCTION("""COMPUTED_VALUE"""),83.8)</f>
        <v>83.8</v>
      </c>
      <c r="N189" s="1">
        <f>IFERROR(__xludf.DUMMYFUNCTION("""COMPUTED_VALUE"""),71.0)</f>
        <v>71</v>
      </c>
      <c r="O189" s="1" t="str">
        <f>IFERROR(__xludf.DUMMYFUNCTION("""COMPUTED_VALUE"""),"Pass")</f>
        <v>Pass</v>
      </c>
    </row>
    <row r="190" ht="15.75" customHeight="1">
      <c r="A190" s="1" t="str">
        <f>IFERROR(__xludf.DUMMYFUNCTION("""COMPUTED_VALUE"""),"STD-1447")</f>
        <v>STD-1447</v>
      </c>
      <c r="B190" s="1" t="str">
        <f>IFERROR(__xludf.DUMMYFUNCTION("""COMPUTED_VALUE"""),"Simran Das")</f>
        <v>Simran Das</v>
      </c>
      <c r="C190" s="1" t="str">
        <f>IFERROR(__xludf.DUMMYFUNCTION("""COMPUTED_VALUE"""),"Male")</f>
        <v>Male</v>
      </c>
      <c r="D190" s="1" t="str">
        <f>IFERROR(__xludf.DUMMYFUNCTION("""COMPUTED_VALUE"""),"9")</f>
        <v>9</v>
      </c>
      <c r="E190" s="1" t="str">
        <f>IFERROR(__xludf.DUMMYFUNCTION("""COMPUTED_VALUE"""),"C")</f>
        <v>C</v>
      </c>
      <c r="F190" s="1" t="str">
        <f>IFERROR(__xludf.DUMMYFUNCTION("""COMPUTED_VALUE"""),"Patna")</f>
        <v>Patna</v>
      </c>
      <c r="G190" s="1">
        <f>IFERROR(__xludf.DUMMYFUNCTION("""COMPUTED_VALUE"""),95.0)</f>
        <v>95</v>
      </c>
      <c r="H190" s="1">
        <f>IFERROR(__xludf.DUMMYFUNCTION("""COMPUTED_VALUE"""),87.0)</f>
        <v>87</v>
      </c>
      <c r="I190" s="1">
        <f>IFERROR(__xludf.DUMMYFUNCTION("""COMPUTED_VALUE"""),54.0)</f>
        <v>54</v>
      </c>
      <c r="J190" s="1">
        <f>IFERROR(__xludf.DUMMYFUNCTION("""COMPUTED_VALUE"""),48.0)</f>
        <v>48</v>
      </c>
      <c r="K190" s="1">
        <f>IFERROR(__xludf.DUMMYFUNCTION("""COMPUTED_VALUE"""),52.0)</f>
        <v>52</v>
      </c>
      <c r="L190" s="1">
        <f>IFERROR(__xludf.DUMMYFUNCTION("""COMPUTED_VALUE"""),336.0)</f>
        <v>336</v>
      </c>
      <c r="M190" s="1">
        <f>IFERROR(__xludf.DUMMYFUNCTION("""COMPUTED_VALUE"""),67.2)</f>
        <v>67.2</v>
      </c>
      <c r="N190" s="1">
        <f>IFERROR(__xludf.DUMMYFUNCTION("""COMPUTED_VALUE"""),73.0)</f>
        <v>73</v>
      </c>
      <c r="O190" s="1" t="str">
        <f>IFERROR(__xludf.DUMMYFUNCTION("""COMPUTED_VALUE"""),"Pass")</f>
        <v>Pass</v>
      </c>
    </row>
    <row r="191" ht="15.75" customHeight="1">
      <c r="A191" s="1" t="str">
        <f>IFERROR(__xludf.DUMMYFUNCTION("""COMPUTED_VALUE"""),"STD-1451")</f>
        <v>STD-1451</v>
      </c>
      <c r="B191" s="1" t="str">
        <f>IFERROR(__xludf.DUMMYFUNCTION("""COMPUTED_VALUE"""),"Tanvi Das")</f>
        <v>Tanvi Das</v>
      </c>
      <c r="C191" s="1" t="str">
        <f>IFERROR(__xludf.DUMMYFUNCTION("""COMPUTED_VALUE"""),"Female")</f>
        <v>Female</v>
      </c>
      <c r="D191" s="1" t="str">
        <f>IFERROR(__xludf.DUMMYFUNCTION("""COMPUTED_VALUE"""),"10")</f>
        <v>10</v>
      </c>
      <c r="E191" s="1" t="str">
        <f>IFERROR(__xludf.DUMMYFUNCTION("""COMPUTED_VALUE"""),"A")</f>
        <v>A</v>
      </c>
      <c r="F191" s="1" t="str">
        <f>IFERROR(__xludf.DUMMYFUNCTION("""COMPUTED_VALUE"""),"Chandigarh")</f>
        <v>Chandigarh</v>
      </c>
      <c r="G191" s="1">
        <f>IFERROR(__xludf.DUMMYFUNCTION("""COMPUTED_VALUE"""),83.0)</f>
        <v>83</v>
      </c>
      <c r="H191" s="1">
        <f>IFERROR(__xludf.DUMMYFUNCTION("""COMPUTED_VALUE"""),64.0)</f>
        <v>64</v>
      </c>
      <c r="I191" s="1">
        <f>IFERROR(__xludf.DUMMYFUNCTION("""COMPUTED_VALUE"""),40.0)</f>
        <v>40</v>
      </c>
      <c r="J191" s="1">
        <f>IFERROR(__xludf.DUMMYFUNCTION("""COMPUTED_VALUE"""),76.0)</f>
        <v>76</v>
      </c>
      <c r="K191" s="1">
        <f>IFERROR(__xludf.DUMMYFUNCTION("""COMPUTED_VALUE"""),75.0)</f>
        <v>75</v>
      </c>
      <c r="L191" s="1">
        <f>IFERROR(__xludf.DUMMYFUNCTION("""COMPUTED_VALUE"""),338.0)</f>
        <v>338</v>
      </c>
      <c r="M191" s="1">
        <f>IFERROR(__xludf.DUMMYFUNCTION("""COMPUTED_VALUE"""),67.6)</f>
        <v>67.6</v>
      </c>
      <c r="N191" s="1">
        <f>IFERROR(__xludf.DUMMYFUNCTION("""COMPUTED_VALUE"""),69.0)</f>
        <v>69</v>
      </c>
      <c r="O191" s="1" t="str">
        <f>IFERROR(__xludf.DUMMYFUNCTION("""COMPUTED_VALUE"""),"Pass")</f>
        <v>Pass</v>
      </c>
    </row>
    <row r="192" ht="15.75" customHeight="1">
      <c r="A192" s="1" t="str">
        <f>IFERROR(__xludf.DUMMYFUNCTION("""COMPUTED_VALUE"""),"STD-1452")</f>
        <v>STD-1452</v>
      </c>
      <c r="B192" s="1" t="str">
        <f>IFERROR(__xludf.DUMMYFUNCTION("""COMPUTED_VALUE"""),"Karan Gupta")</f>
        <v>Karan Gupta</v>
      </c>
      <c r="C192" s="1" t="str">
        <f>IFERROR(__xludf.DUMMYFUNCTION("""COMPUTED_VALUE"""),"Male")</f>
        <v>Male</v>
      </c>
      <c r="D192" s="1" t="str">
        <f>IFERROR(__xludf.DUMMYFUNCTION("""COMPUTED_VALUE"""),"10")</f>
        <v>10</v>
      </c>
      <c r="E192" s="1" t="str">
        <f>IFERROR(__xludf.DUMMYFUNCTION("""COMPUTED_VALUE"""),"C")</f>
        <v>C</v>
      </c>
      <c r="F192" s="1" t="str">
        <f>IFERROR(__xludf.DUMMYFUNCTION("""COMPUTED_VALUE"""),"Jaipur")</f>
        <v>Jaipur</v>
      </c>
      <c r="G192" s="1">
        <f>IFERROR(__xludf.DUMMYFUNCTION("""COMPUTED_VALUE"""),83.0)</f>
        <v>83</v>
      </c>
      <c r="H192" s="1">
        <f>IFERROR(__xludf.DUMMYFUNCTION("""COMPUTED_VALUE"""),85.0)</f>
        <v>85</v>
      </c>
      <c r="I192" s="1">
        <f>IFERROR(__xludf.DUMMYFUNCTION("""COMPUTED_VALUE"""),60.0)</f>
        <v>60</v>
      </c>
      <c r="J192" s="1">
        <f>IFERROR(__xludf.DUMMYFUNCTION("""COMPUTED_VALUE"""),58.0)</f>
        <v>58</v>
      </c>
      <c r="K192" s="1">
        <f>IFERROR(__xludf.DUMMYFUNCTION("""COMPUTED_VALUE"""),82.0)</f>
        <v>82</v>
      </c>
      <c r="L192" s="1">
        <f>IFERROR(__xludf.DUMMYFUNCTION("""COMPUTED_VALUE"""),368.0)</f>
        <v>368</v>
      </c>
      <c r="M192" s="1">
        <f>IFERROR(__xludf.DUMMYFUNCTION("""COMPUTED_VALUE"""),73.6)</f>
        <v>73.6</v>
      </c>
      <c r="N192" s="1">
        <f>IFERROR(__xludf.DUMMYFUNCTION("""COMPUTED_VALUE"""),87.0)</f>
        <v>87</v>
      </c>
      <c r="O192" s="1" t="str">
        <f>IFERROR(__xludf.DUMMYFUNCTION("""COMPUTED_VALUE"""),"Pass")</f>
        <v>Pass</v>
      </c>
    </row>
    <row r="193" ht="15.75" customHeight="1">
      <c r="A193" s="1" t="str">
        <f>IFERROR(__xludf.DUMMYFUNCTION("""COMPUTED_VALUE"""),"STD-1454")</f>
        <v>STD-1454</v>
      </c>
      <c r="B193" s="1" t="str">
        <f>IFERROR(__xludf.DUMMYFUNCTION("""COMPUTED_VALUE"""),"Karan Banerjee")</f>
        <v>Karan Banerjee</v>
      </c>
      <c r="C193" s="1" t="str">
        <f>IFERROR(__xludf.DUMMYFUNCTION("""COMPUTED_VALUE"""),"Female")</f>
        <v>Female</v>
      </c>
      <c r="D193" s="1" t="str">
        <f>IFERROR(__xludf.DUMMYFUNCTION("""COMPUTED_VALUE"""),"10")</f>
        <v>10</v>
      </c>
      <c r="E193" s="1" t="str">
        <f>IFERROR(__xludf.DUMMYFUNCTION("""COMPUTED_VALUE"""),"C")</f>
        <v>C</v>
      </c>
      <c r="F193" s="1" t="str">
        <f>IFERROR(__xludf.DUMMYFUNCTION("""COMPUTED_VALUE"""),"Lucknow")</f>
        <v>Lucknow</v>
      </c>
      <c r="G193" s="1">
        <f>IFERROR(__xludf.DUMMYFUNCTION("""COMPUTED_VALUE"""),84.0)</f>
        <v>84</v>
      </c>
      <c r="H193" s="1">
        <f>IFERROR(__xludf.DUMMYFUNCTION("""COMPUTED_VALUE"""),49.0)</f>
        <v>49</v>
      </c>
      <c r="I193" s="1">
        <f>IFERROR(__xludf.DUMMYFUNCTION("""COMPUTED_VALUE"""),60.0)</f>
        <v>60</v>
      </c>
      <c r="J193" s="1">
        <f>IFERROR(__xludf.DUMMYFUNCTION("""COMPUTED_VALUE"""),68.0)</f>
        <v>68</v>
      </c>
      <c r="K193" s="1">
        <f>IFERROR(__xludf.DUMMYFUNCTION("""COMPUTED_VALUE"""),45.0)</f>
        <v>45</v>
      </c>
      <c r="L193" s="1">
        <f>IFERROR(__xludf.DUMMYFUNCTION("""COMPUTED_VALUE"""),306.0)</f>
        <v>306</v>
      </c>
      <c r="M193" s="1">
        <f>IFERROR(__xludf.DUMMYFUNCTION("""COMPUTED_VALUE"""),61.2)</f>
        <v>61.2</v>
      </c>
      <c r="N193" s="1">
        <f>IFERROR(__xludf.DUMMYFUNCTION("""COMPUTED_VALUE"""),77.0)</f>
        <v>77</v>
      </c>
      <c r="O193" s="1" t="str">
        <f>IFERROR(__xludf.DUMMYFUNCTION("""COMPUTED_VALUE"""),"Pass")</f>
        <v>Pass</v>
      </c>
    </row>
    <row r="194" ht="15.75" customHeight="1">
      <c r="A194" s="1" t="str">
        <f>IFERROR(__xludf.DUMMYFUNCTION("""COMPUTED_VALUE"""),"STD-1456")</f>
        <v>STD-1456</v>
      </c>
      <c r="B194" s="1" t="str">
        <f>IFERROR(__xludf.DUMMYFUNCTION("""COMPUTED_VALUE"""),"Karan Gupta")</f>
        <v>Karan Gupta</v>
      </c>
      <c r="C194" s="1" t="str">
        <f>IFERROR(__xludf.DUMMYFUNCTION("""COMPUTED_VALUE"""),"Female")</f>
        <v>Female</v>
      </c>
      <c r="D194" s="1" t="str">
        <f>IFERROR(__xludf.DUMMYFUNCTION("""COMPUTED_VALUE"""),"8")</f>
        <v>8</v>
      </c>
      <c r="E194" s="1" t="str">
        <f>IFERROR(__xludf.DUMMYFUNCTION("""COMPUTED_VALUE"""),"B")</f>
        <v>B</v>
      </c>
      <c r="F194" s="1" t="str">
        <f>IFERROR(__xludf.DUMMYFUNCTION("""COMPUTED_VALUE"""),"Jaipur")</f>
        <v>Jaipur</v>
      </c>
      <c r="G194" s="1">
        <f>IFERROR(__xludf.DUMMYFUNCTION("""COMPUTED_VALUE"""),100.0)</f>
        <v>100</v>
      </c>
      <c r="H194" s="1">
        <f>IFERROR(__xludf.DUMMYFUNCTION("""COMPUTED_VALUE"""),96.0)</f>
        <v>96</v>
      </c>
      <c r="I194" s="1">
        <f>IFERROR(__xludf.DUMMYFUNCTION("""COMPUTED_VALUE"""),63.0)</f>
        <v>63</v>
      </c>
      <c r="J194" s="1">
        <f>IFERROR(__xludf.DUMMYFUNCTION("""COMPUTED_VALUE"""),63.0)</f>
        <v>63</v>
      </c>
      <c r="K194" s="1">
        <f>IFERROR(__xludf.DUMMYFUNCTION("""COMPUTED_VALUE"""),78.0)</f>
        <v>78</v>
      </c>
      <c r="L194" s="1">
        <f>IFERROR(__xludf.DUMMYFUNCTION("""COMPUTED_VALUE"""),400.0)</f>
        <v>400</v>
      </c>
      <c r="M194" s="1">
        <f>IFERROR(__xludf.DUMMYFUNCTION("""COMPUTED_VALUE"""),80.0)</f>
        <v>80</v>
      </c>
      <c r="N194" s="1">
        <f>IFERROR(__xludf.DUMMYFUNCTION("""COMPUTED_VALUE"""),75.0)</f>
        <v>75</v>
      </c>
      <c r="O194" s="1" t="str">
        <f>IFERROR(__xludf.DUMMYFUNCTION("""COMPUTED_VALUE"""),"Pass")</f>
        <v>Pass</v>
      </c>
    </row>
    <row r="195" ht="15.75" customHeight="1">
      <c r="A195" s="1" t="str">
        <f>IFERROR(__xludf.DUMMYFUNCTION("""COMPUTED_VALUE"""),"STD-1459")</f>
        <v>STD-1459</v>
      </c>
      <c r="B195" s="1" t="str">
        <f>IFERROR(__xludf.DUMMYFUNCTION("""COMPUTED_VALUE"""),"Pooja Kulkarni")</f>
        <v>Pooja Kulkarni</v>
      </c>
      <c r="C195" s="1" t="str">
        <f>IFERROR(__xludf.DUMMYFUNCTION("""COMPUTED_VALUE"""),"Female")</f>
        <v>Female</v>
      </c>
      <c r="D195" s="1" t="str">
        <f>IFERROR(__xludf.DUMMYFUNCTION("""COMPUTED_VALUE"""),"6")</f>
        <v>6</v>
      </c>
      <c r="E195" s="1" t="str">
        <f>IFERROR(__xludf.DUMMYFUNCTION("""COMPUTED_VALUE"""),"B")</f>
        <v>B</v>
      </c>
      <c r="F195" s="1" t="str">
        <f>IFERROR(__xludf.DUMMYFUNCTION("""COMPUTED_VALUE"""),"Patna")</f>
        <v>Patna</v>
      </c>
      <c r="G195" s="1">
        <f>IFERROR(__xludf.DUMMYFUNCTION("""COMPUTED_VALUE"""),85.0)</f>
        <v>85</v>
      </c>
      <c r="H195" s="1">
        <f>IFERROR(__xludf.DUMMYFUNCTION("""COMPUTED_VALUE"""),52.0)</f>
        <v>52</v>
      </c>
      <c r="I195" s="1">
        <f>IFERROR(__xludf.DUMMYFUNCTION("""COMPUTED_VALUE"""),48.0)</f>
        <v>48</v>
      </c>
      <c r="J195" s="1">
        <f>IFERROR(__xludf.DUMMYFUNCTION("""COMPUTED_VALUE"""),54.0)</f>
        <v>54</v>
      </c>
      <c r="K195" s="1">
        <f>IFERROR(__xludf.DUMMYFUNCTION("""COMPUTED_VALUE"""),52.0)</f>
        <v>52</v>
      </c>
      <c r="L195" s="1">
        <f>IFERROR(__xludf.DUMMYFUNCTION("""COMPUTED_VALUE"""),291.0)</f>
        <v>291</v>
      </c>
      <c r="M195" s="1">
        <f>IFERROR(__xludf.DUMMYFUNCTION("""COMPUTED_VALUE"""),58.2)</f>
        <v>58.2</v>
      </c>
      <c r="N195" s="1">
        <f>IFERROR(__xludf.DUMMYFUNCTION("""COMPUTED_VALUE"""),66.0)</f>
        <v>66</v>
      </c>
      <c r="O195" s="1" t="str">
        <f>IFERROR(__xludf.DUMMYFUNCTION("""COMPUTED_VALUE"""),"Pass")</f>
        <v>Pass</v>
      </c>
    </row>
    <row r="196" ht="15.75" customHeight="1">
      <c r="A196" s="1" t="str">
        <f>IFERROR(__xludf.DUMMYFUNCTION("""COMPUTED_VALUE"""),"STD-1462")</f>
        <v>STD-1462</v>
      </c>
      <c r="B196" s="1" t="str">
        <f>IFERROR(__xludf.DUMMYFUNCTION("""COMPUTED_VALUE"""),"Kavya Verma")</f>
        <v>Kavya Verma</v>
      </c>
      <c r="C196" s="1" t="str">
        <f>IFERROR(__xludf.DUMMYFUNCTION("""COMPUTED_VALUE"""),"Male")</f>
        <v>Male</v>
      </c>
      <c r="D196" s="1" t="str">
        <f>IFERROR(__xludf.DUMMYFUNCTION("""COMPUTED_VALUE"""),"7")</f>
        <v>7</v>
      </c>
      <c r="E196" s="1" t="str">
        <f>IFERROR(__xludf.DUMMYFUNCTION("""COMPUTED_VALUE"""),"B")</f>
        <v>B</v>
      </c>
      <c r="F196" s="1" t="str">
        <f>IFERROR(__xludf.DUMMYFUNCTION("""COMPUTED_VALUE"""),"Delhi")</f>
        <v>Delhi</v>
      </c>
      <c r="G196" s="1">
        <f>IFERROR(__xludf.DUMMYFUNCTION("""COMPUTED_VALUE"""),81.0)</f>
        <v>81</v>
      </c>
      <c r="H196" s="1">
        <f>IFERROR(__xludf.DUMMYFUNCTION("""COMPUTED_VALUE"""),56.0)</f>
        <v>56</v>
      </c>
      <c r="I196" s="1">
        <f>IFERROR(__xludf.DUMMYFUNCTION("""COMPUTED_VALUE"""),94.0)</f>
        <v>94</v>
      </c>
      <c r="J196" s="1">
        <f>IFERROR(__xludf.DUMMYFUNCTION("""COMPUTED_VALUE"""),88.0)</f>
        <v>88</v>
      </c>
      <c r="K196" s="1">
        <f>IFERROR(__xludf.DUMMYFUNCTION("""COMPUTED_VALUE"""),85.0)</f>
        <v>85</v>
      </c>
      <c r="L196" s="1">
        <f>IFERROR(__xludf.DUMMYFUNCTION("""COMPUTED_VALUE"""),404.0)</f>
        <v>404</v>
      </c>
      <c r="M196" s="1">
        <f>IFERROR(__xludf.DUMMYFUNCTION("""COMPUTED_VALUE"""),80.8)</f>
        <v>80.8</v>
      </c>
      <c r="N196" s="1">
        <f>IFERROR(__xludf.DUMMYFUNCTION("""COMPUTED_VALUE"""),60.0)</f>
        <v>60</v>
      </c>
      <c r="O196" s="1" t="str">
        <f>IFERROR(__xludf.DUMMYFUNCTION("""COMPUTED_VALUE"""),"Pass")</f>
        <v>Pass</v>
      </c>
    </row>
    <row r="197" ht="15.75" customHeight="1">
      <c r="A197" s="1" t="str">
        <f>IFERROR(__xludf.DUMMYFUNCTION("""COMPUTED_VALUE"""),"STD-1470")</f>
        <v>STD-1470</v>
      </c>
      <c r="B197" s="1" t="str">
        <f>IFERROR(__xludf.DUMMYFUNCTION("""COMPUTED_VALUE"""),"Simran Reddy")</f>
        <v>Simran Reddy</v>
      </c>
      <c r="C197" s="1" t="str">
        <f>IFERROR(__xludf.DUMMYFUNCTION("""COMPUTED_VALUE"""),"Male")</f>
        <v>Male</v>
      </c>
      <c r="D197" s="1" t="str">
        <f>IFERROR(__xludf.DUMMYFUNCTION("""COMPUTED_VALUE"""),"6")</f>
        <v>6</v>
      </c>
      <c r="E197" s="1" t="str">
        <f>IFERROR(__xludf.DUMMYFUNCTION("""COMPUTED_VALUE"""),"A")</f>
        <v>A</v>
      </c>
      <c r="F197" s="1" t="str">
        <f>IFERROR(__xludf.DUMMYFUNCTION("""COMPUTED_VALUE"""),"Chandigarh")</f>
        <v>Chandigarh</v>
      </c>
      <c r="G197" s="1">
        <f>IFERROR(__xludf.DUMMYFUNCTION("""COMPUTED_VALUE"""),98.0)</f>
        <v>98</v>
      </c>
      <c r="H197" s="1">
        <f>IFERROR(__xludf.DUMMYFUNCTION("""COMPUTED_VALUE"""),54.0)</f>
        <v>54</v>
      </c>
      <c r="I197" s="1">
        <f>IFERROR(__xludf.DUMMYFUNCTION("""COMPUTED_VALUE"""),41.0)</f>
        <v>41</v>
      </c>
      <c r="J197" s="1">
        <f>IFERROR(__xludf.DUMMYFUNCTION("""COMPUTED_VALUE"""),92.0)</f>
        <v>92</v>
      </c>
      <c r="K197" s="1">
        <f>IFERROR(__xludf.DUMMYFUNCTION("""COMPUTED_VALUE"""),100.0)</f>
        <v>100</v>
      </c>
      <c r="L197" s="1">
        <f>IFERROR(__xludf.DUMMYFUNCTION("""COMPUTED_VALUE"""),385.0)</f>
        <v>385</v>
      </c>
      <c r="M197" s="1">
        <f>IFERROR(__xludf.DUMMYFUNCTION("""COMPUTED_VALUE"""),77.0)</f>
        <v>77</v>
      </c>
      <c r="N197" s="1">
        <f>IFERROR(__xludf.DUMMYFUNCTION("""COMPUTED_VALUE"""),99.0)</f>
        <v>99</v>
      </c>
      <c r="O197" s="1" t="str">
        <f>IFERROR(__xludf.DUMMYFUNCTION("""COMPUTED_VALUE"""),"Pass")</f>
        <v>Pass</v>
      </c>
    </row>
    <row r="198" ht="15.75" customHeight="1">
      <c r="A198" s="1" t="str">
        <f>IFERROR(__xludf.DUMMYFUNCTION("""COMPUTED_VALUE"""),"STD-1475")</f>
        <v>STD-1475</v>
      </c>
      <c r="B198" s="1" t="str">
        <f>IFERROR(__xludf.DUMMYFUNCTION("""COMPUTED_VALUE"""),"Ritika Yadav")</f>
        <v>Ritika Yadav</v>
      </c>
      <c r="C198" s="1" t="str">
        <f>IFERROR(__xludf.DUMMYFUNCTION("""COMPUTED_VALUE"""),"Male")</f>
        <v>Male</v>
      </c>
      <c r="D198" s="1" t="str">
        <f>IFERROR(__xludf.DUMMYFUNCTION("""COMPUTED_VALUE"""),"6")</f>
        <v>6</v>
      </c>
      <c r="E198" s="1" t="str">
        <f>IFERROR(__xludf.DUMMYFUNCTION("""COMPUTED_VALUE"""),"B")</f>
        <v>B</v>
      </c>
      <c r="F198" s="1" t="str">
        <f>IFERROR(__xludf.DUMMYFUNCTION("""COMPUTED_VALUE"""),"Jaipur")</f>
        <v>Jaipur</v>
      </c>
      <c r="G198" s="1">
        <f>IFERROR(__xludf.DUMMYFUNCTION("""COMPUTED_VALUE"""),79.0)</f>
        <v>79</v>
      </c>
      <c r="H198" s="1">
        <f>IFERROR(__xludf.DUMMYFUNCTION("""COMPUTED_VALUE"""),100.0)</f>
        <v>100</v>
      </c>
      <c r="I198" s="1">
        <f>IFERROR(__xludf.DUMMYFUNCTION("""COMPUTED_VALUE"""),90.0)</f>
        <v>90</v>
      </c>
      <c r="J198" s="1">
        <f>IFERROR(__xludf.DUMMYFUNCTION("""COMPUTED_VALUE"""),69.0)</f>
        <v>69</v>
      </c>
      <c r="K198" s="1">
        <f>IFERROR(__xludf.DUMMYFUNCTION("""COMPUTED_VALUE"""),85.0)</f>
        <v>85</v>
      </c>
      <c r="L198" s="1">
        <f>IFERROR(__xludf.DUMMYFUNCTION("""COMPUTED_VALUE"""),423.0)</f>
        <v>423</v>
      </c>
      <c r="M198" s="1">
        <f>IFERROR(__xludf.DUMMYFUNCTION("""COMPUTED_VALUE"""),84.6)</f>
        <v>84.6</v>
      </c>
      <c r="N198" s="1">
        <f>IFERROR(__xludf.DUMMYFUNCTION("""COMPUTED_VALUE"""),76.0)</f>
        <v>76</v>
      </c>
      <c r="O198" s="1" t="str">
        <f>IFERROR(__xludf.DUMMYFUNCTION("""COMPUTED_VALUE"""),"Pass")</f>
        <v>Pass</v>
      </c>
    </row>
    <row r="199" ht="15.75" customHeight="1">
      <c r="A199" s="1" t="str">
        <f>IFERROR(__xludf.DUMMYFUNCTION("""COMPUTED_VALUE"""),"STD-1476")</f>
        <v>STD-1476</v>
      </c>
      <c r="B199" s="1" t="str">
        <f>IFERROR(__xludf.DUMMYFUNCTION("""COMPUTED_VALUE"""),"Kavya Singh")</f>
        <v>Kavya Singh</v>
      </c>
      <c r="C199" s="1" t="str">
        <f>IFERROR(__xludf.DUMMYFUNCTION("""COMPUTED_VALUE"""),"Female")</f>
        <v>Female</v>
      </c>
      <c r="D199" s="1" t="str">
        <f>IFERROR(__xludf.DUMMYFUNCTION("""COMPUTED_VALUE"""),"9")</f>
        <v>9</v>
      </c>
      <c r="E199" s="1" t="str">
        <f>IFERROR(__xludf.DUMMYFUNCTION("""COMPUTED_VALUE"""),"B")</f>
        <v>B</v>
      </c>
      <c r="F199" s="1" t="str">
        <f>IFERROR(__xludf.DUMMYFUNCTION("""COMPUTED_VALUE"""),"Delhi")</f>
        <v>Delhi</v>
      </c>
      <c r="G199" s="1">
        <f>IFERROR(__xludf.DUMMYFUNCTION("""COMPUTED_VALUE"""),100.0)</f>
        <v>100</v>
      </c>
      <c r="H199" s="1">
        <f>IFERROR(__xludf.DUMMYFUNCTION("""COMPUTED_VALUE"""),51.0)</f>
        <v>51</v>
      </c>
      <c r="I199" s="1">
        <f>IFERROR(__xludf.DUMMYFUNCTION("""COMPUTED_VALUE"""),41.0)</f>
        <v>41</v>
      </c>
      <c r="J199" s="1">
        <f>IFERROR(__xludf.DUMMYFUNCTION("""COMPUTED_VALUE"""),78.0)</f>
        <v>78</v>
      </c>
      <c r="K199" s="1">
        <f>IFERROR(__xludf.DUMMYFUNCTION("""COMPUTED_VALUE"""),81.0)</f>
        <v>81</v>
      </c>
      <c r="L199" s="1">
        <f>IFERROR(__xludf.DUMMYFUNCTION("""COMPUTED_VALUE"""),351.0)</f>
        <v>351</v>
      </c>
      <c r="M199" s="1">
        <f>IFERROR(__xludf.DUMMYFUNCTION("""COMPUTED_VALUE"""),70.2)</f>
        <v>70.2</v>
      </c>
      <c r="N199" s="1">
        <f>IFERROR(__xludf.DUMMYFUNCTION("""COMPUTED_VALUE"""),72.0)</f>
        <v>72</v>
      </c>
      <c r="O199" s="1" t="str">
        <f>IFERROR(__xludf.DUMMYFUNCTION("""COMPUTED_VALUE"""),"Pass")</f>
        <v>Pass</v>
      </c>
    </row>
    <row r="200" ht="15.75" customHeight="1">
      <c r="A200" s="1" t="str">
        <f>IFERROR(__xludf.DUMMYFUNCTION("""COMPUTED_VALUE"""),"STD-1479")</f>
        <v>STD-1479</v>
      </c>
      <c r="B200" s="1" t="str">
        <f>IFERROR(__xludf.DUMMYFUNCTION("""COMPUTED_VALUE"""),"Arjun Gupta")</f>
        <v>Arjun Gupta</v>
      </c>
      <c r="C200" s="1" t="str">
        <f>IFERROR(__xludf.DUMMYFUNCTION("""COMPUTED_VALUE"""),"Female")</f>
        <v>Female</v>
      </c>
      <c r="D200" s="1" t="str">
        <f>IFERROR(__xludf.DUMMYFUNCTION("""COMPUTED_VALUE"""),"7")</f>
        <v>7</v>
      </c>
      <c r="E200" s="1" t="str">
        <f>IFERROR(__xludf.DUMMYFUNCTION("""COMPUTED_VALUE"""),"B")</f>
        <v>B</v>
      </c>
      <c r="F200" s="1" t="str">
        <f>IFERROR(__xludf.DUMMYFUNCTION("""COMPUTED_VALUE"""),"Kolkata")</f>
        <v>Kolkata</v>
      </c>
      <c r="G200" s="1">
        <f>IFERROR(__xludf.DUMMYFUNCTION("""COMPUTED_VALUE"""),95.0)</f>
        <v>95</v>
      </c>
      <c r="H200" s="1">
        <f>IFERROR(__xludf.DUMMYFUNCTION("""COMPUTED_VALUE"""),72.0)</f>
        <v>72</v>
      </c>
      <c r="I200" s="1">
        <f>IFERROR(__xludf.DUMMYFUNCTION("""COMPUTED_VALUE"""),59.0)</f>
        <v>59</v>
      </c>
      <c r="J200" s="1">
        <f>IFERROR(__xludf.DUMMYFUNCTION("""COMPUTED_VALUE"""),50.0)</f>
        <v>50</v>
      </c>
      <c r="K200" s="1">
        <f>IFERROR(__xludf.DUMMYFUNCTION("""COMPUTED_VALUE"""),94.0)</f>
        <v>94</v>
      </c>
      <c r="L200" s="1">
        <f>IFERROR(__xludf.DUMMYFUNCTION("""COMPUTED_VALUE"""),370.0)</f>
        <v>370</v>
      </c>
      <c r="M200" s="1">
        <f>IFERROR(__xludf.DUMMYFUNCTION("""COMPUTED_VALUE"""),74.0)</f>
        <v>74</v>
      </c>
      <c r="N200" s="1">
        <f>IFERROR(__xludf.DUMMYFUNCTION("""COMPUTED_VALUE"""),87.0)</f>
        <v>87</v>
      </c>
      <c r="O200" s="1" t="str">
        <f>IFERROR(__xludf.DUMMYFUNCTION("""COMPUTED_VALUE"""),"Pass")</f>
        <v>Pass</v>
      </c>
    </row>
    <row r="201" ht="15.75" customHeight="1">
      <c r="A201" s="1" t="str">
        <f>IFERROR(__xludf.DUMMYFUNCTION("""COMPUTED_VALUE"""),"STD-1481")</f>
        <v>STD-1481</v>
      </c>
      <c r="B201" s="1" t="str">
        <f>IFERROR(__xludf.DUMMYFUNCTION("""COMPUTED_VALUE"""),"Ritika Jain")</f>
        <v>Ritika Jain</v>
      </c>
      <c r="C201" s="1" t="str">
        <f>IFERROR(__xludf.DUMMYFUNCTION("""COMPUTED_VALUE"""),"Female")</f>
        <v>Female</v>
      </c>
      <c r="D201" s="1" t="str">
        <f>IFERROR(__xludf.DUMMYFUNCTION("""COMPUTED_VALUE"""),"6")</f>
        <v>6</v>
      </c>
      <c r="E201" s="1" t="str">
        <f>IFERROR(__xludf.DUMMYFUNCTION("""COMPUTED_VALUE"""),"A")</f>
        <v>A</v>
      </c>
      <c r="F201" s="1" t="str">
        <f>IFERROR(__xludf.DUMMYFUNCTION("""COMPUTED_VALUE"""),"Chandigarh")</f>
        <v>Chandigarh</v>
      </c>
      <c r="G201" s="1">
        <f>IFERROR(__xludf.DUMMYFUNCTION("""COMPUTED_VALUE"""),84.0)</f>
        <v>84</v>
      </c>
      <c r="H201" s="1">
        <f>IFERROR(__xludf.DUMMYFUNCTION("""COMPUTED_VALUE"""),87.0)</f>
        <v>87</v>
      </c>
      <c r="I201" s="1">
        <f>IFERROR(__xludf.DUMMYFUNCTION("""COMPUTED_VALUE"""),71.0)</f>
        <v>71</v>
      </c>
      <c r="J201" s="1">
        <f>IFERROR(__xludf.DUMMYFUNCTION("""COMPUTED_VALUE"""),73.0)</f>
        <v>73</v>
      </c>
      <c r="K201" s="1">
        <f>IFERROR(__xludf.DUMMYFUNCTION("""COMPUTED_VALUE"""),86.0)</f>
        <v>86</v>
      </c>
      <c r="L201" s="1">
        <f>IFERROR(__xludf.DUMMYFUNCTION("""COMPUTED_VALUE"""),401.0)</f>
        <v>401</v>
      </c>
      <c r="M201" s="1">
        <f>IFERROR(__xludf.DUMMYFUNCTION("""COMPUTED_VALUE"""),80.2)</f>
        <v>80.2</v>
      </c>
      <c r="N201" s="1">
        <f>IFERROR(__xludf.DUMMYFUNCTION("""COMPUTED_VALUE"""),86.0)</f>
        <v>86</v>
      </c>
      <c r="O201" s="1" t="str">
        <f>IFERROR(__xludf.DUMMYFUNCTION("""COMPUTED_VALUE"""),"Pass")</f>
        <v>Pass</v>
      </c>
    </row>
    <row r="202" ht="15.75" customHeight="1">
      <c r="A202" s="1" t="str">
        <f>IFERROR(__xludf.DUMMYFUNCTION("""COMPUTED_VALUE"""),"STD-1483")</f>
        <v>STD-1483</v>
      </c>
      <c r="B202" s="1" t="str">
        <f>IFERROR(__xludf.DUMMYFUNCTION("""COMPUTED_VALUE"""),"Pooja Yadav")</f>
        <v>Pooja Yadav</v>
      </c>
      <c r="C202" s="1" t="str">
        <f>IFERROR(__xludf.DUMMYFUNCTION("""COMPUTED_VALUE"""),"Male")</f>
        <v>Male</v>
      </c>
      <c r="D202" s="1" t="str">
        <f>IFERROR(__xludf.DUMMYFUNCTION("""COMPUTED_VALUE"""),"6")</f>
        <v>6</v>
      </c>
      <c r="E202" s="1" t="str">
        <f>IFERROR(__xludf.DUMMYFUNCTION("""COMPUTED_VALUE"""),"A")</f>
        <v>A</v>
      </c>
      <c r="F202" s="1" t="str">
        <f>IFERROR(__xludf.DUMMYFUNCTION("""COMPUTED_VALUE"""),"Mumbai")</f>
        <v>Mumbai</v>
      </c>
      <c r="G202" s="1">
        <f>IFERROR(__xludf.DUMMYFUNCTION("""COMPUTED_VALUE"""),84.0)</f>
        <v>84</v>
      </c>
      <c r="H202" s="1">
        <f>IFERROR(__xludf.DUMMYFUNCTION("""COMPUTED_VALUE"""),71.0)</f>
        <v>71</v>
      </c>
      <c r="I202" s="1">
        <f>IFERROR(__xludf.DUMMYFUNCTION("""COMPUTED_VALUE"""),99.0)</f>
        <v>99</v>
      </c>
      <c r="J202" s="1">
        <f>IFERROR(__xludf.DUMMYFUNCTION("""COMPUTED_VALUE"""),57.0)</f>
        <v>57</v>
      </c>
      <c r="K202" s="1">
        <f>IFERROR(__xludf.DUMMYFUNCTION("""COMPUTED_VALUE"""),92.0)</f>
        <v>92</v>
      </c>
      <c r="L202" s="1">
        <f>IFERROR(__xludf.DUMMYFUNCTION("""COMPUTED_VALUE"""),403.0)</f>
        <v>403</v>
      </c>
      <c r="M202" s="1">
        <f>IFERROR(__xludf.DUMMYFUNCTION("""COMPUTED_VALUE"""),80.6)</f>
        <v>80.6</v>
      </c>
      <c r="N202" s="1">
        <f>IFERROR(__xludf.DUMMYFUNCTION("""COMPUTED_VALUE"""),64.0)</f>
        <v>64</v>
      </c>
      <c r="O202" s="1" t="str">
        <f>IFERROR(__xludf.DUMMYFUNCTION("""COMPUTED_VALUE"""),"Pass")</f>
        <v>Pass</v>
      </c>
    </row>
    <row r="203" ht="15.75" customHeight="1">
      <c r="A203" s="1" t="str">
        <f>IFERROR(__xludf.DUMMYFUNCTION("""COMPUTED_VALUE"""),"STD-1486")</f>
        <v>STD-1486</v>
      </c>
      <c r="B203" s="1" t="str">
        <f>IFERROR(__xludf.DUMMYFUNCTION("""COMPUTED_VALUE"""),"Ritika Choudhary")</f>
        <v>Ritika Choudhary</v>
      </c>
      <c r="C203" s="1" t="str">
        <f>IFERROR(__xludf.DUMMYFUNCTION("""COMPUTED_VALUE"""),"Male")</f>
        <v>Male</v>
      </c>
      <c r="D203" s="1" t="str">
        <f>IFERROR(__xludf.DUMMYFUNCTION("""COMPUTED_VALUE"""),"9")</f>
        <v>9</v>
      </c>
      <c r="E203" s="1" t="str">
        <f>IFERROR(__xludf.DUMMYFUNCTION("""COMPUTED_VALUE"""),"A")</f>
        <v>A</v>
      </c>
      <c r="F203" s="1" t="str">
        <f>IFERROR(__xludf.DUMMYFUNCTION("""COMPUTED_VALUE"""),"Mumbai")</f>
        <v>Mumbai</v>
      </c>
      <c r="G203" s="1">
        <f>IFERROR(__xludf.DUMMYFUNCTION("""COMPUTED_VALUE"""),98.0)</f>
        <v>98</v>
      </c>
      <c r="H203" s="1">
        <f>IFERROR(__xludf.DUMMYFUNCTION("""COMPUTED_VALUE"""),88.0)</f>
        <v>88</v>
      </c>
      <c r="I203" s="1">
        <f>IFERROR(__xludf.DUMMYFUNCTION("""COMPUTED_VALUE"""),63.0)</f>
        <v>63</v>
      </c>
      <c r="J203" s="1">
        <f>IFERROR(__xludf.DUMMYFUNCTION("""COMPUTED_VALUE"""),64.0)</f>
        <v>64</v>
      </c>
      <c r="K203" s="1">
        <f>IFERROR(__xludf.DUMMYFUNCTION("""COMPUTED_VALUE"""),49.0)</f>
        <v>49</v>
      </c>
      <c r="L203" s="1">
        <f>IFERROR(__xludf.DUMMYFUNCTION("""COMPUTED_VALUE"""),362.0)</f>
        <v>362</v>
      </c>
      <c r="M203" s="1">
        <f>IFERROR(__xludf.DUMMYFUNCTION("""COMPUTED_VALUE"""),72.4)</f>
        <v>72.4</v>
      </c>
      <c r="N203" s="1">
        <f>IFERROR(__xludf.DUMMYFUNCTION("""COMPUTED_VALUE"""),92.0)</f>
        <v>92</v>
      </c>
      <c r="O203" s="1" t="str">
        <f>IFERROR(__xludf.DUMMYFUNCTION("""COMPUTED_VALUE"""),"Pass")</f>
        <v>Pass</v>
      </c>
    </row>
    <row r="204" ht="15.75" customHeight="1">
      <c r="A204" s="1" t="str">
        <f>IFERROR(__xludf.DUMMYFUNCTION("""COMPUTED_VALUE"""),"STD-1489")</f>
        <v>STD-1489</v>
      </c>
      <c r="B204" s="1" t="str">
        <f>IFERROR(__xludf.DUMMYFUNCTION("""COMPUTED_VALUE"""),"Sneha Kaur")</f>
        <v>Sneha Kaur</v>
      </c>
      <c r="C204" s="1" t="str">
        <f>IFERROR(__xludf.DUMMYFUNCTION("""COMPUTED_VALUE"""),"Female")</f>
        <v>Female</v>
      </c>
      <c r="D204" s="1" t="str">
        <f>IFERROR(__xludf.DUMMYFUNCTION("""COMPUTED_VALUE"""),"10")</f>
        <v>10</v>
      </c>
      <c r="E204" s="1" t="str">
        <f>IFERROR(__xludf.DUMMYFUNCTION("""COMPUTED_VALUE"""),"B")</f>
        <v>B</v>
      </c>
      <c r="F204" s="1" t="str">
        <f>IFERROR(__xludf.DUMMYFUNCTION("""COMPUTED_VALUE"""),"Mumbai")</f>
        <v>Mumbai</v>
      </c>
      <c r="G204" s="1">
        <f>IFERROR(__xludf.DUMMYFUNCTION("""COMPUTED_VALUE"""),92.0)</f>
        <v>92</v>
      </c>
      <c r="H204" s="1">
        <f>IFERROR(__xludf.DUMMYFUNCTION("""COMPUTED_VALUE"""),73.0)</f>
        <v>73</v>
      </c>
      <c r="I204" s="1">
        <f>IFERROR(__xludf.DUMMYFUNCTION("""COMPUTED_VALUE"""),82.0)</f>
        <v>82</v>
      </c>
      <c r="J204" s="1">
        <f>IFERROR(__xludf.DUMMYFUNCTION("""COMPUTED_VALUE"""),45.0)</f>
        <v>45</v>
      </c>
      <c r="K204" s="1">
        <f>IFERROR(__xludf.DUMMYFUNCTION("""COMPUTED_VALUE"""),69.0)</f>
        <v>69</v>
      </c>
      <c r="L204" s="1">
        <f>IFERROR(__xludf.DUMMYFUNCTION("""COMPUTED_VALUE"""),361.0)</f>
        <v>361</v>
      </c>
      <c r="M204" s="1">
        <f>IFERROR(__xludf.DUMMYFUNCTION("""COMPUTED_VALUE"""),72.2)</f>
        <v>72.2</v>
      </c>
      <c r="N204" s="1">
        <f>IFERROR(__xludf.DUMMYFUNCTION("""COMPUTED_VALUE"""),62.0)</f>
        <v>62</v>
      </c>
      <c r="O204" s="1" t="str">
        <f>IFERROR(__xludf.DUMMYFUNCTION("""COMPUTED_VALUE"""),"Pass")</f>
        <v>Pass</v>
      </c>
    </row>
    <row r="205" ht="15.75" customHeight="1">
      <c r="A205" s="1" t="str">
        <f>IFERROR(__xludf.DUMMYFUNCTION("""COMPUTED_VALUE"""),"STD-1491")</f>
        <v>STD-1491</v>
      </c>
      <c r="B205" s="1" t="str">
        <f>IFERROR(__xludf.DUMMYFUNCTION("""COMPUTED_VALUE"""),"Tanvi Choudhary")</f>
        <v>Tanvi Choudhary</v>
      </c>
      <c r="C205" s="1" t="str">
        <f>IFERROR(__xludf.DUMMYFUNCTION("""COMPUTED_VALUE"""),"Female")</f>
        <v>Female</v>
      </c>
      <c r="D205" s="1" t="str">
        <f>IFERROR(__xludf.DUMMYFUNCTION("""COMPUTED_VALUE"""),"10")</f>
        <v>10</v>
      </c>
      <c r="E205" s="1" t="str">
        <f>IFERROR(__xludf.DUMMYFUNCTION("""COMPUTED_VALUE"""),"B")</f>
        <v>B</v>
      </c>
      <c r="F205" s="1" t="str">
        <f>IFERROR(__xludf.DUMMYFUNCTION("""COMPUTED_VALUE"""),"Delhi")</f>
        <v>Delhi</v>
      </c>
      <c r="G205" s="1">
        <f>IFERROR(__xludf.DUMMYFUNCTION("""COMPUTED_VALUE"""),86.0)</f>
        <v>86</v>
      </c>
      <c r="H205" s="1">
        <f>IFERROR(__xludf.DUMMYFUNCTION("""COMPUTED_VALUE"""),44.0)</f>
        <v>44</v>
      </c>
      <c r="I205" s="1">
        <f>IFERROR(__xludf.DUMMYFUNCTION("""COMPUTED_VALUE"""),72.0)</f>
        <v>72</v>
      </c>
      <c r="J205" s="1">
        <f>IFERROR(__xludf.DUMMYFUNCTION("""COMPUTED_VALUE"""),69.0)</f>
        <v>69</v>
      </c>
      <c r="K205" s="1">
        <f>IFERROR(__xludf.DUMMYFUNCTION("""COMPUTED_VALUE"""),93.0)</f>
        <v>93</v>
      </c>
      <c r="L205" s="1">
        <f>IFERROR(__xludf.DUMMYFUNCTION("""COMPUTED_VALUE"""),364.0)</f>
        <v>364</v>
      </c>
      <c r="M205" s="1">
        <f>IFERROR(__xludf.DUMMYFUNCTION("""COMPUTED_VALUE"""),72.8)</f>
        <v>72.8</v>
      </c>
      <c r="N205" s="1">
        <f>IFERROR(__xludf.DUMMYFUNCTION("""COMPUTED_VALUE"""),68.0)</f>
        <v>68</v>
      </c>
      <c r="O205" s="1" t="str">
        <f>IFERROR(__xludf.DUMMYFUNCTION("""COMPUTED_VALUE"""),"Pass")</f>
        <v>Pass</v>
      </c>
    </row>
    <row r="206" ht="15.75" customHeight="1">
      <c r="A206" s="1" t="str">
        <f>IFERROR(__xludf.DUMMYFUNCTION("""COMPUTED_VALUE"""),"STD-1492")</f>
        <v>STD-1492</v>
      </c>
      <c r="B206" s="1" t="str">
        <f>IFERROR(__xludf.DUMMYFUNCTION("""COMPUTED_VALUE"""),"Aditya Banerjee")</f>
        <v>Aditya Banerjee</v>
      </c>
      <c r="C206" s="1" t="str">
        <f>IFERROR(__xludf.DUMMYFUNCTION("""COMPUTED_VALUE"""),"Male")</f>
        <v>Male</v>
      </c>
      <c r="D206" s="1" t="str">
        <f>IFERROR(__xludf.DUMMYFUNCTION("""COMPUTED_VALUE"""),"7")</f>
        <v>7</v>
      </c>
      <c r="E206" s="1" t="str">
        <f>IFERROR(__xludf.DUMMYFUNCTION("""COMPUTED_VALUE"""),"A")</f>
        <v>A</v>
      </c>
      <c r="F206" s="1" t="str">
        <f>IFERROR(__xludf.DUMMYFUNCTION("""COMPUTED_VALUE"""),"Jaipur")</f>
        <v>Jaipur</v>
      </c>
      <c r="G206" s="1">
        <f>IFERROR(__xludf.DUMMYFUNCTION("""COMPUTED_VALUE"""),81.0)</f>
        <v>81</v>
      </c>
      <c r="H206" s="1">
        <f>IFERROR(__xludf.DUMMYFUNCTION("""COMPUTED_VALUE"""),54.0)</f>
        <v>54</v>
      </c>
      <c r="I206" s="1">
        <f>IFERROR(__xludf.DUMMYFUNCTION("""COMPUTED_VALUE"""),68.0)</f>
        <v>68</v>
      </c>
      <c r="J206" s="1">
        <f>IFERROR(__xludf.DUMMYFUNCTION("""COMPUTED_VALUE"""),86.0)</f>
        <v>86</v>
      </c>
      <c r="K206" s="1">
        <f>IFERROR(__xludf.DUMMYFUNCTION("""COMPUTED_VALUE"""),88.0)</f>
        <v>88</v>
      </c>
      <c r="L206" s="1">
        <f>IFERROR(__xludf.DUMMYFUNCTION("""COMPUTED_VALUE"""),377.0)</f>
        <v>377</v>
      </c>
      <c r="M206" s="1">
        <f>IFERROR(__xludf.DUMMYFUNCTION("""COMPUTED_VALUE"""),75.4)</f>
        <v>75.4</v>
      </c>
      <c r="N206" s="1">
        <f>IFERROR(__xludf.DUMMYFUNCTION("""COMPUTED_VALUE"""),66.0)</f>
        <v>66</v>
      </c>
      <c r="O206" s="1" t="str">
        <f>IFERROR(__xludf.DUMMYFUNCTION("""COMPUTED_VALUE"""),"Pass")</f>
        <v>Pass</v>
      </c>
    </row>
    <row r="207" ht="15.75" customHeight="1">
      <c r="A207" s="1" t="str">
        <f>IFERROR(__xludf.DUMMYFUNCTION("""COMPUTED_VALUE"""),"STD-1495")</f>
        <v>STD-1495</v>
      </c>
      <c r="B207" s="1" t="str">
        <f>IFERROR(__xludf.DUMMYFUNCTION("""COMPUTED_VALUE"""),"Sneha Yadav")</f>
        <v>Sneha Yadav</v>
      </c>
      <c r="C207" s="1" t="str">
        <f>IFERROR(__xludf.DUMMYFUNCTION("""COMPUTED_VALUE"""),"Male")</f>
        <v>Male</v>
      </c>
      <c r="D207" s="1" t="str">
        <f>IFERROR(__xludf.DUMMYFUNCTION("""COMPUTED_VALUE"""),"9")</f>
        <v>9</v>
      </c>
      <c r="E207" s="1" t="str">
        <f>IFERROR(__xludf.DUMMYFUNCTION("""COMPUTED_VALUE"""),"B")</f>
        <v>B</v>
      </c>
      <c r="F207" s="1" t="str">
        <f>IFERROR(__xludf.DUMMYFUNCTION("""COMPUTED_VALUE"""),"Jaipur")</f>
        <v>Jaipur</v>
      </c>
      <c r="G207" s="1">
        <f>IFERROR(__xludf.DUMMYFUNCTION("""COMPUTED_VALUE"""),92.0)</f>
        <v>92</v>
      </c>
      <c r="H207" s="1">
        <f>IFERROR(__xludf.DUMMYFUNCTION("""COMPUTED_VALUE"""),80.0)</f>
        <v>80</v>
      </c>
      <c r="I207" s="1">
        <f>IFERROR(__xludf.DUMMYFUNCTION("""COMPUTED_VALUE"""),71.0)</f>
        <v>71</v>
      </c>
      <c r="J207" s="1">
        <f>IFERROR(__xludf.DUMMYFUNCTION("""COMPUTED_VALUE"""),85.0)</f>
        <v>85</v>
      </c>
      <c r="K207" s="1">
        <f>IFERROR(__xludf.DUMMYFUNCTION("""COMPUTED_VALUE"""),46.0)</f>
        <v>46</v>
      </c>
      <c r="L207" s="1">
        <f>IFERROR(__xludf.DUMMYFUNCTION("""COMPUTED_VALUE"""),374.0)</f>
        <v>374</v>
      </c>
      <c r="M207" s="1">
        <f>IFERROR(__xludf.DUMMYFUNCTION("""COMPUTED_VALUE"""),74.8)</f>
        <v>74.8</v>
      </c>
      <c r="N207" s="1">
        <f>IFERROR(__xludf.DUMMYFUNCTION("""COMPUTED_VALUE"""),98.0)</f>
        <v>98</v>
      </c>
      <c r="O207" s="1" t="str">
        <f>IFERROR(__xludf.DUMMYFUNCTION("""COMPUTED_VALUE"""),"Pass")</f>
        <v>Pass</v>
      </c>
    </row>
    <row r="208" ht="15.75" customHeight="1">
      <c r="A208" s="1" t="str">
        <f>IFERROR(__xludf.DUMMYFUNCTION("""COMPUTED_VALUE"""),"STD-1497")</f>
        <v>STD-1497</v>
      </c>
      <c r="B208" s="1" t="str">
        <f>IFERROR(__xludf.DUMMYFUNCTION("""COMPUTED_VALUE"""),"Rohan Iyer")</f>
        <v>Rohan Iyer</v>
      </c>
      <c r="C208" s="1" t="str">
        <f>IFERROR(__xludf.DUMMYFUNCTION("""COMPUTED_VALUE"""),"Male")</f>
        <v>Male</v>
      </c>
      <c r="D208" s="1" t="str">
        <f>IFERROR(__xludf.DUMMYFUNCTION("""COMPUTED_VALUE"""),"6")</f>
        <v>6</v>
      </c>
      <c r="E208" s="1" t="str">
        <f>IFERROR(__xludf.DUMMYFUNCTION("""COMPUTED_VALUE"""),"B")</f>
        <v>B</v>
      </c>
      <c r="F208" s="1" t="str">
        <f>IFERROR(__xludf.DUMMYFUNCTION("""COMPUTED_VALUE"""),"Kolkata")</f>
        <v>Kolkata</v>
      </c>
      <c r="G208" s="1">
        <f>IFERROR(__xludf.DUMMYFUNCTION("""COMPUTED_VALUE"""),85.0)</f>
        <v>85</v>
      </c>
      <c r="H208" s="1">
        <f>IFERROR(__xludf.DUMMYFUNCTION("""COMPUTED_VALUE"""),98.0)</f>
        <v>98</v>
      </c>
      <c r="I208" s="1">
        <f>IFERROR(__xludf.DUMMYFUNCTION("""COMPUTED_VALUE"""),49.0)</f>
        <v>49</v>
      </c>
      <c r="J208" s="1">
        <f>IFERROR(__xludf.DUMMYFUNCTION("""COMPUTED_VALUE"""),86.0)</f>
        <v>86</v>
      </c>
      <c r="K208" s="1">
        <f>IFERROR(__xludf.DUMMYFUNCTION("""COMPUTED_VALUE"""),48.0)</f>
        <v>48</v>
      </c>
      <c r="L208" s="1">
        <f>IFERROR(__xludf.DUMMYFUNCTION("""COMPUTED_VALUE"""),366.0)</f>
        <v>366</v>
      </c>
      <c r="M208" s="1">
        <f>IFERROR(__xludf.DUMMYFUNCTION("""COMPUTED_VALUE"""),73.2)</f>
        <v>73.2</v>
      </c>
      <c r="N208" s="1">
        <f>IFERROR(__xludf.DUMMYFUNCTION("""COMPUTED_VALUE"""),79.0)</f>
        <v>79</v>
      </c>
      <c r="O208" s="1" t="str">
        <f>IFERROR(__xludf.DUMMYFUNCTION("""COMPUTED_VALUE"""),"Pass")</f>
        <v>Pass</v>
      </c>
    </row>
    <row r="209" ht="15.75" customHeight="1">
      <c r="A209" s="1" t="str">
        <f>IFERROR(__xludf.DUMMYFUNCTION("""COMPUTED_VALUE"""),"STD-1498")</f>
        <v>STD-1498</v>
      </c>
      <c r="B209" s="1" t="str">
        <f>IFERROR(__xludf.DUMMYFUNCTION("""COMPUTED_VALUE"""),"Meera Iyer")</f>
        <v>Meera Iyer</v>
      </c>
      <c r="C209" s="1" t="str">
        <f>IFERROR(__xludf.DUMMYFUNCTION("""COMPUTED_VALUE"""),"Male")</f>
        <v>Male</v>
      </c>
      <c r="D209" s="1" t="str">
        <f>IFERROR(__xludf.DUMMYFUNCTION("""COMPUTED_VALUE"""),"9")</f>
        <v>9</v>
      </c>
      <c r="E209" s="1" t="str">
        <f>IFERROR(__xludf.DUMMYFUNCTION("""COMPUTED_VALUE"""),"A")</f>
        <v>A</v>
      </c>
      <c r="F209" s="1" t="str">
        <f>IFERROR(__xludf.DUMMYFUNCTION("""COMPUTED_VALUE"""),"Lucknow")</f>
        <v>Lucknow</v>
      </c>
      <c r="G209" s="1">
        <f>IFERROR(__xludf.DUMMYFUNCTION("""COMPUTED_VALUE"""),98.0)</f>
        <v>98</v>
      </c>
      <c r="H209" s="1">
        <f>IFERROR(__xludf.DUMMYFUNCTION("""COMPUTED_VALUE"""),83.0)</f>
        <v>83</v>
      </c>
      <c r="I209" s="1">
        <f>IFERROR(__xludf.DUMMYFUNCTION("""COMPUTED_VALUE"""),64.0)</f>
        <v>64</v>
      </c>
      <c r="J209" s="1">
        <f>IFERROR(__xludf.DUMMYFUNCTION("""COMPUTED_VALUE"""),96.0)</f>
        <v>96</v>
      </c>
      <c r="K209" s="1">
        <f>IFERROR(__xludf.DUMMYFUNCTION("""COMPUTED_VALUE"""),61.0)</f>
        <v>61</v>
      </c>
      <c r="L209" s="1">
        <f>IFERROR(__xludf.DUMMYFUNCTION("""COMPUTED_VALUE"""),402.0)</f>
        <v>402</v>
      </c>
      <c r="M209" s="1">
        <f>IFERROR(__xludf.DUMMYFUNCTION("""COMPUTED_VALUE"""),80.4)</f>
        <v>80.4</v>
      </c>
      <c r="N209" s="1">
        <f>IFERROR(__xludf.DUMMYFUNCTION("""COMPUTED_VALUE"""),74.0)</f>
        <v>74</v>
      </c>
      <c r="O209" s="1" t="str">
        <f>IFERROR(__xludf.DUMMYFUNCTION("""COMPUTED_VALUE"""),"Pass")</f>
        <v>Pass</v>
      </c>
    </row>
    <row r="210" ht="15.75" customHeight="1">
      <c r="A210" s="1" t="str">
        <f>IFERROR(__xludf.DUMMYFUNCTION("""COMPUTED_VALUE"""),"STD-1499")</f>
        <v>STD-1499</v>
      </c>
      <c r="B210" s="1" t="str">
        <f>IFERROR(__xludf.DUMMYFUNCTION("""COMPUTED_VALUE"""),"Kavya Iyer")</f>
        <v>Kavya Iyer</v>
      </c>
      <c r="C210" s="1" t="str">
        <f>IFERROR(__xludf.DUMMYFUNCTION("""COMPUTED_VALUE"""),"Female")</f>
        <v>Female</v>
      </c>
      <c r="D210" s="1" t="str">
        <f>IFERROR(__xludf.DUMMYFUNCTION("""COMPUTED_VALUE"""),"10")</f>
        <v>10</v>
      </c>
      <c r="E210" s="1" t="str">
        <f>IFERROR(__xludf.DUMMYFUNCTION("""COMPUTED_VALUE"""),"A")</f>
        <v>A</v>
      </c>
      <c r="F210" s="1" t="str">
        <f>IFERROR(__xludf.DUMMYFUNCTION("""COMPUTED_VALUE"""),"Kolkata")</f>
        <v>Kolkata</v>
      </c>
      <c r="G210" s="1">
        <f>IFERROR(__xludf.DUMMYFUNCTION("""COMPUTED_VALUE"""),84.0)</f>
        <v>84</v>
      </c>
      <c r="H210" s="1">
        <f>IFERROR(__xludf.DUMMYFUNCTION("""COMPUTED_VALUE"""),76.0)</f>
        <v>76</v>
      </c>
      <c r="I210" s="1">
        <f>IFERROR(__xludf.DUMMYFUNCTION("""COMPUTED_VALUE"""),62.0)</f>
        <v>62</v>
      </c>
      <c r="J210" s="1">
        <f>IFERROR(__xludf.DUMMYFUNCTION("""COMPUTED_VALUE"""),60.0)</f>
        <v>60</v>
      </c>
      <c r="K210" s="1">
        <f>IFERROR(__xludf.DUMMYFUNCTION("""COMPUTED_VALUE"""),64.0)</f>
        <v>64</v>
      </c>
      <c r="L210" s="1">
        <f>IFERROR(__xludf.DUMMYFUNCTION("""COMPUTED_VALUE"""),346.0)</f>
        <v>346</v>
      </c>
      <c r="M210" s="1">
        <f>IFERROR(__xludf.DUMMYFUNCTION("""COMPUTED_VALUE"""),69.2)</f>
        <v>69.2</v>
      </c>
      <c r="N210" s="1">
        <f>IFERROR(__xludf.DUMMYFUNCTION("""COMPUTED_VALUE"""),64.0)</f>
        <v>64</v>
      </c>
      <c r="O210" s="1" t="str">
        <f>IFERROR(__xludf.DUMMYFUNCTION("""COMPUTED_VALUE"""),"Pass")</f>
        <v>Pass</v>
      </c>
    </row>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6" width="14.43"/>
  </cols>
  <sheetData>
    <row r="1">
      <c r="A1" s="2" t="str">
        <f t="array" ref="A1">'Questions Answers'!A6</f>
        <v>5. Find how many students have Attendance greater than 90%.</v>
      </c>
      <c r="B1" s="2"/>
      <c r="C1" s="2"/>
      <c r="D1" s="2"/>
      <c r="E1" s="2"/>
    </row>
    <row r="3">
      <c r="A3" s="1" t="str">
        <f>IFERROR(__xludf.DUMMYFUNCTION("QUERY(Student_Data!A1:O1000, ""SELECT * WHERE N &gt; 90"")"),"Student_ID")</f>
        <v>Student_ID</v>
      </c>
      <c r="B3" s="1" t="str">
        <f>IFERROR(__xludf.DUMMYFUNCTION("""COMPUTED_VALUE"""),"Full_Name")</f>
        <v>Full_Name</v>
      </c>
      <c r="C3" s="1" t="str">
        <f>IFERROR(__xludf.DUMMYFUNCTION("""COMPUTED_VALUE"""),"Gender")</f>
        <v>Gender</v>
      </c>
      <c r="D3" s="1" t="str">
        <f>IFERROR(__xludf.DUMMYFUNCTION("""COMPUTED_VALUE"""),"Class")</f>
        <v>Class</v>
      </c>
      <c r="E3" s="1" t="str">
        <f>IFERROR(__xludf.DUMMYFUNCTION("""COMPUTED_VALUE"""),"Section")</f>
        <v>Section</v>
      </c>
      <c r="F3" s="1" t="str">
        <f>IFERROR(__xludf.DUMMYFUNCTION("""COMPUTED_VALUE"""),"City")</f>
        <v>City</v>
      </c>
      <c r="G3" s="1" t="str">
        <f>IFERROR(__xludf.DUMMYFUNCTION("""COMPUTED_VALUE"""),"Maths")</f>
        <v>Maths</v>
      </c>
      <c r="H3" s="1" t="str">
        <f>IFERROR(__xludf.DUMMYFUNCTION("""COMPUTED_VALUE"""),"Science")</f>
        <v>Science</v>
      </c>
      <c r="I3" s="1" t="str">
        <f>IFERROR(__xludf.DUMMYFUNCTION("""COMPUTED_VALUE"""),"English")</f>
        <v>English</v>
      </c>
      <c r="J3" s="1" t="str">
        <f>IFERROR(__xludf.DUMMYFUNCTION("""COMPUTED_VALUE"""),"Hindi")</f>
        <v>Hindi</v>
      </c>
      <c r="K3" s="1" t="str">
        <f>IFERROR(__xludf.DUMMYFUNCTION("""COMPUTED_VALUE"""),"Social_Studies")</f>
        <v>Social_Studies</v>
      </c>
      <c r="L3" s="1" t="str">
        <f>IFERROR(__xludf.DUMMYFUNCTION("""COMPUTED_VALUE"""),"Total")</f>
        <v>Total</v>
      </c>
      <c r="M3" s="1" t="str">
        <f>IFERROR(__xludf.DUMMYFUNCTION("""COMPUTED_VALUE"""),"Percentage")</f>
        <v>Percentage</v>
      </c>
      <c r="N3" s="1" t="str">
        <f>IFERROR(__xludf.DUMMYFUNCTION("""COMPUTED_VALUE"""),"Attendance")</f>
        <v>Attendance</v>
      </c>
      <c r="O3" s="1" t="str">
        <f>IFERROR(__xludf.DUMMYFUNCTION("""COMPUTED_VALUE"""),"Status")</f>
        <v>Status</v>
      </c>
    </row>
    <row r="4">
      <c r="A4" s="1" t="str">
        <f>IFERROR(__xludf.DUMMYFUNCTION("""COMPUTED_VALUE"""),"STD-1011")</f>
        <v>STD-1011</v>
      </c>
      <c r="B4" s="1" t="str">
        <f>IFERROR(__xludf.DUMMYFUNCTION("""COMPUTED_VALUE"""),"Aditya Choudhary")</f>
        <v>Aditya Choudhary</v>
      </c>
      <c r="C4" s="1" t="str">
        <f>IFERROR(__xludf.DUMMYFUNCTION("""COMPUTED_VALUE"""),"Male")</f>
        <v>Male</v>
      </c>
      <c r="D4" s="1" t="str">
        <f>IFERROR(__xludf.DUMMYFUNCTION("""COMPUTED_VALUE"""),"7")</f>
        <v>7</v>
      </c>
      <c r="E4" s="1" t="str">
        <f>IFERROR(__xludf.DUMMYFUNCTION("""COMPUTED_VALUE"""),"C")</f>
        <v>C</v>
      </c>
      <c r="F4" s="1" t="str">
        <f>IFERROR(__xludf.DUMMYFUNCTION("""COMPUTED_VALUE"""),"Chandigarh")</f>
        <v>Chandigarh</v>
      </c>
      <c r="G4" s="1">
        <f>IFERROR(__xludf.DUMMYFUNCTION("""COMPUTED_VALUE"""),51.0)</f>
        <v>51</v>
      </c>
      <c r="H4" s="1">
        <f>IFERROR(__xludf.DUMMYFUNCTION("""COMPUTED_VALUE"""),40.0)</f>
        <v>40</v>
      </c>
      <c r="I4" s="1">
        <f>IFERROR(__xludf.DUMMYFUNCTION("""COMPUTED_VALUE"""),43.0)</f>
        <v>43</v>
      </c>
      <c r="J4" s="1">
        <f>IFERROR(__xludf.DUMMYFUNCTION("""COMPUTED_VALUE"""),99.0)</f>
        <v>99</v>
      </c>
      <c r="K4" s="1">
        <f>IFERROR(__xludf.DUMMYFUNCTION("""COMPUTED_VALUE"""),45.0)</f>
        <v>45</v>
      </c>
      <c r="L4" s="1">
        <f>IFERROR(__xludf.DUMMYFUNCTION("""COMPUTED_VALUE"""),278.0)</f>
        <v>278</v>
      </c>
      <c r="M4" s="1">
        <f>IFERROR(__xludf.DUMMYFUNCTION("""COMPUTED_VALUE"""),55.6)</f>
        <v>55.6</v>
      </c>
      <c r="N4" s="1">
        <f>IFERROR(__xludf.DUMMYFUNCTION("""COMPUTED_VALUE"""),98.0)</f>
        <v>98</v>
      </c>
      <c r="O4" s="1" t="str">
        <f>IFERROR(__xludf.DUMMYFUNCTION("""COMPUTED_VALUE"""),"Pass")</f>
        <v>Pass</v>
      </c>
    </row>
    <row r="5">
      <c r="A5" s="1" t="str">
        <f>IFERROR(__xludf.DUMMYFUNCTION("""COMPUTED_VALUE"""),"STD-1021")</f>
        <v>STD-1021</v>
      </c>
      <c r="B5" s="1" t="str">
        <f>IFERROR(__xludf.DUMMYFUNCTION("""COMPUTED_VALUE"""),"Ishita Kulkarni")</f>
        <v>Ishita Kulkarni</v>
      </c>
      <c r="C5" s="1" t="str">
        <f>IFERROR(__xludf.DUMMYFUNCTION("""COMPUTED_VALUE"""),"Female")</f>
        <v>Female</v>
      </c>
      <c r="D5" s="1" t="str">
        <f>IFERROR(__xludf.DUMMYFUNCTION("""COMPUTED_VALUE"""),"9")</f>
        <v>9</v>
      </c>
      <c r="E5" s="1" t="str">
        <f>IFERROR(__xludf.DUMMYFUNCTION("""COMPUTED_VALUE"""),"C")</f>
        <v>C</v>
      </c>
      <c r="F5" s="1" t="str">
        <f>IFERROR(__xludf.DUMMYFUNCTION("""COMPUTED_VALUE"""),"Lucknow")</f>
        <v>Lucknow</v>
      </c>
      <c r="G5" s="1">
        <f>IFERROR(__xludf.DUMMYFUNCTION("""COMPUTED_VALUE"""),88.0)</f>
        <v>88</v>
      </c>
      <c r="H5" s="1">
        <f>IFERROR(__xludf.DUMMYFUNCTION("""COMPUTED_VALUE"""),65.0)</f>
        <v>65</v>
      </c>
      <c r="I5" s="1">
        <f>IFERROR(__xludf.DUMMYFUNCTION("""COMPUTED_VALUE"""),57.0)</f>
        <v>57</v>
      </c>
      <c r="J5" s="1">
        <f>IFERROR(__xludf.DUMMYFUNCTION("""COMPUTED_VALUE"""),52.0)</f>
        <v>52</v>
      </c>
      <c r="K5" s="1">
        <f>IFERROR(__xludf.DUMMYFUNCTION("""COMPUTED_VALUE"""),53.0)</f>
        <v>53</v>
      </c>
      <c r="L5" s="1">
        <f>IFERROR(__xludf.DUMMYFUNCTION("""COMPUTED_VALUE"""),315.0)</f>
        <v>315</v>
      </c>
      <c r="M5" s="1">
        <f>IFERROR(__xludf.DUMMYFUNCTION("""COMPUTED_VALUE"""),63.0)</f>
        <v>63</v>
      </c>
      <c r="N5" s="1">
        <f>IFERROR(__xludf.DUMMYFUNCTION("""COMPUTED_VALUE"""),98.0)</f>
        <v>98</v>
      </c>
      <c r="O5" s="1" t="str">
        <f>IFERROR(__xludf.DUMMYFUNCTION("""COMPUTED_VALUE"""),"Pass")</f>
        <v>Pass</v>
      </c>
    </row>
    <row r="6">
      <c r="A6" s="1" t="str">
        <f>IFERROR(__xludf.DUMMYFUNCTION("""COMPUTED_VALUE"""),"STD-1026")</f>
        <v>STD-1026</v>
      </c>
      <c r="B6" s="1" t="str">
        <f>IFERROR(__xludf.DUMMYFUNCTION("""COMPUTED_VALUE"""),"Neha Kaur")</f>
        <v>Neha Kaur</v>
      </c>
      <c r="C6" s="1" t="str">
        <f>IFERROR(__xludf.DUMMYFUNCTION("""COMPUTED_VALUE"""),"Female")</f>
        <v>Female</v>
      </c>
      <c r="D6" s="1" t="str">
        <f>IFERROR(__xludf.DUMMYFUNCTION("""COMPUTED_VALUE"""),"8")</f>
        <v>8</v>
      </c>
      <c r="E6" s="1" t="str">
        <f>IFERROR(__xludf.DUMMYFUNCTION("""COMPUTED_VALUE"""),"C")</f>
        <v>C</v>
      </c>
      <c r="F6" s="1" t="str">
        <f>IFERROR(__xludf.DUMMYFUNCTION("""COMPUTED_VALUE"""),"Patna")</f>
        <v>Patna</v>
      </c>
      <c r="G6" s="1">
        <f>IFERROR(__xludf.DUMMYFUNCTION("""COMPUTED_VALUE"""),68.0)</f>
        <v>68</v>
      </c>
      <c r="H6" s="1">
        <f>IFERROR(__xludf.DUMMYFUNCTION("""COMPUTED_VALUE"""),42.0)</f>
        <v>42</v>
      </c>
      <c r="I6" s="1">
        <f>IFERROR(__xludf.DUMMYFUNCTION("""COMPUTED_VALUE"""),96.0)</f>
        <v>96</v>
      </c>
      <c r="J6" s="1">
        <f>IFERROR(__xludf.DUMMYFUNCTION("""COMPUTED_VALUE"""),84.0)</f>
        <v>84</v>
      </c>
      <c r="K6" s="1">
        <f>IFERROR(__xludf.DUMMYFUNCTION("""COMPUTED_VALUE"""),53.0)</f>
        <v>53</v>
      </c>
      <c r="L6" s="1">
        <f>IFERROR(__xludf.DUMMYFUNCTION("""COMPUTED_VALUE"""),343.0)</f>
        <v>343</v>
      </c>
      <c r="M6" s="1">
        <f>IFERROR(__xludf.DUMMYFUNCTION("""COMPUTED_VALUE"""),68.6)</f>
        <v>68.6</v>
      </c>
      <c r="N6" s="1">
        <f>IFERROR(__xludf.DUMMYFUNCTION("""COMPUTED_VALUE"""),93.0)</f>
        <v>93</v>
      </c>
      <c r="O6" s="1" t="str">
        <f>IFERROR(__xludf.DUMMYFUNCTION("""COMPUTED_VALUE"""),"Pass")</f>
        <v>Pass</v>
      </c>
    </row>
    <row r="7">
      <c r="A7" s="1" t="str">
        <f>IFERROR(__xludf.DUMMYFUNCTION("""COMPUTED_VALUE"""),"STD-1029")</f>
        <v>STD-1029</v>
      </c>
      <c r="B7" s="1" t="str">
        <f>IFERROR(__xludf.DUMMYFUNCTION("""COMPUTED_VALUE"""),"Ananya Patel")</f>
        <v>Ananya Patel</v>
      </c>
      <c r="C7" s="1" t="str">
        <f>IFERROR(__xludf.DUMMYFUNCTION("""COMPUTED_VALUE"""),"Female")</f>
        <v>Female</v>
      </c>
      <c r="D7" s="1" t="str">
        <f>IFERROR(__xludf.DUMMYFUNCTION("""COMPUTED_VALUE"""),"6")</f>
        <v>6</v>
      </c>
      <c r="E7" s="1" t="str">
        <f>IFERROR(__xludf.DUMMYFUNCTION("""COMPUTED_VALUE"""),"C")</f>
        <v>C</v>
      </c>
      <c r="F7" s="1" t="str">
        <f>IFERROR(__xludf.DUMMYFUNCTION("""COMPUTED_VALUE"""),"Jaipur")</f>
        <v>Jaipur</v>
      </c>
      <c r="G7" s="1">
        <f>IFERROR(__xludf.DUMMYFUNCTION("""COMPUTED_VALUE"""),91.0)</f>
        <v>91</v>
      </c>
      <c r="H7" s="1">
        <f>IFERROR(__xludf.DUMMYFUNCTION("""COMPUTED_VALUE"""),91.0)</f>
        <v>91</v>
      </c>
      <c r="I7" s="1">
        <f>IFERROR(__xludf.DUMMYFUNCTION("""COMPUTED_VALUE"""),68.0)</f>
        <v>68</v>
      </c>
      <c r="J7" s="1">
        <f>IFERROR(__xludf.DUMMYFUNCTION("""COMPUTED_VALUE"""),55.0)</f>
        <v>55</v>
      </c>
      <c r="K7" s="1">
        <f>IFERROR(__xludf.DUMMYFUNCTION("""COMPUTED_VALUE"""),94.0)</f>
        <v>94</v>
      </c>
      <c r="L7" s="1">
        <f>IFERROR(__xludf.DUMMYFUNCTION("""COMPUTED_VALUE"""),399.0)</f>
        <v>399</v>
      </c>
      <c r="M7" s="1">
        <f>IFERROR(__xludf.DUMMYFUNCTION("""COMPUTED_VALUE"""),79.8)</f>
        <v>79.8</v>
      </c>
      <c r="N7" s="1">
        <f>IFERROR(__xludf.DUMMYFUNCTION("""COMPUTED_VALUE"""),91.0)</f>
        <v>91</v>
      </c>
      <c r="O7" s="1" t="str">
        <f>IFERROR(__xludf.DUMMYFUNCTION("""COMPUTED_VALUE"""),"Pass")</f>
        <v>Pass</v>
      </c>
    </row>
    <row r="8">
      <c r="A8" s="1" t="str">
        <f>IFERROR(__xludf.DUMMYFUNCTION("""COMPUTED_VALUE"""),"STD-1030")</f>
        <v>STD-1030</v>
      </c>
      <c r="B8" s="1" t="str">
        <f>IFERROR(__xludf.DUMMYFUNCTION("""COMPUTED_VALUE"""),"Ananya Reddy")</f>
        <v>Ananya Reddy</v>
      </c>
      <c r="C8" s="1" t="str">
        <f>IFERROR(__xludf.DUMMYFUNCTION("""COMPUTED_VALUE"""),"Male")</f>
        <v>Male</v>
      </c>
      <c r="D8" s="1" t="str">
        <f>IFERROR(__xludf.DUMMYFUNCTION("""COMPUTED_VALUE"""),"10")</f>
        <v>10</v>
      </c>
      <c r="E8" s="1" t="str">
        <f>IFERROR(__xludf.DUMMYFUNCTION("""COMPUTED_VALUE"""),"C")</f>
        <v>C</v>
      </c>
      <c r="F8" s="1" t="str">
        <f>IFERROR(__xludf.DUMMYFUNCTION("""COMPUTED_VALUE"""),"Bhopal")</f>
        <v>Bhopal</v>
      </c>
      <c r="G8" s="1">
        <f>IFERROR(__xludf.DUMMYFUNCTION("""COMPUTED_VALUE"""),58.0)</f>
        <v>58</v>
      </c>
      <c r="H8" s="1">
        <f>IFERROR(__xludf.DUMMYFUNCTION("""COMPUTED_VALUE"""),93.0)</f>
        <v>93</v>
      </c>
      <c r="I8" s="1">
        <f>IFERROR(__xludf.DUMMYFUNCTION("""COMPUTED_VALUE"""),63.0)</f>
        <v>63</v>
      </c>
      <c r="J8" s="1">
        <f>IFERROR(__xludf.DUMMYFUNCTION("""COMPUTED_VALUE"""),83.0)</f>
        <v>83</v>
      </c>
      <c r="K8" s="1">
        <f>IFERROR(__xludf.DUMMYFUNCTION("""COMPUTED_VALUE"""),44.0)</f>
        <v>44</v>
      </c>
      <c r="L8" s="1">
        <f>IFERROR(__xludf.DUMMYFUNCTION("""COMPUTED_VALUE"""),341.0)</f>
        <v>341</v>
      </c>
      <c r="M8" s="1">
        <f>IFERROR(__xludf.DUMMYFUNCTION("""COMPUTED_VALUE"""),68.2)</f>
        <v>68.2</v>
      </c>
      <c r="N8" s="1">
        <f>IFERROR(__xludf.DUMMYFUNCTION("""COMPUTED_VALUE"""),92.0)</f>
        <v>92</v>
      </c>
      <c r="O8" s="1" t="str">
        <f>IFERROR(__xludf.DUMMYFUNCTION("""COMPUTED_VALUE"""),"Pass")</f>
        <v>Pass</v>
      </c>
    </row>
    <row r="9">
      <c r="A9" s="1" t="str">
        <f>IFERROR(__xludf.DUMMYFUNCTION("""COMPUTED_VALUE"""),"STD-1031")</f>
        <v>STD-1031</v>
      </c>
      <c r="B9" s="1" t="str">
        <f>IFERROR(__xludf.DUMMYFUNCTION("""COMPUTED_VALUE"""),"Sneha Gupta")</f>
        <v>Sneha Gupta</v>
      </c>
      <c r="C9" s="1" t="str">
        <f>IFERROR(__xludf.DUMMYFUNCTION("""COMPUTED_VALUE"""),"Female")</f>
        <v>Female</v>
      </c>
      <c r="D9" s="1" t="str">
        <f>IFERROR(__xludf.DUMMYFUNCTION("""COMPUTED_VALUE"""),"9")</f>
        <v>9</v>
      </c>
      <c r="E9" s="1" t="str">
        <f>IFERROR(__xludf.DUMMYFUNCTION("""COMPUTED_VALUE"""),"C")</f>
        <v>C</v>
      </c>
      <c r="F9" s="1" t="str">
        <f>IFERROR(__xludf.DUMMYFUNCTION("""COMPUTED_VALUE"""),"Mumbai")</f>
        <v>Mumbai</v>
      </c>
      <c r="G9" s="1">
        <f>IFERROR(__xludf.DUMMYFUNCTION("""COMPUTED_VALUE"""),61.0)</f>
        <v>61</v>
      </c>
      <c r="H9" s="1">
        <f>IFERROR(__xludf.DUMMYFUNCTION("""COMPUTED_VALUE"""),67.0)</f>
        <v>67</v>
      </c>
      <c r="I9" s="1">
        <f>IFERROR(__xludf.DUMMYFUNCTION("""COMPUTED_VALUE"""),41.0)</f>
        <v>41</v>
      </c>
      <c r="J9" s="1">
        <f>IFERROR(__xludf.DUMMYFUNCTION("""COMPUTED_VALUE"""),61.0)</f>
        <v>61</v>
      </c>
      <c r="K9" s="1">
        <f>IFERROR(__xludf.DUMMYFUNCTION("""COMPUTED_VALUE"""),92.0)</f>
        <v>92</v>
      </c>
      <c r="L9" s="1">
        <f>IFERROR(__xludf.DUMMYFUNCTION("""COMPUTED_VALUE"""),322.0)</f>
        <v>322</v>
      </c>
      <c r="M9" s="1">
        <f>IFERROR(__xludf.DUMMYFUNCTION("""COMPUTED_VALUE"""),64.4)</f>
        <v>64.4</v>
      </c>
      <c r="N9" s="1">
        <f>IFERROR(__xludf.DUMMYFUNCTION("""COMPUTED_VALUE"""),99.0)</f>
        <v>99</v>
      </c>
      <c r="O9" s="1" t="str">
        <f>IFERROR(__xludf.DUMMYFUNCTION("""COMPUTED_VALUE"""),"Pass")</f>
        <v>Pass</v>
      </c>
    </row>
    <row r="10">
      <c r="A10" s="1" t="str">
        <f>IFERROR(__xludf.DUMMYFUNCTION("""COMPUTED_VALUE"""),"STD-1045")</f>
        <v>STD-1045</v>
      </c>
      <c r="B10" s="1" t="str">
        <f>IFERROR(__xludf.DUMMYFUNCTION("""COMPUTED_VALUE"""),"Sneha Yadav")</f>
        <v>Sneha Yadav</v>
      </c>
      <c r="C10" s="1" t="str">
        <f>IFERROR(__xludf.DUMMYFUNCTION("""COMPUTED_VALUE"""),"Male")</f>
        <v>Male</v>
      </c>
      <c r="D10" s="1" t="str">
        <f>IFERROR(__xludf.DUMMYFUNCTION("""COMPUTED_VALUE"""),"7")</f>
        <v>7</v>
      </c>
      <c r="E10" s="1" t="str">
        <f>IFERROR(__xludf.DUMMYFUNCTION("""COMPUTED_VALUE"""),"C")</f>
        <v>C</v>
      </c>
      <c r="F10" s="1" t="str">
        <f>IFERROR(__xludf.DUMMYFUNCTION("""COMPUTED_VALUE"""),"Delhi")</f>
        <v>Delhi</v>
      </c>
      <c r="G10" s="1">
        <f>IFERROR(__xludf.DUMMYFUNCTION("""COMPUTED_VALUE"""),52.0)</f>
        <v>52</v>
      </c>
      <c r="H10" s="1">
        <f>IFERROR(__xludf.DUMMYFUNCTION("""COMPUTED_VALUE"""),46.0)</f>
        <v>46</v>
      </c>
      <c r="I10" s="1">
        <f>IFERROR(__xludf.DUMMYFUNCTION("""COMPUTED_VALUE"""),87.0)</f>
        <v>87</v>
      </c>
      <c r="J10" s="1">
        <f>IFERROR(__xludf.DUMMYFUNCTION("""COMPUTED_VALUE"""),77.0)</f>
        <v>77</v>
      </c>
      <c r="K10" s="1">
        <f>IFERROR(__xludf.DUMMYFUNCTION("""COMPUTED_VALUE"""),55.0)</f>
        <v>55</v>
      </c>
      <c r="L10" s="1">
        <f>IFERROR(__xludf.DUMMYFUNCTION("""COMPUTED_VALUE"""),317.0)</f>
        <v>317</v>
      </c>
      <c r="M10" s="1">
        <f>IFERROR(__xludf.DUMMYFUNCTION("""COMPUTED_VALUE"""),63.4)</f>
        <v>63.4</v>
      </c>
      <c r="N10" s="1">
        <f>IFERROR(__xludf.DUMMYFUNCTION("""COMPUTED_VALUE"""),95.0)</f>
        <v>95</v>
      </c>
      <c r="O10" s="1" t="str">
        <f>IFERROR(__xludf.DUMMYFUNCTION("""COMPUTED_VALUE"""),"Pass")</f>
        <v>Pass</v>
      </c>
    </row>
    <row r="11">
      <c r="A11" s="1" t="str">
        <f>IFERROR(__xludf.DUMMYFUNCTION("""COMPUTED_VALUE"""),"STD-1047")</f>
        <v>STD-1047</v>
      </c>
      <c r="B11" s="1" t="str">
        <f>IFERROR(__xludf.DUMMYFUNCTION("""COMPUTED_VALUE"""),"Arjun Banerjee")</f>
        <v>Arjun Banerjee</v>
      </c>
      <c r="C11" s="1" t="str">
        <f>IFERROR(__xludf.DUMMYFUNCTION("""COMPUTED_VALUE"""),"Female")</f>
        <v>Female</v>
      </c>
      <c r="D11" s="1" t="str">
        <f>IFERROR(__xludf.DUMMYFUNCTION("""COMPUTED_VALUE"""),"7")</f>
        <v>7</v>
      </c>
      <c r="E11" s="1" t="str">
        <f>IFERROR(__xludf.DUMMYFUNCTION("""COMPUTED_VALUE"""),"A")</f>
        <v>A</v>
      </c>
      <c r="F11" s="1" t="str">
        <f>IFERROR(__xludf.DUMMYFUNCTION("""COMPUTED_VALUE"""),"Kolkata")</f>
        <v>Kolkata</v>
      </c>
      <c r="G11" s="1">
        <f>IFERROR(__xludf.DUMMYFUNCTION("""COMPUTED_VALUE"""),77.0)</f>
        <v>77</v>
      </c>
      <c r="H11" s="1">
        <f>IFERROR(__xludf.DUMMYFUNCTION("""COMPUTED_VALUE"""),52.0)</f>
        <v>52</v>
      </c>
      <c r="I11" s="1">
        <f>IFERROR(__xludf.DUMMYFUNCTION("""COMPUTED_VALUE"""),45.0)</f>
        <v>45</v>
      </c>
      <c r="J11" s="1">
        <f>IFERROR(__xludf.DUMMYFUNCTION("""COMPUTED_VALUE"""),81.0)</f>
        <v>81</v>
      </c>
      <c r="K11" s="1">
        <f>IFERROR(__xludf.DUMMYFUNCTION("""COMPUTED_VALUE"""),57.0)</f>
        <v>57</v>
      </c>
      <c r="L11" s="1">
        <f>IFERROR(__xludf.DUMMYFUNCTION("""COMPUTED_VALUE"""),312.0)</f>
        <v>312</v>
      </c>
      <c r="M11" s="1">
        <f>IFERROR(__xludf.DUMMYFUNCTION("""COMPUTED_VALUE"""),62.4)</f>
        <v>62.4</v>
      </c>
      <c r="N11" s="1">
        <f>IFERROR(__xludf.DUMMYFUNCTION("""COMPUTED_VALUE"""),91.0)</f>
        <v>91</v>
      </c>
      <c r="O11" s="1" t="str">
        <f>IFERROR(__xludf.DUMMYFUNCTION("""COMPUTED_VALUE"""),"Pass")</f>
        <v>Pass</v>
      </c>
    </row>
    <row r="12">
      <c r="A12" s="1" t="str">
        <f>IFERROR(__xludf.DUMMYFUNCTION("""COMPUTED_VALUE"""),"STD-1052")</f>
        <v>STD-1052</v>
      </c>
      <c r="B12" s="1" t="str">
        <f>IFERROR(__xludf.DUMMYFUNCTION("""COMPUTED_VALUE"""),"Rahul Jain")</f>
        <v>Rahul Jain</v>
      </c>
      <c r="C12" s="1" t="str">
        <f>IFERROR(__xludf.DUMMYFUNCTION("""COMPUTED_VALUE"""),"Female")</f>
        <v>Female</v>
      </c>
      <c r="D12" s="1" t="str">
        <f>IFERROR(__xludf.DUMMYFUNCTION("""COMPUTED_VALUE"""),"7")</f>
        <v>7</v>
      </c>
      <c r="E12" s="1" t="str">
        <f>IFERROR(__xludf.DUMMYFUNCTION("""COMPUTED_VALUE"""),"A")</f>
        <v>A</v>
      </c>
      <c r="F12" s="1" t="str">
        <f>IFERROR(__xludf.DUMMYFUNCTION("""COMPUTED_VALUE"""),"Patna")</f>
        <v>Patna</v>
      </c>
      <c r="G12" s="1">
        <f>IFERROR(__xludf.DUMMYFUNCTION("""COMPUTED_VALUE"""),47.0)</f>
        <v>47</v>
      </c>
      <c r="H12" s="1">
        <f>IFERROR(__xludf.DUMMYFUNCTION("""COMPUTED_VALUE"""),73.0)</f>
        <v>73</v>
      </c>
      <c r="I12" s="1">
        <f>IFERROR(__xludf.DUMMYFUNCTION("""COMPUTED_VALUE"""),70.0)</f>
        <v>70</v>
      </c>
      <c r="J12" s="1">
        <f>IFERROR(__xludf.DUMMYFUNCTION("""COMPUTED_VALUE"""),46.0)</f>
        <v>46</v>
      </c>
      <c r="K12" s="1">
        <f>IFERROR(__xludf.DUMMYFUNCTION("""COMPUTED_VALUE"""),72.0)</f>
        <v>72</v>
      </c>
      <c r="L12" s="1">
        <f>IFERROR(__xludf.DUMMYFUNCTION("""COMPUTED_VALUE"""),308.0)</f>
        <v>308</v>
      </c>
      <c r="M12" s="1">
        <f>IFERROR(__xludf.DUMMYFUNCTION("""COMPUTED_VALUE"""),61.6)</f>
        <v>61.6</v>
      </c>
      <c r="N12" s="1">
        <f>IFERROR(__xludf.DUMMYFUNCTION("""COMPUTED_VALUE"""),93.0)</f>
        <v>93</v>
      </c>
      <c r="O12" s="1" t="str">
        <f>IFERROR(__xludf.DUMMYFUNCTION("""COMPUTED_VALUE"""),"Pass")</f>
        <v>Pass</v>
      </c>
    </row>
    <row r="13">
      <c r="A13" s="1" t="str">
        <f>IFERROR(__xludf.DUMMYFUNCTION("""COMPUTED_VALUE"""),"STD-1056")</f>
        <v>STD-1056</v>
      </c>
      <c r="B13" s="1" t="str">
        <f>IFERROR(__xludf.DUMMYFUNCTION("""COMPUTED_VALUE"""),"Ananya Verma")</f>
        <v>Ananya Verma</v>
      </c>
      <c r="C13" s="1" t="str">
        <f>IFERROR(__xludf.DUMMYFUNCTION("""COMPUTED_VALUE"""),"Male")</f>
        <v>Male</v>
      </c>
      <c r="D13" s="1" t="str">
        <f>IFERROR(__xludf.DUMMYFUNCTION("""COMPUTED_VALUE"""),"8")</f>
        <v>8</v>
      </c>
      <c r="E13" s="1" t="str">
        <f>IFERROR(__xludf.DUMMYFUNCTION("""COMPUTED_VALUE"""),"A")</f>
        <v>A</v>
      </c>
      <c r="F13" s="1" t="str">
        <f>IFERROR(__xludf.DUMMYFUNCTION("""COMPUTED_VALUE"""),"Lucknow")</f>
        <v>Lucknow</v>
      </c>
      <c r="G13" s="1">
        <f>IFERROR(__xludf.DUMMYFUNCTION("""COMPUTED_VALUE"""),50.0)</f>
        <v>50</v>
      </c>
      <c r="H13" s="1">
        <f>IFERROR(__xludf.DUMMYFUNCTION("""COMPUTED_VALUE"""),42.0)</f>
        <v>42</v>
      </c>
      <c r="I13" s="1">
        <f>IFERROR(__xludf.DUMMYFUNCTION("""COMPUTED_VALUE"""),60.0)</f>
        <v>60</v>
      </c>
      <c r="J13" s="1">
        <f>IFERROR(__xludf.DUMMYFUNCTION("""COMPUTED_VALUE"""),86.0)</f>
        <v>86</v>
      </c>
      <c r="K13" s="1">
        <f>IFERROR(__xludf.DUMMYFUNCTION("""COMPUTED_VALUE"""),60.0)</f>
        <v>60</v>
      </c>
      <c r="L13" s="1">
        <f>IFERROR(__xludf.DUMMYFUNCTION("""COMPUTED_VALUE"""),298.0)</f>
        <v>298</v>
      </c>
      <c r="M13" s="1">
        <f>IFERROR(__xludf.DUMMYFUNCTION("""COMPUTED_VALUE"""),59.6)</f>
        <v>59.6</v>
      </c>
      <c r="N13" s="1">
        <f>IFERROR(__xludf.DUMMYFUNCTION("""COMPUTED_VALUE"""),93.0)</f>
        <v>93</v>
      </c>
      <c r="O13" s="1" t="str">
        <f>IFERROR(__xludf.DUMMYFUNCTION("""COMPUTED_VALUE"""),"Pass")</f>
        <v>Pass</v>
      </c>
    </row>
    <row r="14">
      <c r="A14" s="1" t="str">
        <f>IFERROR(__xludf.DUMMYFUNCTION("""COMPUTED_VALUE"""),"STD-1058")</f>
        <v>STD-1058</v>
      </c>
      <c r="B14" s="1" t="str">
        <f>IFERROR(__xludf.DUMMYFUNCTION("""COMPUTED_VALUE"""),"Sneha Gupta")</f>
        <v>Sneha Gupta</v>
      </c>
      <c r="C14" s="1" t="str">
        <f>IFERROR(__xludf.DUMMYFUNCTION("""COMPUTED_VALUE"""),"Female")</f>
        <v>Female</v>
      </c>
      <c r="D14" s="1" t="str">
        <f>IFERROR(__xludf.DUMMYFUNCTION("""COMPUTED_VALUE"""),"8")</f>
        <v>8</v>
      </c>
      <c r="E14" s="1" t="str">
        <f>IFERROR(__xludf.DUMMYFUNCTION("""COMPUTED_VALUE"""),"B")</f>
        <v>B</v>
      </c>
      <c r="F14" s="1" t="str">
        <f>IFERROR(__xludf.DUMMYFUNCTION("""COMPUTED_VALUE"""),"Patna")</f>
        <v>Patna</v>
      </c>
      <c r="G14" s="1">
        <f>IFERROR(__xludf.DUMMYFUNCTION("""COMPUTED_VALUE"""),76.0)</f>
        <v>76</v>
      </c>
      <c r="H14" s="1">
        <f>IFERROR(__xludf.DUMMYFUNCTION("""COMPUTED_VALUE"""),71.0)</f>
        <v>71</v>
      </c>
      <c r="I14" s="1">
        <f>IFERROR(__xludf.DUMMYFUNCTION("""COMPUTED_VALUE"""),46.0)</f>
        <v>46</v>
      </c>
      <c r="J14" s="1">
        <f>IFERROR(__xludf.DUMMYFUNCTION("""COMPUTED_VALUE"""),47.0)</f>
        <v>47</v>
      </c>
      <c r="K14" s="1">
        <f>IFERROR(__xludf.DUMMYFUNCTION("""COMPUTED_VALUE"""),66.0)</f>
        <v>66</v>
      </c>
      <c r="L14" s="1">
        <f>IFERROR(__xludf.DUMMYFUNCTION("""COMPUTED_VALUE"""),306.0)</f>
        <v>306</v>
      </c>
      <c r="M14" s="1">
        <f>IFERROR(__xludf.DUMMYFUNCTION("""COMPUTED_VALUE"""),61.2)</f>
        <v>61.2</v>
      </c>
      <c r="N14" s="1">
        <f>IFERROR(__xludf.DUMMYFUNCTION("""COMPUTED_VALUE"""),98.0)</f>
        <v>98</v>
      </c>
      <c r="O14" s="1" t="str">
        <f>IFERROR(__xludf.DUMMYFUNCTION("""COMPUTED_VALUE"""),"Pass")</f>
        <v>Pass</v>
      </c>
    </row>
    <row r="15">
      <c r="A15" s="1" t="str">
        <f>IFERROR(__xludf.DUMMYFUNCTION("""COMPUTED_VALUE"""),"STD-1061")</f>
        <v>STD-1061</v>
      </c>
      <c r="B15" s="1" t="str">
        <f>IFERROR(__xludf.DUMMYFUNCTION("""COMPUTED_VALUE"""),"Ritika Kulkarni")</f>
        <v>Ritika Kulkarni</v>
      </c>
      <c r="C15" s="1" t="str">
        <f>IFERROR(__xludf.DUMMYFUNCTION("""COMPUTED_VALUE"""),"Female")</f>
        <v>Female</v>
      </c>
      <c r="D15" s="1" t="str">
        <f>IFERROR(__xludf.DUMMYFUNCTION("""COMPUTED_VALUE"""),"7")</f>
        <v>7</v>
      </c>
      <c r="E15" s="1" t="str">
        <f>IFERROR(__xludf.DUMMYFUNCTION("""COMPUTED_VALUE"""),"A")</f>
        <v>A</v>
      </c>
      <c r="F15" s="1" t="str">
        <f>IFERROR(__xludf.DUMMYFUNCTION("""COMPUTED_VALUE"""),"Delhi")</f>
        <v>Delhi</v>
      </c>
      <c r="G15" s="1">
        <f>IFERROR(__xludf.DUMMYFUNCTION("""COMPUTED_VALUE"""),87.0)</f>
        <v>87</v>
      </c>
      <c r="H15" s="1">
        <f>IFERROR(__xludf.DUMMYFUNCTION("""COMPUTED_VALUE"""),58.0)</f>
        <v>58</v>
      </c>
      <c r="I15" s="1">
        <f>IFERROR(__xludf.DUMMYFUNCTION("""COMPUTED_VALUE"""),70.0)</f>
        <v>70</v>
      </c>
      <c r="J15" s="1">
        <f>IFERROR(__xludf.DUMMYFUNCTION("""COMPUTED_VALUE"""),94.0)</f>
        <v>94</v>
      </c>
      <c r="K15" s="1">
        <f>IFERROR(__xludf.DUMMYFUNCTION("""COMPUTED_VALUE"""),50.0)</f>
        <v>50</v>
      </c>
      <c r="L15" s="1">
        <f>IFERROR(__xludf.DUMMYFUNCTION("""COMPUTED_VALUE"""),359.0)</f>
        <v>359</v>
      </c>
      <c r="M15" s="1">
        <f>IFERROR(__xludf.DUMMYFUNCTION("""COMPUTED_VALUE"""),71.8)</f>
        <v>71.8</v>
      </c>
      <c r="N15" s="1">
        <f>IFERROR(__xludf.DUMMYFUNCTION("""COMPUTED_VALUE"""),100.0)</f>
        <v>100</v>
      </c>
      <c r="O15" s="1" t="str">
        <f>IFERROR(__xludf.DUMMYFUNCTION("""COMPUTED_VALUE"""),"Pass")</f>
        <v>Pass</v>
      </c>
    </row>
    <row r="16">
      <c r="A16" s="1" t="str">
        <f>IFERROR(__xludf.DUMMYFUNCTION("""COMPUTED_VALUE"""),"STD-1062")</f>
        <v>STD-1062</v>
      </c>
      <c r="B16" s="1" t="str">
        <f>IFERROR(__xludf.DUMMYFUNCTION("""COMPUTED_VALUE"""),"Karan Choudhary")</f>
        <v>Karan Choudhary</v>
      </c>
      <c r="C16" s="1" t="str">
        <f>IFERROR(__xludf.DUMMYFUNCTION("""COMPUTED_VALUE"""),"Female")</f>
        <v>Female</v>
      </c>
      <c r="D16" s="1" t="str">
        <f>IFERROR(__xludf.DUMMYFUNCTION("""COMPUTED_VALUE"""),"8")</f>
        <v>8</v>
      </c>
      <c r="E16" s="1" t="str">
        <f>IFERROR(__xludf.DUMMYFUNCTION("""COMPUTED_VALUE"""),"B")</f>
        <v>B</v>
      </c>
      <c r="F16" s="1" t="str">
        <f>IFERROR(__xludf.DUMMYFUNCTION("""COMPUTED_VALUE"""),"Jaipur")</f>
        <v>Jaipur</v>
      </c>
      <c r="G16" s="1">
        <f>IFERROR(__xludf.DUMMYFUNCTION("""COMPUTED_VALUE"""),85.0)</f>
        <v>85</v>
      </c>
      <c r="H16" s="1">
        <f>IFERROR(__xludf.DUMMYFUNCTION("""COMPUTED_VALUE"""),84.0)</f>
        <v>84</v>
      </c>
      <c r="I16" s="1">
        <f>IFERROR(__xludf.DUMMYFUNCTION("""COMPUTED_VALUE"""),83.0)</f>
        <v>83</v>
      </c>
      <c r="J16" s="1">
        <f>IFERROR(__xludf.DUMMYFUNCTION("""COMPUTED_VALUE"""),98.0)</f>
        <v>98</v>
      </c>
      <c r="K16" s="1">
        <f>IFERROR(__xludf.DUMMYFUNCTION("""COMPUTED_VALUE"""),79.0)</f>
        <v>79</v>
      </c>
      <c r="L16" s="1">
        <f>IFERROR(__xludf.DUMMYFUNCTION("""COMPUTED_VALUE"""),429.0)</f>
        <v>429</v>
      </c>
      <c r="M16" s="1">
        <f>IFERROR(__xludf.DUMMYFUNCTION("""COMPUTED_VALUE"""),85.8)</f>
        <v>85.8</v>
      </c>
      <c r="N16" s="1">
        <f>IFERROR(__xludf.DUMMYFUNCTION("""COMPUTED_VALUE"""),100.0)</f>
        <v>100</v>
      </c>
      <c r="O16" s="1" t="str">
        <f>IFERROR(__xludf.DUMMYFUNCTION("""COMPUTED_VALUE"""),"Pass")</f>
        <v>Pass</v>
      </c>
    </row>
    <row r="17">
      <c r="A17" s="1" t="str">
        <f>IFERROR(__xludf.DUMMYFUNCTION("""COMPUTED_VALUE"""),"STD-1064")</f>
        <v>STD-1064</v>
      </c>
      <c r="B17" s="1" t="str">
        <f>IFERROR(__xludf.DUMMYFUNCTION("""COMPUTED_VALUE"""),"Karan Verma")</f>
        <v>Karan Verma</v>
      </c>
      <c r="C17" s="1" t="str">
        <f>IFERROR(__xludf.DUMMYFUNCTION("""COMPUTED_VALUE"""),"Female")</f>
        <v>Female</v>
      </c>
      <c r="D17" s="1" t="str">
        <f>IFERROR(__xludf.DUMMYFUNCTION("""COMPUTED_VALUE"""),"9")</f>
        <v>9</v>
      </c>
      <c r="E17" s="1" t="str">
        <f>IFERROR(__xludf.DUMMYFUNCTION("""COMPUTED_VALUE"""),"C")</f>
        <v>C</v>
      </c>
      <c r="F17" s="1" t="str">
        <f>IFERROR(__xludf.DUMMYFUNCTION("""COMPUTED_VALUE"""),"Chandigarh")</f>
        <v>Chandigarh</v>
      </c>
      <c r="G17" s="1">
        <f>IFERROR(__xludf.DUMMYFUNCTION("""COMPUTED_VALUE"""),56.0)</f>
        <v>56</v>
      </c>
      <c r="H17" s="1">
        <f>IFERROR(__xludf.DUMMYFUNCTION("""COMPUTED_VALUE"""),82.0)</f>
        <v>82</v>
      </c>
      <c r="I17" s="1">
        <f>IFERROR(__xludf.DUMMYFUNCTION("""COMPUTED_VALUE"""),79.0)</f>
        <v>79</v>
      </c>
      <c r="J17" s="1">
        <f>IFERROR(__xludf.DUMMYFUNCTION("""COMPUTED_VALUE"""),63.0)</f>
        <v>63</v>
      </c>
      <c r="K17" s="1">
        <f>IFERROR(__xludf.DUMMYFUNCTION("""COMPUTED_VALUE"""),79.0)</f>
        <v>79</v>
      </c>
      <c r="L17" s="1">
        <f>IFERROR(__xludf.DUMMYFUNCTION("""COMPUTED_VALUE"""),359.0)</f>
        <v>359</v>
      </c>
      <c r="M17" s="1">
        <f>IFERROR(__xludf.DUMMYFUNCTION("""COMPUTED_VALUE"""),71.8)</f>
        <v>71.8</v>
      </c>
      <c r="N17" s="1">
        <f>IFERROR(__xludf.DUMMYFUNCTION("""COMPUTED_VALUE"""),92.0)</f>
        <v>92</v>
      </c>
      <c r="O17" s="1" t="str">
        <f>IFERROR(__xludf.DUMMYFUNCTION("""COMPUTED_VALUE"""),"Pass")</f>
        <v>Pass</v>
      </c>
    </row>
    <row r="18">
      <c r="A18" s="1" t="str">
        <f>IFERROR(__xludf.DUMMYFUNCTION("""COMPUTED_VALUE"""),"STD-1068")</f>
        <v>STD-1068</v>
      </c>
      <c r="B18" s="1" t="str">
        <f>IFERROR(__xludf.DUMMYFUNCTION("""COMPUTED_VALUE"""),"Ritika Banerjee")</f>
        <v>Ritika Banerjee</v>
      </c>
      <c r="C18" s="1" t="str">
        <f>IFERROR(__xludf.DUMMYFUNCTION("""COMPUTED_VALUE"""),"Male")</f>
        <v>Male</v>
      </c>
      <c r="D18" s="1" t="str">
        <f>IFERROR(__xludf.DUMMYFUNCTION("""COMPUTED_VALUE"""),"10")</f>
        <v>10</v>
      </c>
      <c r="E18" s="1" t="str">
        <f>IFERROR(__xludf.DUMMYFUNCTION("""COMPUTED_VALUE"""),"A")</f>
        <v>A</v>
      </c>
      <c r="F18" s="1" t="str">
        <f>IFERROR(__xludf.DUMMYFUNCTION("""COMPUTED_VALUE"""),"Patna")</f>
        <v>Patna</v>
      </c>
      <c r="G18" s="1">
        <f>IFERROR(__xludf.DUMMYFUNCTION("""COMPUTED_VALUE"""),43.0)</f>
        <v>43</v>
      </c>
      <c r="H18" s="1">
        <f>IFERROR(__xludf.DUMMYFUNCTION("""COMPUTED_VALUE"""),79.0)</f>
        <v>79</v>
      </c>
      <c r="I18" s="1">
        <f>IFERROR(__xludf.DUMMYFUNCTION("""COMPUTED_VALUE"""),87.0)</f>
        <v>87</v>
      </c>
      <c r="J18" s="1">
        <f>IFERROR(__xludf.DUMMYFUNCTION("""COMPUTED_VALUE"""),65.0)</f>
        <v>65</v>
      </c>
      <c r="K18" s="1">
        <f>IFERROR(__xludf.DUMMYFUNCTION("""COMPUTED_VALUE"""),95.0)</f>
        <v>95</v>
      </c>
      <c r="L18" s="1">
        <f>IFERROR(__xludf.DUMMYFUNCTION("""COMPUTED_VALUE"""),369.0)</f>
        <v>369</v>
      </c>
      <c r="M18" s="1">
        <f>IFERROR(__xludf.DUMMYFUNCTION("""COMPUTED_VALUE"""),73.8)</f>
        <v>73.8</v>
      </c>
      <c r="N18" s="1">
        <f>IFERROR(__xludf.DUMMYFUNCTION("""COMPUTED_VALUE"""),94.0)</f>
        <v>94</v>
      </c>
      <c r="O18" s="1" t="str">
        <f>IFERROR(__xludf.DUMMYFUNCTION("""COMPUTED_VALUE"""),"Pass")</f>
        <v>Pass</v>
      </c>
    </row>
    <row r="19">
      <c r="A19" s="1" t="str">
        <f>IFERROR(__xludf.DUMMYFUNCTION("""COMPUTED_VALUE"""),"STD-1069")</f>
        <v>STD-1069</v>
      </c>
      <c r="B19" s="1" t="str">
        <f>IFERROR(__xludf.DUMMYFUNCTION("""COMPUTED_VALUE"""),"Pooja Kulkarni")</f>
        <v>Pooja Kulkarni</v>
      </c>
      <c r="C19" s="1" t="str">
        <f>IFERROR(__xludf.DUMMYFUNCTION("""COMPUTED_VALUE"""),"Female")</f>
        <v>Female</v>
      </c>
      <c r="D19" s="1" t="str">
        <f>IFERROR(__xludf.DUMMYFUNCTION("""COMPUTED_VALUE"""),"8")</f>
        <v>8</v>
      </c>
      <c r="E19" s="1" t="str">
        <f>IFERROR(__xludf.DUMMYFUNCTION("""COMPUTED_VALUE"""),"A")</f>
        <v>A</v>
      </c>
      <c r="F19" s="1" t="str">
        <f>IFERROR(__xludf.DUMMYFUNCTION("""COMPUTED_VALUE"""),"Patna")</f>
        <v>Patna</v>
      </c>
      <c r="G19" s="1">
        <f>IFERROR(__xludf.DUMMYFUNCTION("""COMPUTED_VALUE"""),82.0)</f>
        <v>82</v>
      </c>
      <c r="H19" s="1">
        <f>IFERROR(__xludf.DUMMYFUNCTION("""COMPUTED_VALUE"""),56.0)</f>
        <v>56</v>
      </c>
      <c r="I19" s="1">
        <f>IFERROR(__xludf.DUMMYFUNCTION("""COMPUTED_VALUE"""),73.0)</f>
        <v>73</v>
      </c>
      <c r="J19" s="1">
        <f>IFERROR(__xludf.DUMMYFUNCTION("""COMPUTED_VALUE"""),80.0)</f>
        <v>80</v>
      </c>
      <c r="K19" s="1">
        <f>IFERROR(__xludf.DUMMYFUNCTION("""COMPUTED_VALUE"""),47.0)</f>
        <v>47</v>
      </c>
      <c r="L19" s="1">
        <f>IFERROR(__xludf.DUMMYFUNCTION("""COMPUTED_VALUE"""),338.0)</f>
        <v>338</v>
      </c>
      <c r="M19" s="1">
        <f>IFERROR(__xludf.DUMMYFUNCTION("""COMPUTED_VALUE"""),67.6)</f>
        <v>67.6</v>
      </c>
      <c r="N19" s="1">
        <f>IFERROR(__xludf.DUMMYFUNCTION("""COMPUTED_VALUE"""),100.0)</f>
        <v>100</v>
      </c>
      <c r="O19" s="1" t="str">
        <f>IFERROR(__xludf.DUMMYFUNCTION("""COMPUTED_VALUE"""),"Pass")</f>
        <v>Pass</v>
      </c>
    </row>
    <row r="20">
      <c r="A20" s="1" t="str">
        <f>IFERROR(__xludf.DUMMYFUNCTION("""COMPUTED_VALUE"""),"STD-1071")</f>
        <v>STD-1071</v>
      </c>
      <c r="B20" s="1" t="str">
        <f>IFERROR(__xludf.DUMMYFUNCTION("""COMPUTED_VALUE"""),"Vivaan Gupta")</f>
        <v>Vivaan Gupta</v>
      </c>
      <c r="C20" s="1" t="str">
        <f>IFERROR(__xludf.DUMMYFUNCTION("""COMPUTED_VALUE"""),"Female")</f>
        <v>Female</v>
      </c>
      <c r="D20" s="1" t="str">
        <f>IFERROR(__xludf.DUMMYFUNCTION("""COMPUTED_VALUE"""),"9")</f>
        <v>9</v>
      </c>
      <c r="E20" s="1" t="str">
        <f>IFERROR(__xludf.DUMMYFUNCTION("""COMPUTED_VALUE"""),"B")</f>
        <v>B</v>
      </c>
      <c r="F20" s="1" t="str">
        <f>IFERROR(__xludf.DUMMYFUNCTION("""COMPUTED_VALUE"""),"Delhi")</f>
        <v>Delhi</v>
      </c>
      <c r="G20" s="1">
        <f>IFERROR(__xludf.DUMMYFUNCTION("""COMPUTED_VALUE"""),47.0)</f>
        <v>47</v>
      </c>
      <c r="H20" s="1">
        <f>IFERROR(__xludf.DUMMYFUNCTION("""COMPUTED_VALUE"""),83.0)</f>
        <v>83</v>
      </c>
      <c r="I20" s="1">
        <f>IFERROR(__xludf.DUMMYFUNCTION("""COMPUTED_VALUE"""),68.0)</f>
        <v>68</v>
      </c>
      <c r="J20" s="1">
        <f>IFERROR(__xludf.DUMMYFUNCTION("""COMPUTED_VALUE"""),67.0)</f>
        <v>67</v>
      </c>
      <c r="K20" s="1">
        <f>IFERROR(__xludf.DUMMYFUNCTION("""COMPUTED_VALUE"""),61.0)</f>
        <v>61</v>
      </c>
      <c r="L20" s="1">
        <f>IFERROR(__xludf.DUMMYFUNCTION("""COMPUTED_VALUE"""),326.0)</f>
        <v>326</v>
      </c>
      <c r="M20" s="1">
        <f>IFERROR(__xludf.DUMMYFUNCTION("""COMPUTED_VALUE"""),65.2)</f>
        <v>65.2</v>
      </c>
      <c r="N20" s="1">
        <f>IFERROR(__xludf.DUMMYFUNCTION("""COMPUTED_VALUE"""),93.0)</f>
        <v>93</v>
      </c>
      <c r="O20" s="1" t="str">
        <f>IFERROR(__xludf.DUMMYFUNCTION("""COMPUTED_VALUE"""),"Pass")</f>
        <v>Pass</v>
      </c>
    </row>
    <row r="21" ht="15.75" customHeight="1">
      <c r="A21" s="1" t="str">
        <f>IFERROR(__xludf.DUMMYFUNCTION("""COMPUTED_VALUE"""),"STD-1080")</f>
        <v>STD-1080</v>
      </c>
      <c r="B21" s="1" t="str">
        <f>IFERROR(__xludf.DUMMYFUNCTION("""COMPUTED_VALUE"""),"Aarav Sharma")</f>
        <v>Aarav Sharma</v>
      </c>
      <c r="C21" s="1" t="str">
        <f>IFERROR(__xludf.DUMMYFUNCTION("""COMPUTED_VALUE"""),"Female")</f>
        <v>Female</v>
      </c>
      <c r="D21" s="1" t="str">
        <f>IFERROR(__xludf.DUMMYFUNCTION("""COMPUTED_VALUE"""),"7")</f>
        <v>7</v>
      </c>
      <c r="E21" s="1" t="str">
        <f>IFERROR(__xludf.DUMMYFUNCTION("""COMPUTED_VALUE"""),"B")</f>
        <v>B</v>
      </c>
      <c r="F21" s="1" t="str">
        <f>IFERROR(__xludf.DUMMYFUNCTION("""COMPUTED_VALUE"""),"Kolkata")</f>
        <v>Kolkata</v>
      </c>
      <c r="G21" s="1">
        <f>IFERROR(__xludf.DUMMYFUNCTION("""COMPUTED_VALUE"""),96.0)</f>
        <v>96</v>
      </c>
      <c r="H21" s="1">
        <f>IFERROR(__xludf.DUMMYFUNCTION("""COMPUTED_VALUE"""),43.0)</f>
        <v>43</v>
      </c>
      <c r="I21" s="1">
        <f>IFERROR(__xludf.DUMMYFUNCTION("""COMPUTED_VALUE"""),88.0)</f>
        <v>88</v>
      </c>
      <c r="J21" s="1">
        <f>IFERROR(__xludf.DUMMYFUNCTION("""COMPUTED_VALUE"""),55.0)</f>
        <v>55</v>
      </c>
      <c r="K21" s="1">
        <f>IFERROR(__xludf.DUMMYFUNCTION("""COMPUTED_VALUE"""),56.0)</f>
        <v>56</v>
      </c>
      <c r="L21" s="1">
        <f>IFERROR(__xludf.DUMMYFUNCTION("""COMPUTED_VALUE"""),338.0)</f>
        <v>338</v>
      </c>
      <c r="M21" s="1">
        <f>IFERROR(__xludf.DUMMYFUNCTION("""COMPUTED_VALUE"""),67.6)</f>
        <v>67.6</v>
      </c>
      <c r="N21" s="1">
        <f>IFERROR(__xludf.DUMMYFUNCTION("""COMPUTED_VALUE"""),93.0)</f>
        <v>93</v>
      </c>
      <c r="O21" s="1" t="str">
        <f>IFERROR(__xludf.DUMMYFUNCTION("""COMPUTED_VALUE"""),"Pass")</f>
        <v>Pass</v>
      </c>
    </row>
    <row r="22" ht="15.75" customHeight="1">
      <c r="A22" s="1" t="str">
        <f>IFERROR(__xludf.DUMMYFUNCTION("""COMPUTED_VALUE"""),"STD-1081")</f>
        <v>STD-1081</v>
      </c>
      <c r="B22" s="1" t="str">
        <f>IFERROR(__xludf.DUMMYFUNCTION("""COMPUTED_VALUE"""),"Vivaan Banerjee")</f>
        <v>Vivaan Banerjee</v>
      </c>
      <c r="C22" s="1" t="str">
        <f>IFERROR(__xludf.DUMMYFUNCTION("""COMPUTED_VALUE"""),"Male")</f>
        <v>Male</v>
      </c>
      <c r="D22" s="1" t="str">
        <f>IFERROR(__xludf.DUMMYFUNCTION("""COMPUTED_VALUE"""),"7")</f>
        <v>7</v>
      </c>
      <c r="E22" s="1" t="str">
        <f>IFERROR(__xludf.DUMMYFUNCTION("""COMPUTED_VALUE"""),"C")</f>
        <v>C</v>
      </c>
      <c r="F22" s="1" t="str">
        <f>IFERROR(__xludf.DUMMYFUNCTION("""COMPUTED_VALUE"""),"Mumbai")</f>
        <v>Mumbai</v>
      </c>
      <c r="G22" s="1">
        <f>IFERROR(__xludf.DUMMYFUNCTION("""COMPUTED_VALUE"""),61.0)</f>
        <v>61</v>
      </c>
      <c r="H22" s="1">
        <f>IFERROR(__xludf.DUMMYFUNCTION("""COMPUTED_VALUE"""),70.0)</f>
        <v>70</v>
      </c>
      <c r="I22" s="1">
        <f>IFERROR(__xludf.DUMMYFUNCTION("""COMPUTED_VALUE"""),52.0)</f>
        <v>52</v>
      </c>
      <c r="J22" s="1">
        <f>IFERROR(__xludf.DUMMYFUNCTION("""COMPUTED_VALUE"""),86.0)</f>
        <v>86</v>
      </c>
      <c r="K22" s="1">
        <f>IFERROR(__xludf.DUMMYFUNCTION("""COMPUTED_VALUE"""),61.0)</f>
        <v>61</v>
      </c>
      <c r="L22" s="1">
        <f>IFERROR(__xludf.DUMMYFUNCTION("""COMPUTED_VALUE"""),330.0)</f>
        <v>330</v>
      </c>
      <c r="M22" s="1">
        <f>IFERROR(__xludf.DUMMYFUNCTION("""COMPUTED_VALUE"""),66.0)</f>
        <v>66</v>
      </c>
      <c r="N22" s="1">
        <f>IFERROR(__xludf.DUMMYFUNCTION("""COMPUTED_VALUE"""),91.0)</f>
        <v>91</v>
      </c>
      <c r="O22" s="1" t="str">
        <f>IFERROR(__xludf.DUMMYFUNCTION("""COMPUTED_VALUE"""),"Pass")</f>
        <v>Pass</v>
      </c>
    </row>
    <row r="23" ht="15.75" customHeight="1">
      <c r="A23" s="1" t="str">
        <f>IFERROR(__xludf.DUMMYFUNCTION("""COMPUTED_VALUE"""),"STD-1082")</f>
        <v>STD-1082</v>
      </c>
      <c r="B23" s="1" t="str">
        <f>IFERROR(__xludf.DUMMYFUNCTION("""COMPUTED_VALUE"""),"Aditya Sharma")</f>
        <v>Aditya Sharma</v>
      </c>
      <c r="C23" s="1" t="str">
        <f>IFERROR(__xludf.DUMMYFUNCTION("""COMPUTED_VALUE"""),"Male")</f>
        <v>Male</v>
      </c>
      <c r="D23" s="1" t="str">
        <f>IFERROR(__xludf.DUMMYFUNCTION("""COMPUTED_VALUE"""),"6")</f>
        <v>6</v>
      </c>
      <c r="E23" s="1" t="str">
        <f>IFERROR(__xludf.DUMMYFUNCTION("""COMPUTED_VALUE"""),"A")</f>
        <v>A</v>
      </c>
      <c r="F23" s="1" t="str">
        <f>IFERROR(__xludf.DUMMYFUNCTION("""COMPUTED_VALUE"""),"Lucknow")</f>
        <v>Lucknow</v>
      </c>
      <c r="G23" s="1">
        <f>IFERROR(__xludf.DUMMYFUNCTION("""COMPUTED_VALUE"""),40.0)</f>
        <v>40</v>
      </c>
      <c r="H23" s="1">
        <f>IFERROR(__xludf.DUMMYFUNCTION("""COMPUTED_VALUE"""),98.0)</f>
        <v>98</v>
      </c>
      <c r="I23" s="1">
        <f>IFERROR(__xludf.DUMMYFUNCTION("""COMPUTED_VALUE"""),53.0)</f>
        <v>53</v>
      </c>
      <c r="J23" s="1">
        <f>IFERROR(__xludf.DUMMYFUNCTION("""COMPUTED_VALUE"""),62.0)</f>
        <v>62</v>
      </c>
      <c r="K23" s="1">
        <f>IFERROR(__xludf.DUMMYFUNCTION("""COMPUTED_VALUE"""),83.0)</f>
        <v>83</v>
      </c>
      <c r="L23" s="1">
        <f>IFERROR(__xludf.DUMMYFUNCTION("""COMPUTED_VALUE"""),336.0)</f>
        <v>336</v>
      </c>
      <c r="M23" s="1">
        <f>IFERROR(__xludf.DUMMYFUNCTION("""COMPUTED_VALUE"""),67.2)</f>
        <v>67.2</v>
      </c>
      <c r="N23" s="1">
        <f>IFERROR(__xludf.DUMMYFUNCTION("""COMPUTED_VALUE"""),93.0)</f>
        <v>93</v>
      </c>
      <c r="O23" s="1" t="str">
        <f>IFERROR(__xludf.DUMMYFUNCTION("""COMPUTED_VALUE"""),"Pass")</f>
        <v>Pass</v>
      </c>
    </row>
    <row r="24" ht="15.75" customHeight="1">
      <c r="A24" s="1" t="str">
        <f>IFERROR(__xludf.DUMMYFUNCTION("""COMPUTED_VALUE"""),"STD-1084")</f>
        <v>STD-1084</v>
      </c>
      <c r="B24" s="1" t="str">
        <f>IFERROR(__xludf.DUMMYFUNCTION("""COMPUTED_VALUE"""),"Tanvi Kulkarni")</f>
        <v>Tanvi Kulkarni</v>
      </c>
      <c r="C24" s="1" t="str">
        <f>IFERROR(__xludf.DUMMYFUNCTION("""COMPUTED_VALUE"""),"Female")</f>
        <v>Female</v>
      </c>
      <c r="D24" s="1" t="str">
        <f>IFERROR(__xludf.DUMMYFUNCTION("""COMPUTED_VALUE"""),"6")</f>
        <v>6</v>
      </c>
      <c r="E24" s="1" t="str">
        <f>IFERROR(__xludf.DUMMYFUNCTION("""COMPUTED_VALUE"""),"B")</f>
        <v>B</v>
      </c>
      <c r="F24" s="1" t="str">
        <f>IFERROR(__xludf.DUMMYFUNCTION("""COMPUTED_VALUE"""),"Patna")</f>
        <v>Patna</v>
      </c>
      <c r="G24" s="1">
        <f>IFERROR(__xludf.DUMMYFUNCTION("""COMPUTED_VALUE"""),46.0)</f>
        <v>46</v>
      </c>
      <c r="H24" s="1">
        <f>IFERROR(__xludf.DUMMYFUNCTION("""COMPUTED_VALUE"""),64.0)</f>
        <v>64</v>
      </c>
      <c r="I24" s="1">
        <f>IFERROR(__xludf.DUMMYFUNCTION("""COMPUTED_VALUE"""),89.0)</f>
        <v>89</v>
      </c>
      <c r="J24" s="1">
        <f>IFERROR(__xludf.DUMMYFUNCTION("""COMPUTED_VALUE"""),90.0)</f>
        <v>90</v>
      </c>
      <c r="K24" s="1">
        <f>IFERROR(__xludf.DUMMYFUNCTION("""COMPUTED_VALUE"""),44.0)</f>
        <v>44</v>
      </c>
      <c r="L24" s="1">
        <f>IFERROR(__xludf.DUMMYFUNCTION("""COMPUTED_VALUE"""),333.0)</f>
        <v>333</v>
      </c>
      <c r="M24" s="1">
        <f>IFERROR(__xludf.DUMMYFUNCTION("""COMPUTED_VALUE"""),66.6)</f>
        <v>66.6</v>
      </c>
      <c r="N24" s="1">
        <f>IFERROR(__xludf.DUMMYFUNCTION("""COMPUTED_VALUE"""),92.0)</f>
        <v>92</v>
      </c>
      <c r="O24" s="1" t="str">
        <f>IFERROR(__xludf.DUMMYFUNCTION("""COMPUTED_VALUE"""),"Pass")</f>
        <v>Pass</v>
      </c>
    </row>
    <row r="25" ht="15.75" customHeight="1">
      <c r="A25" s="1" t="str">
        <f>IFERROR(__xludf.DUMMYFUNCTION("""COMPUTED_VALUE"""),"STD-1085")</f>
        <v>STD-1085</v>
      </c>
      <c r="B25" s="1" t="str">
        <f>IFERROR(__xludf.DUMMYFUNCTION("""COMPUTED_VALUE"""),"Rohan Kulkarni")</f>
        <v>Rohan Kulkarni</v>
      </c>
      <c r="C25" s="1" t="str">
        <f>IFERROR(__xludf.DUMMYFUNCTION("""COMPUTED_VALUE"""),"Male")</f>
        <v>Male</v>
      </c>
      <c r="D25" s="1" t="str">
        <f>IFERROR(__xludf.DUMMYFUNCTION("""COMPUTED_VALUE"""),"8")</f>
        <v>8</v>
      </c>
      <c r="E25" s="1" t="str">
        <f>IFERROR(__xludf.DUMMYFUNCTION("""COMPUTED_VALUE"""),"B")</f>
        <v>B</v>
      </c>
      <c r="F25" s="1" t="str">
        <f>IFERROR(__xludf.DUMMYFUNCTION("""COMPUTED_VALUE"""),"Mumbai")</f>
        <v>Mumbai</v>
      </c>
      <c r="G25" s="1">
        <f>IFERROR(__xludf.DUMMYFUNCTION("""COMPUTED_VALUE"""),63.0)</f>
        <v>63</v>
      </c>
      <c r="H25" s="1">
        <f>IFERROR(__xludf.DUMMYFUNCTION("""COMPUTED_VALUE"""),100.0)</f>
        <v>100</v>
      </c>
      <c r="I25" s="1">
        <f>IFERROR(__xludf.DUMMYFUNCTION("""COMPUTED_VALUE"""),40.0)</f>
        <v>40</v>
      </c>
      <c r="J25" s="1">
        <f>IFERROR(__xludf.DUMMYFUNCTION("""COMPUTED_VALUE"""),46.0)</f>
        <v>46</v>
      </c>
      <c r="K25" s="1">
        <f>IFERROR(__xludf.DUMMYFUNCTION("""COMPUTED_VALUE"""),49.0)</f>
        <v>49</v>
      </c>
      <c r="L25" s="1">
        <f>IFERROR(__xludf.DUMMYFUNCTION("""COMPUTED_VALUE"""),298.0)</f>
        <v>298</v>
      </c>
      <c r="M25" s="1">
        <f>IFERROR(__xludf.DUMMYFUNCTION("""COMPUTED_VALUE"""),59.6)</f>
        <v>59.6</v>
      </c>
      <c r="N25" s="1">
        <f>IFERROR(__xludf.DUMMYFUNCTION("""COMPUTED_VALUE"""),99.0)</f>
        <v>99</v>
      </c>
      <c r="O25" s="1" t="str">
        <f>IFERROR(__xludf.DUMMYFUNCTION("""COMPUTED_VALUE"""),"Pass")</f>
        <v>Pass</v>
      </c>
    </row>
    <row r="26" ht="15.75" customHeight="1">
      <c r="A26" s="1" t="str">
        <f>IFERROR(__xludf.DUMMYFUNCTION("""COMPUTED_VALUE"""),"STD-1089")</f>
        <v>STD-1089</v>
      </c>
      <c r="B26" s="1" t="str">
        <f>IFERROR(__xludf.DUMMYFUNCTION("""COMPUTED_VALUE"""),"Simran Sharma")</f>
        <v>Simran Sharma</v>
      </c>
      <c r="C26" s="1" t="str">
        <f>IFERROR(__xludf.DUMMYFUNCTION("""COMPUTED_VALUE"""),"Male")</f>
        <v>Male</v>
      </c>
      <c r="D26" s="1" t="str">
        <f>IFERROR(__xludf.DUMMYFUNCTION("""COMPUTED_VALUE"""),"7")</f>
        <v>7</v>
      </c>
      <c r="E26" s="1" t="str">
        <f>IFERROR(__xludf.DUMMYFUNCTION("""COMPUTED_VALUE"""),"C")</f>
        <v>C</v>
      </c>
      <c r="F26" s="1" t="str">
        <f>IFERROR(__xludf.DUMMYFUNCTION("""COMPUTED_VALUE"""),"Chandigarh")</f>
        <v>Chandigarh</v>
      </c>
      <c r="G26" s="1">
        <f>IFERROR(__xludf.DUMMYFUNCTION("""COMPUTED_VALUE"""),46.0)</f>
        <v>46</v>
      </c>
      <c r="H26" s="1">
        <f>IFERROR(__xludf.DUMMYFUNCTION("""COMPUTED_VALUE"""),43.0)</f>
        <v>43</v>
      </c>
      <c r="I26" s="1">
        <f>IFERROR(__xludf.DUMMYFUNCTION("""COMPUTED_VALUE"""),78.0)</f>
        <v>78</v>
      </c>
      <c r="J26" s="1">
        <f>IFERROR(__xludf.DUMMYFUNCTION("""COMPUTED_VALUE"""),79.0)</f>
        <v>79</v>
      </c>
      <c r="K26" s="1">
        <f>IFERROR(__xludf.DUMMYFUNCTION("""COMPUTED_VALUE"""),73.0)</f>
        <v>73</v>
      </c>
      <c r="L26" s="1">
        <f>IFERROR(__xludf.DUMMYFUNCTION("""COMPUTED_VALUE"""),319.0)</f>
        <v>319</v>
      </c>
      <c r="M26" s="1">
        <f>IFERROR(__xludf.DUMMYFUNCTION("""COMPUTED_VALUE"""),63.8)</f>
        <v>63.8</v>
      </c>
      <c r="N26" s="1">
        <f>IFERROR(__xludf.DUMMYFUNCTION("""COMPUTED_VALUE"""),95.0)</f>
        <v>95</v>
      </c>
      <c r="O26" s="1" t="str">
        <f>IFERROR(__xludf.DUMMYFUNCTION("""COMPUTED_VALUE"""),"Pass")</f>
        <v>Pass</v>
      </c>
    </row>
    <row r="27" ht="15.75" customHeight="1">
      <c r="A27" s="1" t="str">
        <f>IFERROR(__xludf.DUMMYFUNCTION("""COMPUTED_VALUE"""),"STD-1090")</f>
        <v>STD-1090</v>
      </c>
      <c r="B27" s="1" t="str">
        <f>IFERROR(__xludf.DUMMYFUNCTION("""COMPUTED_VALUE"""),"Rahul Reddy")</f>
        <v>Rahul Reddy</v>
      </c>
      <c r="C27" s="1" t="str">
        <f>IFERROR(__xludf.DUMMYFUNCTION("""COMPUTED_VALUE"""),"Male")</f>
        <v>Male</v>
      </c>
      <c r="D27" s="1" t="str">
        <f>IFERROR(__xludf.DUMMYFUNCTION("""COMPUTED_VALUE"""),"10")</f>
        <v>10</v>
      </c>
      <c r="E27" s="1" t="str">
        <f>IFERROR(__xludf.DUMMYFUNCTION("""COMPUTED_VALUE"""),"C")</f>
        <v>C</v>
      </c>
      <c r="F27" s="1" t="str">
        <f>IFERROR(__xludf.DUMMYFUNCTION("""COMPUTED_VALUE"""),"Jaipur")</f>
        <v>Jaipur</v>
      </c>
      <c r="G27" s="1">
        <f>IFERROR(__xludf.DUMMYFUNCTION("""COMPUTED_VALUE"""),85.0)</f>
        <v>85</v>
      </c>
      <c r="H27" s="1">
        <f>IFERROR(__xludf.DUMMYFUNCTION("""COMPUTED_VALUE"""),68.0)</f>
        <v>68</v>
      </c>
      <c r="I27" s="1">
        <f>IFERROR(__xludf.DUMMYFUNCTION("""COMPUTED_VALUE"""),41.0)</f>
        <v>41</v>
      </c>
      <c r="J27" s="1">
        <f>IFERROR(__xludf.DUMMYFUNCTION("""COMPUTED_VALUE"""),88.0)</f>
        <v>88</v>
      </c>
      <c r="K27" s="1">
        <f>IFERROR(__xludf.DUMMYFUNCTION("""COMPUTED_VALUE"""),75.0)</f>
        <v>75</v>
      </c>
      <c r="L27" s="1">
        <f>IFERROR(__xludf.DUMMYFUNCTION("""COMPUTED_VALUE"""),357.0)</f>
        <v>357</v>
      </c>
      <c r="M27" s="1">
        <f>IFERROR(__xludf.DUMMYFUNCTION("""COMPUTED_VALUE"""),71.4)</f>
        <v>71.4</v>
      </c>
      <c r="N27" s="1">
        <f>IFERROR(__xludf.DUMMYFUNCTION("""COMPUTED_VALUE"""),91.0)</f>
        <v>91</v>
      </c>
      <c r="O27" s="1" t="str">
        <f>IFERROR(__xludf.DUMMYFUNCTION("""COMPUTED_VALUE"""),"Pass")</f>
        <v>Pass</v>
      </c>
    </row>
    <row r="28" ht="15.75" customHeight="1">
      <c r="A28" s="1" t="str">
        <f>IFERROR(__xludf.DUMMYFUNCTION("""COMPUTED_VALUE"""),"STD-1091")</f>
        <v>STD-1091</v>
      </c>
      <c r="B28" s="1" t="str">
        <f>IFERROR(__xludf.DUMMYFUNCTION("""COMPUTED_VALUE"""),"Karan Reddy")</f>
        <v>Karan Reddy</v>
      </c>
      <c r="C28" s="1" t="str">
        <f>IFERROR(__xludf.DUMMYFUNCTION("""COMPUTED_VALUE"""),"Male")</f>
        <v>Male</v>
      </c>
      <c r="D28" s="1" t="str">
        <f>IFERROR(__xludf.DUMMYFUNCTION("""COMPUTED_VALUE"""),"10")</f>
        <v>10</v>
      </c>
      <c r="E28" s="1" t="str">
        <f>IFERROR(__xludf.DUMMYFUNCTION("""COMPUTED_VALUE"""),"A")</f>
        <v>A</v>
      </c>
      <c r="F28" s="1" t="str">
        <f>IFERROR(__xludf.DUMMYFUNCTION("""COMPUTED_VALUE"""),"Delhi")</f>
        <v>Delhi</v>
      </c>
      <c r="G28" s="1">
        <f>IFERROR(__xludf.DUMMYFUNCTION("""COMPUTED_VALUE"""),46.0)</f>
        <v>46</v>
      </c>
      <c r="H28" s="1">
        <f>IFERROR(__xludf.DUMMYFUNCTION("""COMPUTED_VALUE"""),93.0)</f>
        <v>93</v>
      </c>
      <c r="I28" s="1">
        <f>IFERROR(__xludf.DUMMYFUNCTION("""COMPUTED_VALUE"""),75.0)</f>
        <v>75</v>
      </c>
      <c r="J28" s="1">
        <f>IFERROR(__xludf.DUMMYFUNCTION("""COMPUTED_VALUE"""),98.0)</f>
        <v>98</v>
      </c>
      <c r="K28" s="1">
        <f>IFERROR(__xludf.DUMMYFUNCTION("""COMPUTED_VALUE"""),57.0)</f>
        <v>57</v>
      </c>
      <c r="L28" s="1">
        <f>IFERROR(__xludf.DUMMYFUNCTION("""COMPUTED_VALUE"""),369.0)</f>
        <v>369</v>
      </c>
      <c r="M28" s="1">
        <f>IFERROR(__xludf.DUMMYFUNCTION("""COMPUTED_VALUE"""),73.8)</f>
        <v>73.8</v>
      </c>
      <c r="N28" s="1">
        <f>IFERROR(__xludf.DUMMYFUNCTION("""COMPUTED_VALUE"""),96.0)</f>
        <v>96</v>
      </c>
      <c r="O28" s="1" t="str">
        <f>IFERROR(__xludf.DUMMYFUNCTION("""COMPUTED_VALUE"""),"Pass")</f>
        <v>Pass</v>
      </c>
    </row>
    <row r="29" ht="15.75" customHeight="1">
      <c r="A29" s="1" t="str">
        <f>IFERROR(__xludf.DUMMYFUNCTION("""COMPUTED_VALUE"""),"STD-1093")</f>
        <v>STD-1093</v>
      </c>
      <c r="B29" s="1" t="str">
        <f>IFERROR(__xludf.DUMMYFUNCTION("""COMPUTED_VALUE"""),"Arjun Gupta")</f>
        <v>Arjun Gupta</v>
      </c>
      <c r="C29" s="1" t="str">
        <f>IFERROR(__xludf.DUMMYFUNCTION("""COMPUTED_VALUE"""),"Female")</f>
        <v>Female</v>
      </c>
      <c r="D29" s="1" t="str">
        <f>IFERROR(__xludf.DUMMYFUNCTION("""COMPUTED_VALUE"""),"7")</f>
        <v>7</v>
      </c>
      <c r="E29" s="1" t="str">
        <f>IFERROR(__xludf.DUMMYFUNCTION("""COMPUTED_VALUE"""),"A")</f>
        <v>A</v>
      </c>
      <c r="F29" s="1" t="str">
        <f>IFERROR(__xludf.DUMMYFUNCTION("""COMPUTED_VALUE"""),"Mumbai")</f>
        <v>Mumbai</v>
      </c>
      <c r="G29" s="1">
        <f>IFERROR(__xludf.DUMMYFUNCTION("""COMPUTED_VALUE"""),54.0)</f>
        <v>54</v>
      </c>
      <c r="H29" s="1">
        <f>IFERROR(__xludf.DUMMYFUNCTION("""COMPUTED_VALUE"""),57.0)</f>
        <v>57</v>
      </c>
      <c r="I29" s="1">
        <f>IFERROR(__xludf.DUMMYFUNCTION("""COMPUTED_VALUE"""),94.0)</f>
        <v>94</v>
      </c>
      <c r="J29" s="1">
        <f>IFERROR(__xludf.DUMMYFUNCTION("""COMPUTED_VALUE"""),79.0)</f>
        <v>79</v>
      </c>
      <c r="K29" s="1">
        <f>IFERROR(__xludf.DUMMYFUNCTION("""COMPUTED_VALUE"""),95.0)</f>
        <v>95</v>
      </c>
      <c r="L29" s="1">
        <f>IFERROR(__xludf.DUMMYFUNCTION("""COMPUTED_VALUE"""),379.0)</f>
        <v>379</v>
      </c>
      <c r="M29" s="1">
        <f>IFERROR(__xludf.DUMMYFUNCTION("""COMPUTED_VALUE"""),75.8)</f>
        <v>75.8</v>
      </c>
      <c r="N29" s="1">
        <f>IFERROR(__xludf.DUMMYFUNCTION("""COMPUTED_VALUE"""),93.0)</f>
        <v>93</v>
      </c>
      <c r="O29" s="1" t="str">
        <f>IFERROR(__xludf.DUMMYFUNCTION("""COMPUTED_VALUE"""),"Pass")</f>
        <v>Pass</v>
      </c>
    </row>
    <row r="30" ht="15.75" customHeight="1">
      <c r="A30" s="1" t="str">
        <f>IFERROR(__xludf.DUMMYFUNCTION("""COMPUTED_VALUE"""),"STD-1094")</f>
        <v>STD-1094</v>
      </c>
      <c r="B30" s="1" t="str">
        <f>IFERROR(__xludf.DUMMYFUNCTION("""COMPUTED_VALUE"""),"Rohan Nair")</f>
        <v>Rohan Nair</v>
      </c>
      <c r="C30" s="1" t="str">
        <f>IFERROR(__xludf.DUMMYFUNCTION("""COMPUTED_VALUE"""),"Female")</f>
        <v>Female</v>
      </c>
      <c r="D30" s="1" t="str">
        <f>IFERROR(__xludf.DUMMYFUNCTION("""COMPUTED_VALUE"""),"10")</f>
        <v>10</v>
      </c>
      <c r="E30" s="1" t="str">
        <f>IFERROR(__xludf.DUMMYFUNCTION("""COMPUTED_VALUE"""),"A")</f>
        <v>A</v>
      </c>
      <c r="F30" s="1" t="str">
        <f>IFERROR(__xludf.DUMMYFUNCTION("""COMPUTED_VALUE"""),"Patna")</f>
        <v>Patna</v>
      </c>
      <c r="G30" s="1">
        <f>IFERROR(__xludf.DUMMYFUNCTION("""COMPUTED_VALUE"""),47.0)</f>
        <v>47</v>
      </c>
      <c r="H30" s="1">
        <f>IFERROR(__xludf.DUMMYFUNCTION("""COMPUTED_VALUE"""),68.0)</f>
        <v>68</v>
      </c>
      <c r="I30" s="1">
        <f>IFERROR(__xludf.DUMMYFUNCTION("""COMPUTED_VALUE"""),100.0)</f>
        <v>100</v>
      </c>
      <c r="J30" s="1">
        <f>IFERROR(__xludf.DUMMYFUNCTION("""COMPUTED_VALUE"""),91.0)</f>
        <v>91</v>
      </c>
      <c r="K30" s="1">
        <f>IFERROR(__xludf.DUMMYFUNCTION("""COMPUTED_VALUE"""),43.0)</f>
        <v>43</v>
      </c>
      <c r="L30" s="1">
        <f>IFERROR(__xludf.DUMMYFUNCTION("""COMPUTED_VALUE"""),349.0)</f>
        <v>349</v>
      </c>
      <c r="M30" s="1">
        <f>IFERROR(__xludf.DUMMYFUNCTION("""COMPUTED_VALUE"""),69.8)</f>
        <v>69.8</v>
      </c>
      <c r="N30" s="1">
        <f>IFERROR(__xludf.DUMMYFUNCTION("""COMPUTED_VALUE"""),93.0)</f>
        <v>93</v>
      </c>
      <c r="O30" s="1" t="str">
        <f>IFERROR(__xludf.DUMMYFUNCTION("""COMPUTED_VALUE"""),"Pass")</f>
        <v>Pass</v>
      </c>
    </row>
    <row r="31" ht="15.75" customHeight="1">
      <c r="A31" s="1" t="str">
        <f>IFERROR(__xludf.DUMMYFUNCTION("""COMPUTED_VALUE"""),"STD-1095")</f>
        <v>STD-1095</v>
      </c>
      <c r="B31" s="1" t="str">
        <f>IFERROR(__xludf.DUMMYFUNCTION("""COMPUTED_VALUE"""),"Meera Kulkarni")</f>
        <v>Meera Kulkarni</v>
      </c>
      <c r="C31" s="1" t="str">
        <f>IFERROR(__xludf.DUMMYFUNCTION("""COMPUTED_VALUE"""),"Female")</f>
        <v>Female</v>
      </c>
      <c r="D31" s="1" t="str">
        <f>IFERROR(__xludf.DUMMYFUNCTION("""COMPUTED_VALUE"""),"7")</f>
        <v>7</v>
      </c>
      <c r="E31" s="1" t="str">
        <f>IFERROR(__xludf.DUMMYFUNCTION("""COMPUTED_VALUE"""),"A")</f>
        <v>A</v>
      </c>
      <c r="F31" s="1" t="str">
        <f>IFERROR(__xludf.DUMMYFUNCTION("""COMPUTED_VALUE"""),"Lucknow")</f>
        <v>Lucknow</v>
      </c>
      <c r="G31" s="1">
        <f>IFERROR(__xludf.DUMMYFUNCTION("""COMPUTED_VALUE"""),58.0)</f>
        <v>58</v>
      </c>
      <c r="H31" s="1">
        <f>IFERROR(__xludf.DUMMYFUNCTION("""COMPUTED_VALUE"""),72.0)</f>
        <v>72</v>
      </c>
      <c r="I31" s="1">
        <f>IFERROR(__xludf.DUMMYFUNCTION("""COMPUTED_VALUE"""),60.0)</f>
        <v>60</v>
      </c>
      <c r="J31" s="1">
        <f>IFERROR(__xludf.DUMMYFUNCTION("""COMPUTED_VALUE"""),45.0)</f>
        <v>45</v>
      </c>
      <c r="K31" s="1">
        <f>IFERROR(__xludf.DUMMYFUNCTION("""COMPUTED_VALUE"""),52.0)</f>
        <v>52</v>
      </c>
      <c r="L31" s="1">
        <f>IFERROR(__xludf.DUMMYFUNCTION("""COMPUTED_VALUE"""),287.0)</f>
        <v>287</v>
      </c>
      <c r="M31" s="1">
        <f>IFERROR(__xludf.DUMMYFUNCTION("""COMPUTED_VALUE"""),57.4)</f>
        <v>57.4</v>
      </c>
      <c r="N31" s="1">
        <f>IFERROR(__xludf.DUMMYFUNCTION("""COMPUTED_VALUE"""),99.0)</f>
        <v>99</v>
      </c>
      <c r="O31" s="1" t="str">
        <f>IFERROR(__xludf.DUMMYFUNCTION("""COMPUTED_VALUE"""),"Pass")</f>
        <v>Pass</v>
      </c>
    </row>
    <row r="32" ht="15.75" customHeight="1">
      <c r="A32" s="1" t="str">
        <f>IFERROR(__xludf.DUMMYFUNCTION("""COMPUTED_VALUE"""),"STD-1099")</f>
        <v>STD-1099</v>
      </c>
      <c r="B32" s="1" t="str">
        <f>IFERROR(__xludf.DUMMYFUNCTION("""COMPUTED_VALUE"""),"Sneha Iyer")</f>
        <v>Sneha Iyer</v>
      </c>
      <c r="C32" s="1" t="str">
        <f>IFERROR(__xludf.DUMMYFUNCTION("""COMPUTED_VALUE"""),"Male")</f>
        <v>Male</v>
      </c>
      <c r="D32" s="1" t="str">
        <f>IFERROR(__xludf.DUMMYFUNCTION("""COMPUTED_VALUE"""),"9")</f>
        <v>9</v>
      </c>
      <c r="E32" s="1" t="str">
        <f>IFERROR(__xludf.DUMMYFUNCTION("""COMPUTED_VALUE"""),"C")</f>
        <v>C</v>
      </c>
      <c r="F32" s="1" t="str">
        <f>IFERROR(__xludf.DUMMYFUNCTION("""COMPUTED_VALUE"""),"Jaipur")</f>
        <v>Jaipur</v>
      </c>
      <c r="G32" s="1">
        <f>IFERROR(__xludf.DUMMYFUNCTION("""COMPUTED_VALUE"""),100.0)</f>
        <v>100</v>
      </c>
      <c r="H32" s="1">
        <f>IFERROR(__xludf.DUMMYFUNCTION("""COMPUTED_VALUE"""),100.0)</f>
        <v>100</v>
      </c>
      <c r="I32" s="1">
        <f>IFERROR(__xludf.DUMMYFUNCTION("""COMPUTED_VALUE"""),53.0)</f>
        <v>53</v>
      </c>
      <c r="J32" s="1">
        <f>IFERROR(__xludf.DUMMYFUNCTION("""COMPUTED_VALUE"""),42.0)</f>
        <v>42</v>
      </c>
      <c r="K32" s="1">
        <f>IFERROR(__xludf.DUMMYFUNCTION("""COMPUTED_VALUE"""),65.0)</f>
        <v>65</v>
      </c>
      <c r="L32" s="1">
        <f>IFERROR(__xludf.DUMMYFUNCTION("""COMPUTED_VALUE"""),360.0)</f>
        <v>360</v>
      </c>
      <c r="M32" s="1">
        <f>IFERROR(__xludf.DUMMYFUNCTION("""COMPUTED_VALUE"""),72.0)</f>
        <v>72</v>
      </c>
      <c r="N32" s="1">
        <f>IFERROR(__xludf.DUMMYFUNCTION("""COMPUTED_VALUE"""),96.0)</f>
        <v>96</v>
      </c>
      <c r="O32" s="1" t="str">
        <f>IFERROR(__xludf.DUMMYFUNCTION("""COMPUTED_VALUE"""),"Pass")</f>
        <v>Pass</v>
      </c>
    </row>
    <row r="33" ht="15.75" customHeight="1">
      <c r="A33" s="1" t="str">
        <f>IFERROR(__xludf.DUMMYFUNCTION("""COMPUTED_VALUE"""),"STD-1106")</f>
        <v>STD-1106</v>
      </c>
      <c r="B33" s="1" t="str">
        <f>IFERROR(__xludf.DUMMYFUNCTION("""COMPUTED_VALUE"""),"Ritika Iyer")</f>
        <v>Ritika Iyer</v>
      </c>
      <c r="C33" s="1" t="str">
        <f>IFERROR(__xludf.DUMMYFUNCTION("""COMPUTED_VALUE"""),"Male")</f>
        <v>Male</v>
      </c>
      <c r="D33" s="1" t="str">
        <f>IFERROR(__xludf.DUMMYFUNCTION("""COMPUTED_VALUE"""),"10")</f>
        <v>10</v>
      </c>
      <c r="E33" s="1" t="str">
        <f>IFERROR(__xludf.DUMMYFUNCTION("""COMPUTED_VALUE"""),"C")</f>
        <v>C</v>
      </c>
      <c r="F33" s="1" t="str">
        <f>IFERROR(__xludf.DUMMYFUNCTION("""COMPUTED_VALUE"""),"Patna")</f>
        <v>Patna</v>
      </c>
      <c r="G33" s="1">
        <f>IFERROR(__xludf.DUMMYFUNCTION("""COMPUTED_VALUE"""),47.0)</f>
        <v>47</v>
      </c>
      <c r="H33" s="1">
        <f>IFERROR(__xludf.DUMMYFUNCTION("""COMPUTED_VALUE"""),97.0)</f>
        <v>97</v>
      </c>
      <c r="I33" s="1">
        <f>IFERROR(__xludf.DUMMYFUNCTION("""COMPUTED_VALUE"""),52.0)</f>
        <v>52</v>
      </c>
      <c r="J33" s="1">
        <f>IFERROR(__xludf.DUMMYFUNCTION("""COMPUTED_VALUE"""),58.0)</f>
        <v>58</v>
      </c>
      <c r="K33" s="1">
        <f>IFERROR(__xludf.DUMMYFUNCTION("""COMPUTED_VALUE"""),95.0)</f>
        <v>95</v>
      </c>
      <c r="L33" s="1">
        <f>IFERROR(__xludf.DUMMYFUNCTION("""COMPUTED_VALUE"""),349.0)</f>
        <v>349</v>
      </c>
      <c r="M33" s="1">
        <f>IFERROR(__xludf.DUMMYFUNCTION("""COMPUTED_VALUE"""),69.8)</f>
        <v>69.8</v>
      </c>
      <c r="N33" s="1">
        <f>IFERROR(__xludf.DUMMYFUNCTION("""COMPUTED_VALUE"""),94.0)</f>
        <v>94</v>
      </c>
      <c r="O33" s="1" t="str">
        <f>IFERROR(__xludf.DUMMYFUNCTION("""COMPUTED_VALUE"""),"Pass")</f>
        <v>Pass</v>
      </c>
    </row>
    <row r="34" ht="15.75" customHeight="1">
      <c r="A34" s="1" t="str">
        <f>IFERROR(__xludf.DUMMYFUNCTION("""COMPUTED_VALUE"""),"STD-1114")</f>
        <v>STD-1114</v>
      </c>
      <c r="B34" s="1" t="str">
        <f>IFERROR(__xludf.DUMMYFUNCTION("""COMPUTED_VALUE"""),"Rahul Yadav")</f>
        <v>Rahul Yadav</v>
      </c>
      <c r="C34" s="1" t="str">
        <f>IFERROR(__xludf.DUMMYFUNCTION("""COMPUTED_VALUE"""),"Male")</f>
        <v>Male</v>
      </c>
      <c r="D34" s="1" t="str">
        <f>IFERROR(__xludf.DUMMYFUNCTION("""COMPUTED_VALUE"""),"9")</f>
        <v>9</v>
      </c>
      <c r="E34" s="1" t="str">
        <f>IFERROR(__xludf.DUMMYFUNCTION("""COMPUTED_VALUE"""),"A")</f>
        <v>A</v>
      </c>
      <c r="F34" s="1" t="str">
        <f>IFERROR(__xludf.DUMMYFUNCTION("""COMPUTED_VALUE"""),"Delhi")</f>
        <v>Delhi</v>
      </c>
      <c r="G34" s="1">
        <f>IFERROR(__xludf.DUMMYFUNCTION("""COMPUTED_VALUE"""),66.0)</f>
        <v>66</v>
      </c>
      <c r="H34" s="1">
        <f>IFERROR(__xludf.DUMMYFUNCTION("""COMPUTED_VALUE"""),63.0)</f>
        <v>63</v>
      </c>
      <c r="I34" s="1">
        <f>IFERROR(__xludf.DUMMYFUNCTION("""COMPUTED_VALUE"""),53.0)</f>
        <v>53</v>
      </c>
      <c r="J34" s="1">
        <f>IFERROR(__xludf.DUMMYFUNCTION("""COMPUTED_VALUE"""),83.0)</f>
        <v>83</v>
      </c>
      <c r="K34" s="1">
        <f>IFERROR(__xludf.DUMMYFUNCTION("""COMPUTED_VALUE"""),43.0)</f>
        <v>43</v>
      </c>
      <c r="L34" s="1">
        <f>IFERROR(__xludf.DUMMYFUNCTION("""COMPUTED_VALUE"""),308.0)</f>
        <v>308</v>
      </c>
      <c r="M34" s="1">
        <f>IFERROR(__xludf.DUMMYFUNCTION("""COMPUTED_VALUE"""),61.6)</f>
        <v>61.6</v>
      </c>
      <c r="N34" s="1">
        <f>IFERROR(__xludf.DUMMYFUNCTION("""COMPUTED_VALUE"""),95.0)</f>
        <v>95</v>
      </c>
      <c r="O34" s="1" t="str">
        <f>IFERROR(__xludf.DUMMYFUNCTION("""COMPUTED_VALUE"""),"Pass")</f>
        <v>Pass</v>
      </c>
    </row>
    <row r="35" ht="15.75" customHeight="1">
      <c r="A35" s="1" t="str">
        <f>IFERROR(__xludf.DUMMYFUNCTION("""COMPUTED_VALUE"""),"STD-1115")</f>
        <v>STD-1115</v>
      </c>
      <c r="B35" s="1" t="str">
        <f>IFERROR(__xludf.DUMMYFUNCTION("""COMPUTED_VALUE"""),"Sai Singh")</f>
        <v>Sai Singh</v>
      </c>
      <c r="C35" s="1" t="str">
        <f>IFERROR(__xludf.DUMMYFUNCTION("""COMPUTED_VALUE"""),"Female")</f>
        <v>Female</v>
      </c>
      <c r="D35" s="1" t="str">
        <f>IFERROR(__xludf.DUMMYFUNCTION("""COMPUTED_VALUE"""),"7")</f>
        <v>7</v>
      </c>
      <c r="E35" s="1" t="str">
        <f>IFERROR(__xludf.DUMMYFUNCTION("""COMPUTED_VALUE"""),"A")</f>
        <v>A</v>
      </c>
      <c r="F35" s="1" t="str">
        <f>IFERROR(__xludf.DUMMYFUNCTION("""COMPUTED_VALUE"""),"Mumbai")</f>
        <v>Mumbai</v>
      </c>
      <c r="G35" s="1">
        <f>IFERROR(__xludf.DUMMYFUNCTION("""COMPUTED_VALUE"""),42.0)</f>
        <v>42</v>
      </c>
      <c r="H35" s="1">
        <f>IFERROR(__xludf.DUMMYFUNCTION("""COMPUTED_VALUE"""),98.0)</f>
        <v>98</v>
      </c>
      <c r="I35" s="1">
        <f>IFERROR(__xludf.DUMMYFUNCTION("""COMPUTED_VALUE"""),66.0)</f>
        <v>66</v>
      </c>
      <c r="J35" s="1">
        <f>IFERROR(__xludf.DUMMYFUNCTION("""COMPUTED_VALUE"""),89.0)</f>
        <v>89</v>
      </c>
      <c r="K35" s="1">
        <f>IFERROR(__xludf.DUMMYFUNCTION("""COMPUTED_VALUE"""),45.0)</f>
        <v>45</v>
      </c>
      <c r="L35" s="1">
        <f>IFERROR(__xludf.DUMMYFUNCTION("""COMPUTED_VALUE"""),340.0)</f>
        <v>340</v>
      </c>
      <c r="M35" s="1">
        <f>IFERROR(__xludf.DUMMYFUNCTION("""COMPUTED_VALUE"""),68.0)</f>
        <v>68</v>
      </c>
      <c r="N35" s="1">
        <f>IFERROR(__xludf.DUMMYFUNCTION("""COMPUTED_VALUE"""),94.0)</f>
        <v>94</v>
      </c>
      <c r="O35" s="1" t="str">
        <f>IFERROR(__xludf.DUMMYFUNCTION("""COMPUTED_VALUE"""),"Pass")</f>
        <v>Pass</v>
      </c>
    </row>
    <row r="36" ht="15.75" customHeight="1">
      <c r="A36" s="1" t="str">
        <f>IFERROR(__xludf.DUMMYFUNCTION("""COMPUTED_VALUE"""),"STD-1117")</f>
        <v>STD-1117</v>
      </c>
      <c r="B36" s="1" t="str">
        <f>IFERROR(__xludf.DUMMYFUNCTION("""COMPUTED_VALUE"""),"Ananya Iyer")</f>
        <v>Ananya Iyer</v>
      </c>
      <c r="C36" s="1" t="str">
        <f>IFERROR(__xludf.DUMMYFUNCTION("""COMPUTED_VALUE"""),"Female")</f>
        <v>Female</v>
      </c>
      <c r="D36" s="1" t="str">
        <f>IFERROR(__xludf.DUMMYFUNCTION("""COMPUTED_VALUE"""),"6")</f>
        <v>6</v>
      </c>
      <c r="E36" s="1" t="str">
        <f>IFERROR(__xludf.DUMMYFUNCTION("""COMPUTED_VALUE"""),"A")</f>
        <v>A</v>
      </c>
      <c r="F36" s="1" t="str">
        <f>IFERROR(__xludf.DUMMYFUNCTION("""COMPUTED_VALUE"""),"Mumbai")</f>
        <v>Mumbai</v>
      </c>
      <c r="G36" s="1">
        <f>IFERROR(__xludf.DUMMYFUNCTION("""COMPUTED_VALUE"""),53.0)</f>
        <v>53</v>
      </c>
      <c r="H36" s="1">
        <f>IFERROR(__xludf.DUMMYFUNCTION("""COMPUTED_VALUE"""),54.0)</f>
        <v>54</v>
      </c>
      <c r="I36" s="1">
        <f>IFERROR(__xludf.DUMMYFUNCTION("""COMPUTED_VALUE"""),80.0)</f>
        <v>80</v>
      </c>
      <c r="J36" s="1">
        <f>IFERROR(__xludf.DUMMYFUNCTION("""COMPUTED_VALUE"""),44.0)</f>
        <v>44</v>
      </c>
      <c r="K36" s="1">
        <f>IFERROR(__xludf.DUMMYFUNCTION("""COMPUTED_VALUE"""),84.0)</f>
        <v>84</v>
      </c>
      <c r="L36" s="1">
        <f>IFERROR(__xludf.DUMMYFUNCTION("""COMPUTED_VALUE"""),315.0)</f>
        <v>315</v>
      </c>
      <c r="M36" s="1">
        <f>IFERROR(__xludf.DUMMYFUNCTION("""COMPUTED_VALUE"""),63.0)</f>
        <v>63</v>
      </c>
      <c r="N36" s="1">
        <f>IFERROR(__xludf.DUMMYFUNCTION("""COMPUTED_VALUE"""),97.0)</f>
        <v>97</v>
      </c>
      <c r="O36" s="1" t="str">
        <f>IFERROR(__xludf.DUMMYFUNCTION("""COMPUTED_VALUE"""),"Pass")</f>
        <v>Pass</v>
      </c>
    </row>
    <row r="37" ht="15.75" customHeight="1">
      <c r="A37" s="1" t="str">
        <f>IFERROR(__xludf.DUMMYFUNCTION("""COMPUTED_VALUE"""),"STD-1118")</f>
        <v>STD-1118</v>
      </c>
      <c r="B37" s="1" t="str">
        <f>IFERROR(__xludf.DUMMYFUNCTION("""COMPUTED_VALUE"""),"Priya Banerjee")</f>
        <v>Priya Banerjee</v>
      </c>
      <c r="C37" s="1" t="str">
        <f>IFERROR(__xludf.DUMMYFUNCTION("""COMPUTED_VALUE"""),"Female")</f>
        <v>Female</v>
      </c>
      <c r="D37" s="1" t="str">
        <f>IFERROR(__xludf.DUMMYFUNCTION("""COMPUTED_VALUE"""),"6")</f>
        <v>6</v>
      </c>
      <c r="E37" s="1" t="str">
        <f>IFERROR(__xludf.DUMMYFUNCTION("""COMPUTED_VALUE"""),"A")</f>
        <v>A</v>
      </c>
      <c r="F37" s="1" t="str">
        <f>IFERROR(__xludf.DUMMYFUNCTION("""COMPUTED_VALUE"""),"Delhi")</f>
        <v>Delhi</v>
      </c>
      <c r="G37" s="1">
        <f>IFERROR(__xludf.DUMMYFUNCTION("""COMPUTED_VALUE"""),56.0)</f>
        <v>56</v>
      </c>
      <c r="H37" s="1">
        <f>IFERROR(__xludf.DUMMYFUNCTION("""COMPUTED_VALUE"""),83.0)</f>
        <v>83</v>
      </c>
      <c r="I37" s="1">
        <f>IFERROR(__xludf.DUMMYFUNCTION("""COMPUTED_VALUE"""),55.0)</f>
        <v>55</v>
      </c>
      <c r="J37" s="1">
        <f>IFERROR(__xludf.DUMMYFUNCTION("""COMPUTED_VALUE"""),95.0)</f>
        <v>95</v>
      </c>
      <c r="K37" s="1">
        <f>IFERROR(__xludf.DUMMYFUNCTION("""COMPUTED_VALUE"""),95.0)</f>
        <v>95</v>
      </c>
      <c r="L37" s="1">
        <f>IFERROR(__xludf.DUMMYFUNCTION("""COMPUTED_VALUE"""),384.0)</f>
        <v>384</v>
      </c>
      <c r="M37" s="1">
        <f>IFERROR(__xludf.DUMMYFUNCTION("""COMPUTED_VALUE"""),76.8)</f>
        <v>76.8</v>
      </c>
      <c r="N37" s="1">
        <f>IFERROR(__xludf.DUMMYFUNCTION("""COMPUTED_VALUE"""),93.0)</f>
        <v>93</v>
      </c>
      <c r="O37" s="1" t="str">
        <f>IFERROR(__xludf.DUMMYFUNCTION("""COMPUTED_VALUE"""),"Pass")</f>
        <v>Pass</v>
      </c>
    </row>
    <row r="38" ht="15.75" customHeight="1">
      <c r="A38" s="1" t="str">
        <f>IFERROR(__xludf.DUMMYFUNCTION("""COMPUTED_VALUE"""),"STD-1120")</f>
        <v>STD-1120</v>
      </c>
      <c r="B38" s="1" t="str">
        <f>IFERROR(__xludf.DUMMYFUNCTION("""COMPUTED_VALUE"""),"Rahul Verma")</f>
        <v>Rahul Verma</v>
      </c>
      <c r="C38" s="1" t="str">
        <f>IFERROR(__xludf.DUMMYFUNCTION("""COMPUTED_VALUE"""),"Male")</f>
        <v>Male</v>
      </c>
      <c r="D38" s="1" t="str">
        <f>IFERROR(__xludf.DUMMYFUNCTION("""COMPUTED_VALUE"""),"6")</f>
        <v>6</v>
      </c>
      <c r="E38" s="1" t="str">
        <f>IFERROR(__xludf.DUMMYFUNCTION("""COMPUTED_VALUE"""),"A")</f>
        <v>A</v>
      </c>
      <c r="F38" s="1" t="str">
        <f>IFERROR(__xludf.DUMMYFUNCTION("""COMPUTED_VALUE"""),"Chandigarh")</f>
        <v>Chandigarh</v>
      </c>
      <c r="G38" s="1">
        <f>IFERROR(__xludf.DUMMYFUNCTION("""COMPUTED_VALUE"""),61.0)</f>
        <v>61</v>
      </c>
      <c r="H38" s="1">
        <f>IFERROR(__xludf.DUMMYFUNCTION("""COMPUTED_VALUE"""),53.0)</f>
        <v>53</v>
      </c>
      <c r="I38" s="1">
        <f>IFERROR(__xludf.DUMMYFUNCTION("""COMPUTED_VALUE"""),97.0)</f>
        <v>97</v>
      </c>
      <c r="J38" s="1">
        <f>IFERROR(__xludf.DUMMYFUNCTION("""COMPUTED_VALUE"""),51.0)</f>
        <v>51</v>
      </c>
      <c r="K38" s="1">
        <f>IFERROR(__xludf.DUMMYFUNCTION("""COMPUTED_VALUE"""),100.0)</f>
        <v>100</v>
      </c>
      <c r="L38" s="1">
        <f>IFERROR(__xludf.DUMMYFUNCTION("""COMPUTED_VALUE"""),362.0)</f>
        <v>362</v>
      </c>
      <c r="M38" s="1">
        <f>IFERROR(__xludf.DUMMYFUNCTION("""COMPUTED_VALUE"""),72.4)</f>
        <v>72.4</v>
      </c>
      <c r="N38" s="1">
        <f>IFERROR(__xludf.DUMMYFUNCTION("""COMPUTED_VALUE"""),99.0)</f>
        <v>99</v>
      </c>
      <c r="O38" s="1" t="str">
        <f>IFERROR(__xludf.DUMMYFUNCTION("""COMPUTED_VALUE"""),"Pass")</f>
        <v>Pass</v>
      </c>
    </row>
    <row r="39" ht="15.75" customHeight="1">
      <c r="A39" s="1" t="str">
        <f>IFERROR(__xludf.DUMMYFUNCTION("""COMPUTED_VALUE"""),"STD-1124")</f>
        <v>STD-1124</v>
      </c>
      <c r="B39" s="1" t="str">
        <f>IFERROR(__xludf.DUMMYFUNCTION("""COMPUTED_VALUE"""),"Arjun Gupta")</f>
        <v>Arjun Gupta</v>
      </c>
      <c r="C39" s="1" t="str">
        <f>IFERROR(__xludf.DUMMYFUNCTION("""COMPUTED_VALUE"""),"Male")</f>
        <v>Male</v>
      </c>
      <c r="D39" s="1" t="str">
        <f>IFERROR(__xludf.DUMMYFUNCTION("""COMPUTED_VALUE"""),"6")</f>
        <v>6</v>
      </c>
      <c r="E39" s="1" t="str">
        <f>IFERROR(__xludf.DUMMYFUNCTION("""COMPUTED_VALUE"""),"B")</f>
        <v>B</v>
      </c>
      <c r="F39" s="1" t="str">
        <f>IFERROR(__xludf.DUMMYFUNCTION("""COMPUTED_VALUE"""),"Mumbai")</f>
        <v>Mumbai</v>
      </c>
      <c r="G39" s="1">
        <f>IFERROR(__xludf.DUMMYFUNCTION("""COMPUTED_VALUE"""),50.0)</f>
        <v>50</v>
      </c>
      <c r="H39" s="1">
        <f>IFERROR(__xludf.DUMMYFUNCTION("""COMPUTED_VALUE"""),79.0)</f>
        <v>79</v>
      </c>
      <c r="I39" s="1">
        <f>IFERROR(__xludf.DUMMYFUNCTION("""COMPUTED_VALUE"""),78.0)</f>
        <v>78</v>
      </c>
      <c r="J39" s="1">
        <f>IFERROR(__xludf.DUMMYFUNCTION("""COMPUTED_VALUE"""),53.0)</f>
        <v>53</v>
      </c>
      <c r="K39" s="1">
        <f>IFERROR(__xludf.DUMMYFUNCTION("""COMPUTED_VALUE"""),49.0)</f>
        <v>49</v>
      </c>
      <c r="L39" s="1">
        <f>IFERROR(__xludf.DUMMYFUNCTION("""COMPUTED_VALUE"""),309.0)</f>
        <v>309</v>
      </c>
      <c r="M39" s="1">
        <f>IFERROR(__xludf.DUMMYFUNCTION("""COMPUTED_VALUE"""),61.8)</f>
        <v>61.8</v>
      </c>
      <c r="N39" s="1">
        <f>IFERROR(__xludf.DUMMYFUNCTION("""COMPUTED_VALUE"""),96.0)</f>
        <v>96</v>
      </c>
      <c r="O39" s="1" t="str">
        <f>IFERROR(__xludf.DUMMYFUNCTION("""COMPUTED_VALUE"""),"Pass")</f>
        <v>Pass</v>
      </c>
    </row>
    <row r="40" ht="15.75" customHeight="1">
      <c r="A40" s="1" t="str">
        <f>IFERROR(__xludf.DUMMYFUNCTION("""COMPUTED_VALUE"""),"STD-1127")</f>
        <v>STD-1127</v>
      </c>
      <c r="B40" s="1" t="str">
        <f>IFERROR(__xludf.DUMMYFUNCTION("""COMPUTED_VALUE"""),"Rohan Iyer")</f>
        <v>Rohan Iyer</v>
      </c>
      <c r="C40" s="1" t="str">
        <f>IFERROR(__xludf.DUMMYFUNCTION("""COMPUTED_VALUE"""),"Female")</f>
        <v>Female</v>
      </c>
      <c r="D40" s="1" t="str">
        <f>IFERROR(__xludf.DUMMYFUNCTION("""COMPUTED_VALUE"""),"8")</f>
        <v>8</v>
      </c>
      <c r="E40" s="1" t="str">
        <f>IFERROR(__xludf.DUMMYFUNCTION("""COMPUTED_VALUE"""),"B")</f>
        <v>B</v>
      </c>
      <c r="F40" s="1" t="str">
        <f>IFERROR(__xludf.DUMMYFUNCTION("""COMPUTED_VALUE"""),"Bhopal")</f>
        <v>Bhopal</v>
      </c>
      <c r="G40" s="1">
        <f>IFERROR(__xludf.DUMMYFUNCTION("""COMPUTED_VALUE"""),46.0)</f>
        <v>46</v>
      </c>
      <c r="H40" s="1">
        <f>IFERROR(__xludf.DUMMYFUNCTION("""COMPUTED_VALUE"""),59.0)</f>
        <v>59</v>
      </c>
      <c r="I40" s="1">
        <f>IFERROR(__xludf.DUMMYFUNCTION("""COMPUTED_VALUE"""),44.0)</f>
        <v>44</v>
      </c>
      <c r="J40" s="1">
        <f>IFERROR(__xludf.DUMMYFUNCTION("""COMPUTED_VALUE"""),44.0)</f>
        <v>44</v>
      </c>
      <c r="K40" s="1">
        <f>IFERROR(__xludf.DUMMYFUNCTION("""COMPUTED_VALUE"""),77.0)</f>
        <v>77</v>
      </c>
      <c r="L40" s="1">
        <f>IFERROR(__xludf.DUMMYFUNCTION("""COMPUTED_VALUE"""),270.0)</f>
        <v>270</v>
      </c>
      <c r="M40" s="1">
        <f>IFERROR(__xludf.DUMMYFUNCTION("""COMPUTED_VALUE"""),54.0)</f>
        <v>54</v>
      </c>
      <c r="N40" s="1">
        <f>IFERROR(__xludf.DUMMYFUNCTION("""COMPUTED_VALUE"""),96.0)</f>
        <v>96</v>
      </c>
      <c r="O40" s="1" t="str">
        <f>IFERROR(__xludf.DUMMYFUNCTION("""COMPUTED_VALUE"""),"Pass")</f>
        <v>Pass</v>
      </c>
    </row>
    <row r="41" ht="15.75" customHeight="1">
      <c r="A41" s="1" t="str">
        <f>IFERROR(__xludf.DUMMYFUNCTION("""COMPUTED_VALUE"""),"STD-1128")</f>
        <v>STD-1128</v>
      </c>
      <c r="B41" s="1" t="str">
        <f>IFERROR(__xludf.DUMMYFUNCTION("""COMPUTED_VALUE"""),"Simran Patel")</f>
        <v>Simran Patel</v>
      </c>
      <c r="C41" s="1" t="str">
        <f>IFERROR(__xludf.DUMMYFUNCTION("""COMPUTED_VALUE"""),"Male")</f>
        <v>Male</v>
      </c>
      <c r="D41" s="1" t="str">
        <f>IFERROR(__xludf.DUMMYFUNCTION("""COMPUTED_VALUE"""),"7")</f>
        <v>7</v>
      </c>
      <c r="E41" s="1" t="str">
        <f>IFERROR(__xludf.DUMMYFUNCTION("""COMPUTED_VALUE"""),"B")</f>
        <v>B</v>
      </c>
      <c r="F41" s="1" t="str">
        <f>IFERROR(__xludf.DUMMYFUNCTION("""COMPUTED_VALUE"""),"Kolkata")</f>
        <v>Kolkata</v>
      </c>
      <c r="G41" s="1">
        <f>IFERROR(__xludf.DUMMYFUNCTION("""COMPUTED_VALUE"""),49.0)</f>
        <v>49</v>
      </c>
      <c r="H41" s="1">
        <f>IFERROR(__xludf.DUMMYFUNCTION("""COMPUTED_VALUE"""),81.0)</f>
        <v>81</v>
      </c>
      <c r="I41" s="1">
        <f>IFERROR(__xludf.DUMMYFUNCTION("""COMPUTED_VALUE"""),77.0)</f>
        <v>77</v>
      </c>
      <c r="J41" s="1">
        <f>IFERROR(__xludf.DUMMYFUNCTION("""COMPUTED_VALUE"""),83.0)</f>
        <v>83</v>
      </c>
      <c r="K41" s="1">
        <f>IFERROR(__xludf.DUMMYFUNCTION("""COMPUTED_VALUE"""),98.0)</f>
        <v>98</v>
      </c>
      <c r="L41" s="1">
        <f>IFERROR(__xludf.DUMMYFUNCTION("""COMPUTED_VALUE"""),388.0)</f>
        <v>388</v>
      </c>
      <c r="M41" s="1">
        <f>IFERROR(__xludf.DUMMYFUNCTION("""COMPUTED_VALUE"""),77.6)</f>
        <v>77.6</v>
      </c>
      <c r="N41" s="1">
        <f>IFERROR(__xludf.DUMMYFUNCTION("""COMPUTED_VALUE"""),95.0)</f>
        <v>95</v>
      </c>
      <c r="O41" s="1" t="str">
        <f>IFERROR(__xludf.DUMMYFUNCTION("""COMPUTED_VALUE"""),"Pass")</f>
        <v>Pass</v>
      </c>
    </row>
    <row r="42" ht="15.75" customHeight="1">
      <c r="A42" s="1" t="str">
        <f>IFERROR(__xludf.DUMMYFUNCTION("""COMPUTED_VALUE"""),"STD-1146")</f>
        <v>STD-1146</v>
      </c>
      <c r="B42" s="1" t="str">
        <f>IFERROR(__xludf.DUMMYFUNCTION("""COMPUTED_VALUE"""),"Kavya Iyer")</f>
        <v>Kavya Iyer</v>
      </c>
      <c r="C42" s="1" t="str">
        <f>IFERROR(__xludf.DUMMYFUNCTION("""COMPUTED_VALUE"""),"Male")</f>
        <v>Male</v>
      </c>
      <c r="D42" s="1" t="str">
        <f>IFERROR(__xludf.DUMMYFUNCTION("""COMPUTED_VALUE"""),"7")</f>
        <v>7</v>
      </c>
      <c r="E42" s="1" t="str">
        <f>IFERROR(__xludf.DUMMYFUNCTION("""COMPUTED_VALUE"""),"A")</f>
        <v>A</v>
      </c>
      <c r="F42" s="1" t="str">
        <f>IFERROR(__xludf.DUMMYFUNCTION("""COMPUTED_VALUE"""),"Lucknow")</f>
        <v>Lucknow</v>
      </c>
      <c r="G42" s="1">
        <f>IFERROR(__xludf.DUMMYFUNCTION("""COMPUTED_VALUE"""),100.0)</f>
        <v>100</v>
      </c>
      <c r="H42" s="1">
        <f>IFERROR(__xludf.DUMMYFUNCTION("""COMPUTED_VALUE"""),53.0)</f>
        <v>53</v>
      </c>
      <c r="I42" s="1">
        <f>IFERROR(__xludf.DUMMYFUNCTION("""COMPUTED_VALUE"""),73.0)</f>
        <v>73</v>
      </c>
      <c r="J42" s="1">
        <f>IFERROR(__xludf.DUMMYFUNCTION("""COMPUTED_VALUE"""),66.0)</f>
        <v>66</v>
      </c>
      <c r="K42" s="1">
        <f>IFERROR(__xludf.DUMMYFUNCTION("""COMPUTED_VALUE"""),77.0)</f>
        <v>77</v>
      </c>
      <c r="L42" s="1">
        <f>IFERROR(__xludf.DUMMYFUNCTION("""COMPUTED_VALUE"""),369.0)</f>
        <v>369</v>
      </c>
      <c r="M42" s="1">
        <f>IFERROR(__xludf.DUMMYFUNCTION("""COMPUTED_VALUE"""),73.8)</f>
        <v>73.8</v>
      </c>
      <c r="N42" s="1">
        <f>IFERROR(__xludf.DUMMYFUNCTION("""COMPUTED_VALUE"""),95.0)</f>
        <v>95</v>
      </c>
      <c r="O42" s="1" t="str">
        <f>IFERROR(__xludf.DUMMYFUNCTION("""COMPUTED_VALUE"""),"Pass")</f>
        <v>Pass</v>
      </c>
    </row>
    <row r="43" ht="15.75" customHeight="1">
      <c r="A43" s="1" t="str">
        <f>IFERROR(__xludf.DUMMYFUNCTION("""COMPUTED_VALUE"""),"STD-1147")</f>
        <v>STD-1147</v>
      </c>
      <c r="B43" s="1" t="str">
        <f>IFERROR(__xludf.DUMMYFUNCTION("""COMPUTED_VALUE"""),"Priya Das")</f>
        <v>Priya Das</v>
      </c>
      <c r="C43" s="1" t="str">
        <f>IFERROR(__xludf.DUMMYFUNCTION("""COMPUTED_VALUE"""),"Female")</f>
        <v>Female</v>
      </c>
      <c r="D43" s="1" t="str">
        <f>IFERROR(__xludf.DUMMYFUNCTION("""COMPUTED_VALUE"""),"10")</f>
        <v>10</v>
      </c>
      <c r="E43" s="1" t="str">
        <f>IFERROR(__xludf.DUMMYFUNCTION("""COMPUTED_VALUE"""),"B")</f>
        <v>B</v>
      </c>
      <c r="F43" s="1" t="str">
        <f>IFERROR(__xludf.DUMMYFUNCTION("""COMPUTED_VALUE"""),"Patna")</f>
        <v>Patna</v>
      </c>
      <c r="G43" s="1">
        <f>IFERROR(__xludf.DUMMYFUNCTION("""COMPUTED_VALUE"""),62.0)</f>
        <v>62</v>
      </c>
      <c r="H43" s="1">
        <f>IFERROR(__xludf.DUMMYFUNCTION("""COMPUTED_VALUE"""),64.0)</f>
        <v>64</v>
      </c>
      <c r="I43" s="1">
        <f>IFERROR(__xludf.DUMMYFUNCTION("""COMPUTED_VALUE"""),83.0)</f>
        <v>83</v>
      </c>
      <c r="J43" s="1">
        <f>IFERROR(__xludf.DUMMYFUNCTION("""COMPUTED_VALUE"""),75.0)</f>
        <v>75</v>
      </c>
      <c r="K43" s="1">
        <f>IFERROR(__xludf.DUMMYFUNCTION("""COMPUTED_VALUE"""),57.0)</f>
        <v>57</v>
      </c>
      <c r="L43" s="1">
        <f>IFERROR(__xludf.DUMMYFUNCTION("""COMPUTED_VALUE"""),341.0)</f>
        <v>341</v>
      </c>
      <c r="M43" s="1">
        <f>IFERROR(__xludf.DUMMYFUNCTION("""COMPUTED_VALUE"""),68.2)</f>
        <v>68.2</v>
      </c>
      <c r="N43" s="1">
        <f>IFERROR(__xludf.DUMMYFUNCTION("""COMPUTED_VALUE"""),97.0)</f>
        <v>97</v>
      </c>
      <c r="O43" s="1" t="str">
        <f>IFERROR(__xludf.DUMMYFUNCTION("""COMPUTED_VALUE"""),"Pass")</f>
        <v>Pass</v>
      </c>
    </row>
    <row r="44" ht="15.75" customHeight="1">
      <c r="A44" s="1" t="str">
        <f>IFERROR(__xludf.DUMMYFUNCTION("""COMPUTED_VALUE"""),"STD-1149")</f>
        <v>STD-1149</v>
      </c>
      <c r="B44" s="1" t="str">
        <f>IFERROR(__xludf.DUMMYFUNCTION("""COMPUTED_VALUE"""),"Tanvi Banerjee")</f>
        <v>Tanvi Banerjee</v>
      </c>
      <c r="C44" s="1" t="str">
        <f>IFERROR(__xludf.DUMMYFUNCTION("""COMPUTED_VALUE"""),"Female")</f>
        <v>Female</v>
      </c>
      <c r="D44" s="1" t="str">
        <f>IFERROR(__xludf.DUMMYFUNCTION("""COMPUTED_VALUE"""),"7")</f>
        <v>7</v>
      </c>
      <c r="E44" s="1" t="str">
        <f>IFERROR(__xludf.DUMMYFUNCTION("""COMPUTED_VALUE"""),"A")</f>
        <v>A</v>
      </c>
      <c r="F44" s="1" t="str">
        <f>IFERROR(__xludf.DUMMYFUNCTION("""COMPUTED_VALUE"""),"Patna")</f>
        <v>Patna</v>
      </c>
      <c r="G44" s="1">
        <f>IFERROR(__xludf.DUMMYFUNCTION("""COMPUTED_VALUE"""),88.0)</f>
        <v>88</v>
      </c>
      <c r="H44" s="1">
        <f>IFERROR(__xludf.DUMMYFUNCTION("""COMPUTED_VALUE"""),85.0)</f>
        <v>85</v>
      </c>
      <c r="I44" s="1">
        <f>IFERROR(__xludf.DUMMYFUNCTION("""COMPUTED_VALUE"""),72.0)</f>
        <v>72</v>
      </c>
      <c r="J44" s="1">
        <f>IFERROR(__xludf.DUMMYFUNCTION("""COMPUTED_VALUE"""),72.0)</f>
        <v>72</v>
      </c>
      <c r="K44" s="1">
        <f>IFERROR(__xludf.DUMMYFUNCTION("""COMPUTED_VALUE"""),78.0)</f>
        <v>78</v>
      </c>
      <c r="L44" s="1">
        <f>IFERROR(__xludf.DUMMYFUNCTION("""COMPUTED_VALUE"""),395.0)</f>
        <v>395</v>
      </c>
      <c r="M44" s="1">
        <f>IFERROR(__xludf.DUMMYFUNCTION("""COMPUTED_VALUE"""),79.0)</f>
        <v>79</v>
      </c>
      <c r="N44" s="1">
        <f>IFERROR(__xludf.DUMMYFUNCTION("""COMPUTED_VALUE"""),97.0)</f>
        <v>97</v>
      </c>
      <c r="O44" s="1" t="str">
        <f>IFERROR(__xludf.DUMMYFUNCTION("""COMPUTED_VALUE"""),"Pass")</f>
        <v>Pass</v>
      </c>
    </row>
    <row r="45" ht="15.75" customHeight="1">
      <c r="A45" s="1" t="str">
        <f>IFERROR(__xludf.DUMMYFUNCTION("""COMPUTED_VALUE"""),"STD-1154")</f>
        <v>STD-1154</v>
      </c>
      <c r="B45" s="1" t="str">
        <f>IFERROR(__xludf.DUMMYFUNCTION("""COMPUTED_VALUE"""),"Ishita Choudhary")</f>
        <v>Ishita Choudhary</v>
      </c>
      <c r="C45" s="1" t="str">
        <f>IFERROR(__xludf.DUMMYFUNCTION("""COMPUTED_VALUE"""),"Male")</f>
        <v>Male</v>
      </c>
      <c r="D45" s="1" t="str">
        <f>IFERROR(__xludf.DUMMYFUNCTION("""COMPUTED_VALUE"""),"6")</f>
        <v>6</v>
      </c>
      <c r="E45" s="1" t="str">
        <f>IFERROR(__xludf.DUMMYFUNCTION("""COMPUTED_VALUE"""),"C")</f>
        <v>C</v>
      </c>
      <c r="F45" s="1" t="str">
        <f>IFERROR(__xludf.DUMMYFUNCTION("""COMPUTED_VALUE"""),"Delhi")</f>
        <v>Delhi</v>
      </c>
      <c r="G45" s="1">
        <f>IFERROR(__xludf.DUMMYFUNCTION("""COMPUTED_VALUE"""),91.0)</f>
        <v>91</v>
      </c>
      <c r="H45" s="1">
        <f>IFERROR(__xludf.DUMMYFUNCTION("""COMPUTED_VALUE"""),68.0)</f>
        <v>68</v>
      </c>
      <c r="I45" s="1">
        <f>IFERROR(__xludf.DUMMYFUNCTION("""COMPUTED_VALUE"""),87.0)</f>
        <v>87</v>
      </c>
      <c r="J45" s="1">
        <f>IFERROR(__xludf.DUMMYFUNCTION("""COMPUTED_VALUE"""),90.0)</f>
        <v>90</v>
      </c>
      <c r="K45" s="1">
        <f>IFERROR(__xludf.DUMMYFUNCTION("""COMPUTED_VALUE"""),65.0)</f>
        <v>65</v>
      </c>
      <c r="L45" s="1">
        <f>IFERROR(__xludf.DUMMYFUNCTION("""COMPUTED_VALUE"""),401.0)</f>
        <v>401</v>
      </c>
      <c r="M45" s="1">
        <f>IFERROR(__xludf.DUMMYFUNCTION("""COMPUTED_VALUE"""),80.2)</f>
        <v>80.2</v>
      </c>
      <c r="N45" s="1">
        <f>IFERROR(__xludf.DUMMYFUNCTION("""COMPUTED_VALUE"""),94.0)</f>
        <v>94</v>
      </c>
      <c r="O45" s="1" t="str">
        <f>IFERROR(__xludf.DUMMYFUNCTION("""COMPUTED_VALUE"""),"Pass")</f>
        <v>Pass</v>
      </c>
    </row>
    <row r="46" ht="15.75" customHeight="1">
      <c r="A46" s="1" t="str">
        <f>IFERROR(__xludf.DUMMYFUNCTION("""COMPUTED_VALUE"""),"STD-1156")</f>
        <v>STD-1156</v>
      </c>
      <c r="B46" s="1" t="str">
        <f>IFERROR(__xludf.DUMMYFUNCTION("""COMPUTED_VALUE"""),"Tanvi Yadav")</f>
        <v>Tanvi Yadav</v>
      </c>
      <c r="C46" s="1" t="str">
        <f>IFERROR(__xludf.DUMMYFUNCTION("""COMPUTED_VALUE"""),"Male")</f>
        <v>Male</v>
      </c>
      <c r="D46" s="1" t="str">
        <f>IFERROR(__xludf.DUMMYFUNCTION("""COMPUTED_VALUE"""),"9")</f>
        <v>9</v>
      </c>
      <c r="E46" s="1" t="str">
        <f>IFERROR(__xludf.DUMMYFUNCTION("""COMPUTED_VALUE"""),"A")</f>
        <v>A</v>
      </c>
      <c r="F46" s="1" t="str">
        <f>IFERROR(__xludf.DUMMYFUNCTION("""COMPUTED_VALUE"""),"Delhi")</f>
        <v>Delhi</v>
      </c>
      <c r="G46" s="1">
        <f>IFERROR(__xludf.DUMMYFUNCTION("""COMPUTED_VALUE"""),49.0)</f>
        <v>49</v>
      </c>
      <c r="H46" s="1">
        <f>IFERROR(__xludf.DUMMYFUNCTION("""COMPUTED_VALUE"""),78.0)</f>
        <v>78</v>
      </c>
      <c r="I46" s="1">
        <f>IFERROR(__xludf.DUMMYFUNCTION("""COMPUTED_VALUE"""),49.0)</f>
        <v>49</v>
      </c>
      <c r="J46" s="1">
        <f>IFERROR(__xludf.DUMMYFUNCTION("""COMPUTED_VALUE"""),75.0)</f>
        <v>75</v>
      </c>
      <c r="K46" s="1">
        <f>IFERROR(__xludf.DUMMYFUNCTION("""COMPUTED_VALUE"""),40.0)</f>
        <v>40</v>
      </c>
      <c r="L46" s="1">
        <f>IFERROR(__xludf.DUMMYFUNCTION("""COMPUTED_VALUE"""),291.0)</f>
        <v>291</v>
      </c>
      <c r="M46" s="1">
        <f>IFERROR(__xludf.DUMMYFUNCTION("""COMPUTED_VALUE"""),58.2)</f>
        <v>58.2</v>
      </c>
      <c r="N46" s="1">
        <f>IFERROR(__xludf.DUMMYFUNCTION("""COMPUTED_VALUE"""),98.0)</f>
        <v>98</v>
      </c>
      <c r="O46" s="1" t="str">
        <f>IFERROR(__xludf.DUMMYFUNCTION("""COMPUTED_VALUE"""),"Pass")</f>
        <v>Pass</v>
      </c>
    </row>
    <row r="47" ht="15.75" customHeight="1">
      <c r="A47" s="1" t="str">
        <f>IFERROR(__xludf.DUMMYFUNCTION("""COMPUTED_VALUE"""),"STD-1161")</f>
        <v>STD-1161</v>
      </c>
      <c r="B47" s="1" t="str">
        <f>IFERROR(__xludf.DUMMYFUNCTION("""COMPUTED_VALUE"""),"Vivaan Iyer")</f>
        <v>Vivaan Iyer</v>
      </c>
      <c r="C47" s="1" t="str">
        <f>IFERROR(__xludf.DUMMYFUNCTION("""COMPUTED_VALUE"""),"Female")</f>
        <v>Female</v>
      </c>
      <c r="D47" s="1" t="str">
        <f>IFERROR(__xludf.DUMMYFUNCTION("""COMPUTED_VALUE"""),"7")</f>
        <v>7</v>
      </c>
      <c r="E47" s="1" t="str">
        <f>IFERROR(__xludf.DUMMYFUNCTION("""COMPUTED_VALUE"""),"A")</f>
        <v>A</v>
      </c>
      <c r="F47" s="1" t="str">
        <f>IFERROR(__xludf.DUMMYFUNCTION("""COMPUTED_VALUE"""),"Delhi")</f>
        <v>Delhi</v>
      </c>
      <c r="G47" s="1">
        <f>IFERROR(__xludf.DUMMYFUNCTION("""COMPUTED_VALUE"""),52.0)</f>
        <v>52</v>
      </c>
      <c r="H47" s="1">
        <f>IFERROR(__xludf.DUMMYFUNCTION("""COMPUTED_VALUE"""),66.0)</f>
        <v>66</v>
      </c>
      <c r="I47" s="1">
        <f>IFERROR(__xludf.DUMMYFUNCTION("""COMPUTED_VALUE"""),75.0)</f>
        <v>75</v>
      </c>
      <c r="J47" s="1">
        <f>IFERROR(__xludf.DUMMYFUNCTION("""COMPUTED_VALUE"""),82.0)</f>
        <v>82</v>
      </c>
      <c r="K47" s="1">
        <f>IFERROR(__xludf.DUMMYFUNCTION("""COMPUTED_VALUE"""),66.0)</f>
        <v>66</v>
      </c>
      <c r="L47" s="1">
        <f>IFERROR(__xludf.DUMMYFUNCTION("""COMPUTED_VALUE"""),341.0)</f>
        <v>341</v>
      </c>
      <c r="M47" s="1">
        <f>IFERROR(__xludf.DUMMYFUNCTION("""COMPUTED_VALUE"""),68.2)</f>
        <v>68.2</v>
      </c>
      <c r="N47" s="1">
        <f>IFERROR(__xludf.DUMMYFUNCTION("""COMPUTED_VALUE"""),93.0)</f>
        <v>93</v>
      </c>
      <c r="O47" s="1" t="str">
        <f>IFERROR(__xludf.DUMMYFUNCTION("""COMPUTED_VALUE"""),"Pass")</f>
        <v>Pass</v>
      </c>
    </row>
    <row r="48" ht="15.75" customHeight="1">
      <c r="A48" s="1" t="str">
        <f>IFERROR(__xludf.DUMMYFUNCTION("""COMPUTED_VALUE"""),"STD-1164")</f>
        <v>STD-1164</v>
      </c>
      <c r="B48" s="1" t="str">
        <f>IFERROR(__xludf.DUMMYFUNCTION("""COMPUTED_VALUE"""),"Neha Choudhary")</f>
        <v>Neha Choudhary</v>
      </c>
      <c r="C48" s="1" t="str">
        <f>IFERROR(__xludf.DUMMYFUNCTION("""COMPUTED_VALUE"""),"Male")</f>
        <v>Male</v>
      </c>
      <c r="D48" s="1" t="str">
        <f>IFERROR(__xludf.DUMMYFUNCTION("""COMPUTED_VALUE"""),"9")</f>
        <v>9</v>
      </c>
      <c r="E48" s="1" t="str">
        <f>IFERROR(__xludf.DUMMYFUNCTION("""COMPUTED_VALUE"""),"C")</f>
        <v>C</v>
      </c>
      <c r="F48" s="1" t="str">
        <f>IFERROR(__xludf.DUMMYFUNCTION("""COMPUTED_VALUE"""),"Chandigarh")</f>
        <v>Chandigarh</v>
      </c>
      <c r="G48" s="1">
        <f>IFERROR(__xludf.DUMMYFUNCTION("""COMPUTED_VALUE"""),78.0)</f>
        <v>78</v>
      </c>
      <c r="H48" s="1">
        <f>IFERROR(__xludf.DUMMYFUNCTION("""COMPUTED_VALUE"""),87.0)</f>
        <v>87</v>
      </c>
      <c r="I48" s="1">
        <f>IFERROR(__xludf.DUMMYFUNCTION("""COMPUTED_VALUE"""),95.0)</f>
        <v>95</v>
      </c>
      <c r="J48" s="1">
        <f>IFERROR(__xludf.DUMMYFUNCTION("""COMPUTED_VALUE"""),70.0)</f>
        <v>70</v>
      </c>
      <c r="K48" s="1">
        <f>IFERROR(__xludf.DUMMYFUNCTION("""COMPUTED_VALUE"""),93.0)</f>
        <v>93</v>
      </c>
      <c r="L48" s="1">
        <f>IFERROR(__xludf.DUMMYFUNCTION("""COMPUTED_VALUE"""),423.0)</f>
        <v>423</v>
      </c>
      <c r="M48" s="1">
        <f>IFERROR(__xludf.DUMMYFUNCTION("""COMPUTED_VALUE"""),84.6)</f>
        <v>84.6</v>
      </c>
      <c r="N48" s="1">
        <f>IFERROR(__xludf.DUMMYFUNCTION("""COMPUTED_VALUE"""),98.0)</f>
        <v>98</v>
      </c>
      <c r="O48" s="1" t="str">
        <f>IFERROR(__xludf.DUMMYFUNCTION("""COMPUTED_VALUE"""),"Pass")</f>
        <v>Pass</v>
      </c>
    </row>
    <row r="49" ht="15.75" customHeight="1">
      <c r="A49" s="1" t="str">
        <f>IFERROR(__xludf.DUMMYFUNCTION("""COMPUTED_VALUE"""),"STD-1168")</f>
        <v>STD-1168</v>
      </c>
      <c r="B49" s="1" t="str">
        <f>IFERROR(__xludf.DUMMYFUNCTION("""COMPUTED_VALUE"""),"Aditya Kulkarni")</f>
        <v>Aditya Kulkarni</v>
      </c>
      <c r="C49" s="1" t="str">
        <f>IFERROR(__xludf.DUMMYFUNCTION("""COMPUTED_VALUE"""),"Female")</f>
        <v>Female</v>
      </c>
      <c r="D49" s="1" t="str">
        <f>IFERROR(__xludf.DUMMYFUNCTION("""COMPUTED_VALUE"""),"10")</f>
        <v>10</v>
      </c>
      <c r="E49" s="1" t="str">
        <f>IFERROR(__xludf.DUMMYFUNCTION("""COMPUTED_VALUE"""),"B")</f>
        <v>B</v>
      </c>
      <c r="F49" s="1" t="str">
        <f>IFERROR(__xludf.DUMMYFUNCTION("""COMPUTED_VALUE"""),"Kolkata")</f>
        <v>Kolkata</v>
      </c>
      <c r="G49" s="1">
        <f>IFERROR(__xludf.DUMMYFUNCTION("""COMPUTED_VALUE"""),83.0)</f>
        <v>83</v>
      </c>
      <c r="H49" s="1">
        <f>IFERROR(__xludf.DUMMYFUNCTION("""COMPUTED_VALUE"""),51.0)</f>
        <v>51</v>
      </c>
      <c r="I49" s="1">
        <f>IFERROR(__xludf.DUMMYFUNCTION("""COMPUTED_VALUE"""),71.0)</f>
        <v>71</v>
      </c>
      <c r="J49" s="1">
        <f>IFERROR(__xludf.DUMMYFUNCTION("""COMPUTED_VALUE"""),61.0)</f>
        <v>61</v>
      </c>
      <c r="K49" s="1">
        <f>IFERROR(__xludf.DUMMYFUNCTION("""COMPUTED_VALUE"""),68.0)</f>
        <v>68</v>
      </c>
      <c r="L49" s="1">
        <f>IFERROR(__xludf.DUMMYFUNCTION("""COMPUTED_VALUE"""),334.0)</f>
        <v>334</v>
      </c>
      <c r="M49" s="1">
        <f>IFERROR(__xludf.DUMMYFUNCTION("""COMPUTED_VALUE"""),66.8)</f>
        <v>66.8</v>
      </c>
      <c r="N49" s="1">
        <f>IFERROR(__xludf.DUMMYFUNCTION("""COMPUTED_VALUE"""),92.0)</f>
        <v>92</v>
      </c>
      <c r="O49" s="1" t="str">
        <f>IFERROR(__xludf.DUMMYFUNCTION("""COMPUTED_VALUE"""),"Pass")</f>
        <v>Pass</v>
      </c>
    </row>
    <row r="50" ht="15.75" customHeight="1">
      <c r="A50" s="1" t="str">
        <f>IFERROR(__xludf.DUMMYFUNCTION("""COMPUTED_VALUE"""),"STD-1170")</f>
        <v>STD-1170</v>
      </c>
      <c r="B50" s="1" t="str">
        <f>IFERROR(__xludf.DUMMYFUNCTION("""COMPUTED_VALUE"""),"Karan Nair")</f>
        <v>Karan Nair</v>
      </c>
      <c r="C50" s="1" t="str">
        <f>IFERROR(__xludf.DUMMYFUNCTION("""COMPUTED_VALUE"""),"Male")</f>
        <v>Male</v>
      </c>
      <c r="D50" s="1" t="str">
        <f>IFERROR(__xludf.DUMMYFUNCTION("""COMPUTED_VALUE"""),"10")</f>
        <v>10</v>
      </c>
      <c r="E50" s="1" t="str">
        <f>IFERROR(__xludf.DUMMYFUNCTION("""COMPUTED_VALUE"""),"B")</f>
        <v>B</v>
      </c>
      <c r="F50" s="1" t="str">
        <f>IFERROR(__xludf.DUMMYFUNCTION("""COMPUTED_VALUE"""),"Lucknow")</f>
        <v>Lucknow</v>
      </c>
      <c r="G50" s="1">
        <f>IFERROR(__xludf.DUMMYFUNCTION("""COMPUTED_VALUE"""),86.0)</f>
        <v>86</v>
      </c>
      <c r="H50" s="1">
        <f>IFERROR(__xludf.DUMMYFUNCTION("""COMPUTED_VALUE"""),78.0)</f>
        <v>78</v>
      </c>
      <c r="I50" s="1">
        <f>IFERROR(__xludf.DUMMYFUNCTION("""COMPUTED_VALUE"""),48.0)</f>
        <v>48</v>
      </c>
      <c r="J50" s="1">
        <f>IFERROR(__xludf.DUMMYFUNCTION("""COMPUTED_VALUE"""),53.0)</f>
        <v>53</v>
      </c>
      <c r="K50" s="1">
        <f>IFERROR(__xludf.DUMMYFUNCTION("""COMPUTED_VALUE"""),80.0)</f>
        <v>80</v>
      </c>
      <c r="L50" s="1">
        <f>IFERROR(__xludf.DUMMYFUNCTION("""COMPUTED_VALUE"""),345.0)</f>
        <v>345</v>
      </c>
      <c r="M50" s="1">
        <f>IFERROR(__xludf.DUMMYFUNCTION("""COMPUTED_VALUE"""),69.0)</f>
        <v>69</v>
      </c>
      <c r="N50" s="1">
        <f>IFERROR(__xludf.DUMMYFUNCTION("""COMPUTED_VALUE"""),92.0)</f>
        <v>92</v>
      </c>
      <c r="O50" s="1" t="str">
        <f>IFERROR(__xludf.DUMMYFUNCTION("""COMPUTED_VALUE"""),"Pass")</f>
        <v>Pass</v>
      </c>
    </row>
    <row r="51" ht="15.75" customHeight="1">
      <c r="A51" s="1" t="str">
        <f>IFERROR(__xludf.DUMMYFUNCTION("""COMPUTED_VALUE"""),"STD-1174")</f>
        <v>STD-1174</v>
      </c>
      <c r="B51" s="1" t="str">
        <f>IFERROR(__xludf.DUMMYFUNCTION("""COMPUTED_VALUE"""),"Vivaan Iyer")</f>
        <v>Vivaan Iyer</v>
      </c>
      <c r="C51" s="1" t="str">
        <f>IFERROR(__xludf.DUMMYFUNCTION("""COMPUTED_VALUE"""),"Female")</f>
        <v>Female</v>
      </c>
      <c r="D51" s="1" t="str">
        <f>IFERROR(__xludf.DUMMYFUNCTION("""COMPUTED_VALUE"""),"8")</f>
        <v>8</v>
      </c>
      <c r="E51" s="1" t="str">
        <f>IFERROR(__xludf.DUMMYFUNCTION("""COMPUTED_VALUE"""),"B")</f>
        <v>B</v>
      </c>
      <c r="F51" s="1" t="str">
        <f>IFERROR(__xludf.DUMMYFUNCTION("""COMPUTED_VALUE"""),"Delhi")</f>
        <v>Delhi</v>
      </c>
      <c r="G51" s="1">
        <f>IFERROR(__xludf.DUMMYFUNCTION("""COMPUTED_VALUE"""),88.0)</f>
        <v>88</v>
      </c>
      <c r="H51" s="1">
        <f>IFERROR(__xludf.DUMMYFUNCTION("""COMPUTED_VALUE"""),43.0)</f>
        <v>43</v>
      </c>
      <c r="I51" s="1">
        <f>IFERROR(__xludf.DUMMYFUNCTION("""COMPUTED_VALUE"""),51.0)</f>
        <v>51</v>
      </c>
      <c r="J51" s="1">
        <f>IFERROR(__xludf.DUMMYFUNCTION("""COMPUTED_VALUE"""),61.0)</f>
        <v>61</v>
      </c>
      <c r="K51" s="1">
        <f>IFERROR(__xludf.DUMMYFUNCTION("""COMPUTED_VALUE"""),100.0)</f>
        <v>100</v>
      </c>
      <c r="L51" s="1">
        <f>IFERROR(__xludf.DUMMYFUNCTION("""COMPUTED_VALUE"""),343.0)</f>
        <v>343</v>
      </c>
      <c r="M51" s="1">
        <f>IFERROR(__xludf.DUMMYFUNCTION("""COMPUTED_VALUE"""),68.6)</f>
        <v>68.6</v>
      </c>
      <c r="N51" s="1">
        <f>IFERROR(__xludf.DUMMYFUNCTION("""COMPUTED_VALUE"""),92.0)</f>
        <v>92</v>
      </c>
      <c r="O51" s="1" t="str">
        <f>IFERROR(__xludf.DUMMYFUNCTION("""COMPUTED_VALUE"""),"Pass")</f>
        <v>Pass</v>
      </c>
    </row>
    <row r="52" ht="15.75" customHeight="1">
      <c r="A52" s="1" t="str">
        <f>IFERROR(__xludf.DUMMYFUNCTION("""COMPUTED_VALUE"""),"STD-1176")</f>
        <v>STD-1176</v>
      </c>
      <c r="B52" s="1" t="str">
        <f>IFERROR(__xludf.DUMMYFUNCTION("""COMPUTED_VALUE"""),"Rahul Jain")</f>
        <v>Rahul Jain</v>
      </c>
      <c r="C52" s="1" t="str">
        <f>IFERROR(__xludf.DUMMYFUNCTION("""COMPUTED_VALUE"""),"Male")</f>
        <v>Male</v>
      </c>
      <c r="D52" s="1" t="str">
        <f>IFERROR(__xludf.DUMMYFUNCTION("""COMPUTED_VALUE"""),"6")</f>
        <v>6</v>
      </c>
      <c r="E52" s="1" t="str">
        <f>IFERROR(__xludf.DUMMYFUNCTION("""COMPUTED_VALUE"""),"C")</f>
        <v>C</v>
      </c>
      <c r="F52" s="1" t="str">
        <f>IFERROR(__xludf.DUMMYFUNCTION("""COMPUTED_VALUE"""),"Jaipur")</f>
        <v>Jaipur</v>
      </c>
      <c r="G52" s="1">
        <f>IFERROR(__xludf.DUMMYFUNCTION("""COMPUTED_VALUE"""),93.0)</f>
        <v>93</v>
      </c>
      <c r="H52" s="1">
        <f>IFERROR(__xludf.DUMMYFUNCTION("""COMPUTED_VALUE"""),45.0)</f>
        <v>45</v>
      </c>
      <c r="I52" s="1">
        <f>IFERROR(__xludf.DUMMYFUNCTION("""COMPUTED_VALUE"""),87.0)</f>
        <v>87</v>
      </c>
      <c r="J52" s="1">
        <f>IFERROR(__xludf.DUMMYFUNCTION("""COMPUTED_VALUE"""),59.0)</f>
        <v>59</v>
      </c>
      <c r="K52" s="1">
        <f>IFERROR(__xludf.DUMMYFUNCTION("""COMPUTED_VALUE"""),69.0)</f>
        <v>69</v>
      </c>
      <c r="L52" s="1">
        <f>IFERROR(__xludf.DUMMYFUNCTION("""COMPUTED_VALUE"""),353.0)</f>
        <v>353</v>
      </c>
      <c r="M52" s="1">
        <f>IFERROR(__xludf.DUMMYFUNCTION("""COMPUTED_VALUE"""),70.6)</f>
        <v>70.6</v>
      </c>
      <c r="N52" s="1">
        <f>IFERROR(__xludf.DUMMYFUNCTION("""COMPUTED_VALUE"""),99.0)</f>
        <v>99</v>
      </c>
      <c r="O52" s="1" t="str">
        <f>IFERROR(__xludf.DUMMYFUNCTION("""COMPUTED_VALUE"""),"Pass")</f>
        <v>Pass</v>
      </c>
    </row>
    <row r="53" ht="15.75" customHeight="1">
      <c r="A53" s="1" t="str">
        <f>IFERROR(__xludf.DUMMYFUNCTION("""COMPUTED_VALUE"""),"STD-1180")</f>
        <v>STD-1180</v>
      </c>
      <c r="B53" s="1" t="str">
        <f>IFERROR(__xludf.DUMMYFUNCTION("""COMPUTED_VALUE"""),"Rahul Choudhary")</f>
        <v>Rahul Choudhary</v>
      </c>
      <c r="C53" s="1" t="str">
        <f>IFERROR(__xludf.DUMMYFUNCTION("""COMPUTED_VALUE"""),"Male")</f>
        <v>Male</v>
      </c>
      <c r="D53" s="1" t="str">
        <f>IFERROR(__xludf.DUMMYFUNCTION("""COMPUTED_VALUE"""),"7")</f>
        <v>7</v>
      </c>
      <c r="E53" s="1" t="str">
        <f>IFERROR(__xludf.DUMMYFUNCTION("""COMPUTED_VALUE"""),"B")</f>
        <v>B</v>
      </c>
      <c r="F53" s="1" t="str">
        <f>IFERROR(__xludf.DUMMYFUNCTION("""COMPUTED_VALUE"""),"Lucknow")</f>
        <v>Lucknow</v>
      </c>
      <c r="G53" s="1">
        <f>IFERROR(__xludf.DUMMYFUNCTION("""COMPUTED_VALUE"""),78.0)</f>
        <v>78</v>
      </c>
      <c r="H53" s="1">
        <f>IFERROR(__xludf.DUMMYFUNCTION("""COMPUTED_VALUE"""),75.0)</f>
        <v>75</v>
      </c>
      <c r="I53" s="1">
        <f>IFERROR(__xludf.DUMMYFUNCTION("""COMPUTED_VALUE"""),41.0)</f>
        <v>41</v>
      </c>
      <c r="J53" s="1">
        <f>IFERROR(__xludf.DUMMYFUNCTION("""COMPUTED_VALUE"""),66.0)</f>
        <v>66</v>
      </c>
      <c r="K53" s="1">
        <f>IFERROR(__xludf.DUMMYFUNCTION("""COMPUTED_VALUE"""),54.0)</f>
        <v>54</v>
      </c>
      <c r="L53" s="1">
        <f>IFERROR(__xludf.DUMMYFUNCTION("""COMPUTED_VALUE"""),314.0)</f>
        <v>314</v>
      </c>
      <c r="M53" s="1">
        <f>IFERROR(__xludf.DUMMYFUNCTION("""COMPUTED_VALUE"""),62.8)</f>
        <v>62.8</v>
      </c>
      <c r="N53" s="1">
        <f>IFERROR(__xludf.DUMMYFUNCTION("""COMPUTED_VALUE"""),94.0)</f>
        <v>94</v>
      </c>
      <c r="O53" s="1" t="str">
        <f>IFERROR(__xludf.DUMMYFUNCTION("""COMPUTED_VALUE"""),"Pass")</f>
        <v>Pass</v>
      </c>
    </row>
    <row r="54" ht="15.75" customHeight="1">
      <c r="A54" s="1" t="str">
        <f>IFERROR(__xludf.DUMMYFUNCTION("""COMPUTED_VALUE"""),"STD-1182")</f>
        <v>STD-1182</v>
      </c>
      <c r="B54" s="1" t="str">
        <f>IFERROR(__xludf.DUMMYFUNCTION("""COMPUTED_VALUE"""),"Vivaan Kulkarni")</f>
        <v>Vivaan Kulkarni</v>
      </c>
      <c r="C54" s="1" t="str">
        <f>IFERROR(__xludf.DUMMYFUNCTION("""COMPUTED_VALUE"""),"Male")</f>
        <v>Male</v>
      </c>
      <c r="D54" s="1" t="str">
        <f>IFERROR(__xludf.DUMMYFUNCTION("""COMPUTED_VALUE"""),"8")</f>
        <v>8</v>
      </c>
      <c r="E54" s="1" t="str">
        <f>IFERROR(__xludf.DUMMYFUNCTION("""COMPUTED_VALUE"""),"C")</f>
        <v>C</v>
      </c>
      <c r="F54" s="1" t="str">
        <f>IFERROR(__xludf.DUMMYFUNCTION("""COMPUTED_VALUE"""),"Delhi")</f>
        <v>Delhi</v>
      </c>
      <c r="G54" s="1">
        <f>IFERROR(__xludf.DUMMYFUNCTION("""COMPUTED_VALUE"""),47.0)</f>
        <v>47</v>
      </c>
      <c r="H54" s="1">
        <f>IFERROR(__xludf.DUMMYFUNCTION("""COMPUTED_VALUE"""),86.0)</f>
        <v>86</v>
      </c>
      <c r="I54" s="1">
        <f>IFERROR(__xludf.DUMMYFUNCTION("""COMPUTED_VALUE"""),95.0)</f>
        <v>95</v>
      </c>
      <c r="J54" s="1">
        <f>IFERROR(__xludf.DUMMYFUNCTION("""COMPUTED_VALUE"""),43.0)</f>
        <v>43</v>
      </c>
      <c r="K54" s="1">
        <f>IFERROR(__xludf.DUMMYFUNCTION("""COMPUTED_VALUE"""),51.0)</f>
        <v>51</v>
      </c>
      <c r="L54" s="1">
        <f>IFERROR(__xludf.DUMMYFUNCTION("""COMPUTED_VALUE"""),322.0)</f>
        <v>322</v>
      </c>
      <c r="M54" s="1">
        <f>IFERROR(__xludf.DUMMYFUNCTION("""COMPUTED_VALUE"""),64.4)</f>
        <v>64.4</v>
      </c>
      <c r="N54" s="1">
        <f>IFERROR(__xludf.DUMMYFUNCTION("""COMPUTED_VALUE"""),97.0)</f>
        <v>97</v>
      </c>
      <c r="O54" s="1" t="str">
        <f>IFERROR(__xludf.DUMMYFUNCTION("""COMPUTED_VALUE"""),"Pass")</f>
        <v>Pass</v>
      </c>
    </row>
    <row r="55" ht="15.75" customHeight="1">
      <c r="A55" s="1" t="str">
        <f>IFERROR(__xludf.DUMMYFUNCTION("""COMPUTED_VALUE"""),"STD-1192")</f>
        <v>STD-1192</v>
      </c>
      <c r="B55" s="1" t="str">
        <f>IFERROR(__xludf.DUMMYFUNCTION("""COMPUTED_VALUE"""),"Neha Jain")</f>
        <v>Neha Jain</v>
      </c>
      <c r="C55" s="1" t="str">
        <f>IFERROR(__xludf.DUMMYFUNCTION("""COMPUTED_VALUE"""),"Female")</f>
        <v>Female</v>
      </c>
      <c r="D55" s="1" t="str">
        <f>IFERROR(__xludf.DUMMYFUNCTION("""COMPUTED_VALUE"""),"6")</f>
        <v>6</v>
      </c>
      <c r="E55" s="1" t="str">
        <f>IFERROR(__xludf.DUMMYFUNCTION("""COMPUTED_VALUE"""),"C")</f>
        <v>C</v>
      </c>
      <c r="F55" s="1" t="str">
        <f>IFERROR(__xludf.DUMMYFUNCTION("""COMPUTED_VALUE"""),"Jaipur")</f>
        <v>Jaipur</v>
      </c>
      <c r="G55" s="1">
        <f>IFERROR(__xludf.DUMMYFUNCTION("""COMPUTED_VALUE"""),81.0)</f>
        <v>81</v>
      </c>
      <c r="H55" s="1">
        <f>IFERROR(__xludf.DUMMYFUNCTION("""COMPUTED_VALUE"""),82.0)</f>
        <v>82</v>
      </c>
      <c r="I55" s="1">
        <f>IFERROR(__xludf.DUMMYFUNCTION("""COMPUTED_VALUE"""),42.0)</f>
        <v>42</v>
      </c>
      <c r="J55" s="1">
        <f>IFERROR(__xludf.DUMMYFUNCTION("""COMPUTED_VALUE"""),66.0)</f>
        <v>66</v>
      </c>
      <c r="K55" s="1">
        <f>IFERROR(__xludf.DUMMYFUNCTION("""COMPUTED_VALUE"""),86.0)</f>
        <v>86</v>
      </c>
      <c r="L55" s="1">
        <f>IFERROR(__xludf.DUMMYFUNCTION("""COMPUTED_VALUE"""),357.0)</f>
        <v>357</v>
      </c>
      <c r="M55" s="1">
        <f>IFERROR(__xludf.DUMMYFUNCTION("""COMPUTED_VALUE"""),71.4)</f>
        <v>71.4</v>
      </c>
      <c r="N55" s="1">
        <f>IFERROR(__xludf.DUMMYFUNCTION("""COMPUTED_VALUE"""),91.0)</f>
        <v>91</v>
      </c>
      <c r="O55" s="1" t="str">
        <f>IFERROR(__xludf.DUMMYFUNCTION("""COMPUTED_VALUE"""),"Pass")</f>
        <v>Pass</v>
      </c>
    </row>
    <row r="56" ht="15.75" customHeight="1">
      <c r="A56" s="1" t="str">
        <f>IFERROR(__xludf.DUMMYFUNCTION("""COMPUTED_VALUE"""),"STD-1194")</f>
        <v>STD-1194</v>
      </c>
      <c r="B56" s="1" t="str">
        <f>IFERROR(__xludf.DUMMYFUNCTION("""COMPUTED_VALUE"""),"Aarav Patel")</f>
        <v>Aarav Patel</v>
      </c>
      <c r="C56" s="1" t="str">
        <f>IFERROR(__xludf.DUMMYFUNCTION("""COMPUTED_VALUE"""),"Male")</f>
        <v>Male</v>
      </c>
      <c r="D56" s="1" t="str">
        <f>IFERROR(__xludf.DUMMYFUNCTION("""COMPUTED_VALUE"""),"9")</f>
        <v>9</v>
      </c>
      <c r="E56" s="1" t="str">
        <f>IFERROR(__xludf.DUMMYFUNCTION("""COMPUTED_VALUE"""),"A")</f>
        <v>A</v>
      </c>
      <c r="F56" s="1" t="str">
        <f>IFERROR(__xludf.DUMMYFUNCTION("""COMPUTED_VALUE"""),"Bhopal")</f>
        <v>Bhopal</v>
      </c>
      <c r="G56" s="1">
        <f>IFERROR(__xludf.DUMMYFUNCTION("""COMPUTED_VALUE"""),94.0)</f>
        <v>94</v>
      </c>
      <c r="H56" s="1">
        <f>IFERROR(__xludf.DUMMYFUNCTION("""COMPUTED_VALUE"""),67.0)</f>
        <v>67</v>
      </c>
      <c r="I56" s="1">
        <f>IFERROR(__xludf.DUMMYFUNCTION("""COMPUTED_VALUE"""),77.0)</f>
        <v>77</v>
      </c>
      <c r="J56" s="1">
        <f>IFERROR(__xludf.DUMMYFUNCTION("""COMPUTED_VALUE"""),60.0)</f>
        <v>60</v>
      </c>
      <c r="K56" s="1">
        <f>IFERROR(__xludf.DUMMYFUNCTION("""COMPUTED_VALUE"""),85.0)</f>
        <v>85</v>
      </c>
      <c r="L56" s="1">
        <f>IFERROR(__xludf.DUMMYFUNCTION("""COMPUTED_VALUE"""),383.0)</f>
        <v>383</v>
      </c>
      <c r="M56" s="1">
        <f>IFERROR(__xludf.DUMMYFUNCTION("""COMPUTED_VALUE"""),76.6)</f>
        <v>76.6</v>
      </c>
      <c r="N56" s="1">
        <f>IFERROR(__xludf.DUMMYFUNCTION("""COMPUTED_VALUE"""),98.0)</f>
        <v>98</v>
      </c>
      <c r="O56" s="1" t="str">
        <f>IFERROR(__xludf.DUMMYFUNCTION("""COMPUTED_VALUE"""),"Pass")</f>
        <v>Pass</v>
      </c>
    </row>
    <row r="57" ht="15.75" customHeight="1">
      <c r="A57" s="1" t="str">
        <f>IFERROR(__xludf.DUMMYFUNCTION("""COMPUTED_VALUE"""),"STD-1203")</f>
        <v>STD-1203</v>
      </c>
      <c r="B57" s="1" t="str">
        <f>IFERROR(__xludf.DUMMYFUNCTION("""COMPUTED_VALUE"""),"Rahul Verma")</f>
        <v>Rahul Verma</v>
      </c>
      <c r="C57" s="1" t="str">
        <f>IFERROR(__xludf.DUMMYFUNCTION("""COMPUTED_VALUE"""),"Female")</f>
        <v>Female</v>
      </c>
      <c r="D57" s="1" t="str">
        <f>IFERROR(__xludf.DUMMYFUNCTION("""COMPUTED_VALUE"""),"9")</f>
        <v>9</v>
      </c>
      <c r="E57" s="1" t="str">
        <f>IFERROR(__xludf.DUMMYFUNCTION("""COMPUTED_VALUE"""),"B")</f>
        <v>B</v>
      </c>
      <c r="F57" s="1" t="str">
        <f>IFERROR(__xludf.DUMMYFUNCTION("""COMPUTED_VALUE"""),"Chandigarh")</f>
        <v>Chandigarh</v>
      </c>
      <c r="G57" s="1">
        <f>IFERROR(__xludf.DUMMYFUNCTION("""COMPUTED_VALUE"""),54.0)</f>
        <v>54</v>
      </c>
      <c r="H57" s="1">
        <f>IFERROR(__xludf.DUMMYFUNCTION("""COMPUTED_VALUE"""),51.0)</f>
        <v>51</v>
      </c>
      <c r="I57" s="1">
        <f>IFERROR(__xludf.DUMMYFUNCTION("""COMPUTED_VALUE"""),67.0)</f>
        <v>67</v>
      </c>
      <c r="J57" s="1">
        <f>IFERROR(__xludf.DUMMYFUNCTION("""COMPUTED_VALUE"""),62.0)</f>
        <v>62</v>
      </c>
      <c r="K57" s="1">
        <f>IFERROR(__xludf.DUMMYFUNCTION("""COMPUTED_VALUE"""),83.0)</f>
        <v>83</v>
      </c>
      <c r="L57" s="1">
        <f>IFERROR(__xludf.DUMMYFUNCTION("""COMPUTED_VALUE"""),317.0)</f>
        <v>317</v>
      </c>
      <c r="M57" s="1">
        <f>IFERROR(__xludf.DUMMYFUNCTION("""COMPUTED_VALUE"""),63.4)</f>
        <v>63.4</v>
      </c>
      <c r="N57" s="1">
        <f>IFERROR(__xludf.DUMMYFUNCTION("""COMPUTED_VALUE"""),98.0)</f>
        <v>98</v>
      </c>
      <c r="O57" s="1" t="str">
        <f>IFERROR(__xludf.DUMMYFUNCTION("""COMPUTED_VALUE"""),"Pass")</f>
        <v>Pass</v>
      </c>
    </row>
    <row r="58" ht="15.75" customHeight="1">
      <c r="A58" s="1" t="str">
        <f>IFERROR(__xludf.DUMMYFUNCTION("""COMPUTED_VALUE"""),"STD-1207")</f>
        <v>STD-1207</v>
      </c>
      <c r="B58" s="1" t="str">
        <f>IFERROR(__xludf.DUMMYFUNCTION("""COMPUTED_VALUE"""),"Shreya Gupta")</f>
        <v>Shreya Gupta</v>
      </c>
      <c r="C58" s="1" t="str">
        <f>IFERROR(__xludf.DUMMYFUNCTION("""COMPUTED_VALUE"""),"Female")</f>
        <v>Female</v>
      </c>
      <c r="D58" s="1" t="str">
        <f>IFERROR(__xludf.DUMMYFUNCTION("""COMPUTED_VALUE"""),"6")</f>
        <v>6</v>
      </c>
      <c r="E58" s="1" t="str">
        <f>IFERROR(__xludf.DUMMYFUNCTION("""COMPUTED_VALUE"""),"B")</f>
        <v>B</v>
      </c>
      <c r="F58" s="1" t="str">
        <f>IFERROR(__xludf.DUMMYFUNCTION("""COMPUTED_VALUE"""),"Patna")</f>
        <v>Patna</v>
      </c>
      <c r="G58" s="1">
        <f>IFERROR(__xludf.DUMMYFUNCTION("""COMPUTED_VALUE"""),43.0)</f>
        <v>43</v>
      </c>
      <c r="H58" s="1">
        <f>IFERROR(__xludf.DUMMYFUNCTION("""COMPUTED_VALUE"""),66.0)</f>
        <v>66</v>
      </c>
      <c r="I58" s="1">
        <f>IFERROR(__xludf.DUMMYFUNCTION("""COMPUTED_VALUE"""),58.0)</f>
        <v>58</v>
      </c>
      <c r="J58" s="1">
        <f>IFERROR(__xludf.DUMMYFUNCTION("""COMPUTED_VALUE"""),79.0)</f>
        <v>79</v>
      </c>
      <c r="K58" s="1">
        <f>IFERROR(__xludf.DUMMYFUNCTION("""COMPUTED_VALUE"""),93.0)</f>
        <v>93</v>
      </c>
      <c r="L58" s="1">
        <f>IFERROR(__xludf.DUMMYFUNCTION("""COMPUTED_VALUE"""),339.0)</f>
        <v>339</v>
      </c>
      <c r="M58" s="1">
        <f>IFERROR(__xludf.DUMMYFUNCTION("""COMPUTED_VALUE"""),67.8)</f>
        <v>67.8</v>
      </c>
      <c r="N58" s="1">
        <f>IFERROR(__xludf.DUMMYFUNCTION("""COMPUTED_VALUE"""),97.0)</f>
        <v>97</v>
      </c>
      <c r="O58" s="1" t="str">
        <f>IFERROR(__xludf.DUMMYFUNCTION("""COMPUTED_VALUE"""),"Pass")</f>
        <v>Pass</v>
      </c>
    </row>
    <row r="59" ht="15.75" customHeight="1">
      <c r="A59" s="1" t="str">
        <f>IFERROR(__xludf.DUMMYFUNCTION("""COMPUTED_VALUE"""),"STD-1209")</f>
        <v>STD-1209</v>
      </c>
      <c r="B59" s="1" t="str">
        <f>IFERROR(__xludf.DUMMYFUNCTION("""COMPUTED_VALUE"""),"Sai Kaur")</f>
        <v>Sai Kaur</v>
      </c>
      <c r="C59" s="1" t="str">
        <f>IFERROR(__xludf.DUMMYFUNCTION("""COMPUTED_VALUE"""),"Female")</f>
        <v>Female</v>
      </c>
      <c r="D59" s="1" t="str">
        <f>IFERROR(__xludf.DUMMYFUNCTION("""COMPUTED_VALUE"""),"6")</f>
        <v>6</v>
      </c>
      <c r="E59" s="1" t="str">
        <f>IFERROR(__xludf.DUMMYFUNCTION("""COMPUTED_VALUE"""),"C")</f>
        <v>C</v>
      </c>
      <c r="F59" s="1" t="str">
        <f>IFERROR(__xludf.DUMMYFUNCTION("""COMPUTED_VALUE"""),"Chandigarh")</f>
        <v>Chandigarh</v>
      </c>
      <c r="G59" s="1">
        <f>IFERROR(__xludf.DUMMYFUNCTION("""COMPUTED_VALUE"""),76.0)</f>
        <v>76</v>
      </c>
      <c r="H59" s="1">
        <f>IFERROR(__xludf.DUMMYFUNCTION("""COMPUTED_VALUE"""),77.0)</f>
        <v>77</v>
      </c>
      <c r="I59" s="1">
        <f>IFERROR(__xludf.DUMMYFUNCTION("""COMPUTED_VALUE"""),96.0)</f>
        <v>96</v>
      </c>
      <c r="J59" s="1">
        <f>IFERROR(__xludf.DUMMYFUNCTION("""COMPUTED_VALUE"""),80.0)</f>
        <v>80</v>
      </c>
      <c r="K59" s="1">
        <f>IFERROR(__xludf.DUMMYFUNCTION("""COMPUTED_VALUE"""),64.0)</f>
        <v>64</v>
      </c>
      <c r="L59" s="1">
        <f>IFERROR(__xludf.DUMMYFUNCTION("""COMPUTED_VALUE"""),393.0)</f>
        <v>393</v>
      </c>
      <c r="M59" s="1">
        <f>IFERROR(__xludf.DUMMYFUNCTION("""COMPUTED_VALUE"""),78.6)</f>
        <v>78.6</v>
      </c>
      <c r="N59" s="1">
        <f>IFERROR(__xludf.DUMMYFUNCTION("""COMPUTED_VALUE"""),94.0)</f>
        <v>94</v>
      </c>
      <c r="O59" s="1" t="str">
        <f>IFERROR(__xludf.DUMMYFUNCTION("""COMPUTED_VALUE"""),"Pass")</f>
        <v>Pass</v>
      </c>
    </row>
    <row r="60" ht="15.75" customHeight="1">
      <c r="A60" s="1" t="str">
        <f>IFERROR(__xludf.DUMMYFUNCTION("""COMPUTED_VALUE"""),"STD-1212")</f>
        <v>STD-1212</v>
      </c>
      <c r="B60" s="1" t="str">
        <f>IFERROR(__xludf.DUMMYFUNCTION("""COMPUTED_VALUE"""),"Neha Sharma")</f>
        <v>Neha Sharma</v>
      </c>
      <c r="C60" s="1" t="str">
        <f>IFERROR(__xludf.DUMMYFUNCTION("""COMPUTED_VALUE"""),"Male")</f>
        <v>Male</v>
      </c>
      <c r="D60" s="1" t="str">
        <f>IFERROR(__xludf.DUMMYFUNCTION("""COMPUTED_VALUE"""),"7")</f>
        <v>7</v>
      </c>
      <c r="E60" s="1" t="str">
        <f>IFERROR(__xludf.DUMMYFUNCTION("""COMPUTED_VALUE"""),"C")</f>
        <v>C</v>
      </c>
      <c r="F60" s="1" t="str">
        <f>IFERROR(__xludf.DUMMYFUNCTION("""COMPUTED_VALUE"""),"Patna")</f>
        <v>Patna</v>
      </c>
      <c r="G60" s="1">
        <f>IFERROR(__xludf.DUMMYFUNCTION("""COMPUTED_VALUE"""),95.0)</f>
        <v>95</v>
      </c>
      <c r="H60" s="1">
        <f>IFERROR(__xludf.DUMMYFUNCTION("""COMPUTED_VALUE"""),80.0)</f>
        <v>80</v>
      </c>
      <c r="I60" s="1">
        <f>IFERROR(__xludf.DUMMYFUNCTION("""COMPUTED_VALUE"""),52.0)</f>
        <v>52</v>
      </c>
      <c r="J60" s="1">
        <f>IFERROR(__xludf.DUMMYFUNCTION("""COMPUTED_VALUE"""),76.0)</f>
        <v>76</v>
      </c>
      <c r="K60" s="1">
        <f>IFERROR(__xludf.DUMMYFUNCTION("""COMPUTED_VALUE"""),76.0)</f>
        <v>76</v>
      </c>
      <c r="L60" s="1">
        <f>IFERROR(__xludf.DUMMYFUNCTION("""COMPUTED_VALUE"""),379.0)</f>
        <v>379</v>
      </c>
      <c r="M60" s="1">
        <f>IFERROR(__xludf.DUMMYFUNCTION("""COMPUTED_VALUE"""),75.8)</f>
        <v>75.8</v>
      </c>
      <c r="N60" s="1">
        <f>IFERROR(__xludf.DUMMYFUNCTION("""COMPUTED_VALUE"""),91.0)</f>
        <v>91</v>
      </c>
      <c r="O60" s="1" t="str">
        <f>IFERROR(__xludf.DUMMYFUNCTION("""COMPUTED_VALUE"""),"Pass")</f>
        <v>Pass</v>
      </c>
    </row>
    <row r="61" ht="15.75" customHeight="1">
      <c r="A61" s="1" t="str">
        <f>IFERROR(__xludf.DUMMYFUNCTION("""COMPUTED_VALUE"""),"STD-1216")</f>
        <v>STD-1216</v>
      </c>
      <c r="B61" s="1" t="str">
        <f>IFERROR(__xludf.DUMMYFUNCTION("""COMPUTED_VALUE"""),"Aditya Das")</f>
        <v>Aditya Das</v>
      </c>
      <c r="C61" s="1" t="str">
        <f>IFERROR(__xludf.DUMMYFUNCTION("""COMPUTED_VALUE"""),"Male")</f>
        <v>Male</v>
      </c>
      <c r="D61" s="1" t="str">
        <f>IFERROR(__xludf.DUMMYFUNCTION("""COMPUTED_VALUE"""),"10")</f>
        <v>10</v>
      </c>
      <c r="E61" s="1" t="str">
        <f>IFERROR(__xludf.DUMMYFUNCTION("""COMPUTED_VALUE"""),"B")</f>
        <v>B</v>
      </c>
      <c r="F61" s="1" t="str">
        <f>IFERROR(__xludf.DUMMYFUNCTION("""COMPUTED_VALUE"""),"Chandigarh")</f>
        <v>Chandigarh</v>
      </c>
      <c r="G61" s="1">
        <f>IFERROR(__xludf.DUMMYFUNCTION("""COMPUTED_VALUE"""),91.0)</f>
        <v>91</v>
      </c>
      <c r="H61" s="1">
        <f>IFERROR(__xludf.DUMMYFUNCTION("""COMPUTED_VALUE"""),78.0)</f>
        <v>78</v>
      </c>
      <c r="I61" s="1">
        <f>IFERROR(__xludf.DUMMYFUNCTION("""COMPUTED_VALUE"""),90.0)</f>
        <v>90</v>
      </c>
      <c r="J61" s="1">
        <f>IFERROR(__xludf.DUMMYFUNCTION("""COMPUTED_VALUE"""),68.0)</f>
        <v>68</v>
      </c>
      <c r="K61" s="1">
        <f>IFERROR(__xludf.DUMMYFUNCTION("""COMPUTED_VALUE"""),57.0)</f>
        <v>57</v>
      </c>
      <c r="L61" s="1">
        <f>IFERROR(__xludf.DUMMYFUNCTION("""COMPUTED_VALUE"""),384.0)</f>
        <v>384</v>
      </c>
      <c r="M61" s="1">
        <f>IFERROR(__xludf.DUMMYFUNCTION("""COMPUTED_VALUE"""),76.8)</f>
        <v>76.8</v>
      </c>
      <c r="N61" s="1">
        <f>IFERROR(__xludf.DUMMYFUNCTION("""COMPUTED_VALUE"""),99.0)</f>
        <v>99</v>
      </c>
      <c r="O61" s="1" t="str">
        <f>IFERROR(__xludf.DUMMYFUNCTION("""COMPUTED_VALUE"""),"Pass")</f>
        <v>Pass</v>
      </c>
    </row>
    <row r="62" ht="15.75" customHeight="1">
      <c r="A62" s="1" t="str">
        <f>IFERROR(__xludf.DUMMYFUNCTION("""COMPUTED_VALUE"""),"STD-1217")</f>
        <v>STD-1217</v>
      </c>
      <c r="B62" s="1" t="str">
        <f>IFERROR(__xludf.DUMMYFUNCTION("""COMPUTED_VALUE"""),"Aditya Choudhary")</f>
        <v>Aditya Choudhary</v>
      </c>
      <c r="C62" s="1" t="str">
        <f>IFERROR(__xludf.DUMMYFUNCTION("""COMPUTED_VALUE"""),"Female")</f>
        <v>Female</v>
      </c>
      <c r="D62" s="1" t="str">
        <f>IFERROR(__xludf.DUMMYFUNCTION("""COMPUTED_VALUE"""),"10")</f>
        <v>10</v>
      </c>
      <c r="E62" s="1" t="str">
        <f>IFERROR(__xludf.DUMMYFUNCTION("""COMPUTED_VALUE"""),"B")</f>
        <v>B</v>
      </c>
      <c r="F62" s="1" t="str">
        <f>IFERROR(__xludf.DUMMYFUNCTION("""COMPUTED_VALUE"""),"Kolkata")</f>
        <v>Kolkata</v>
      </c>
      <c r="G62" s="1">
        <f>IFERROR(__xludf.DUMMYFUNCTION("""COMPUTED_VALUE"""),96.0)</f>
        <v>96</v>
      </c>
      <c r="H62" s="1">
        <f>IFERROR(__xludf.DUMMYFUNCTION("""COMPUTED_VALUE"""),46.0)</f>
        <v>46</v>
      </c>
      <c r="I62" s="1">
        <f>IFERROR(__xludf.DUMMYFUNCTION("""COMPUTED_VALUE"""),58.0)</f>
        <v>58</v>
      </c>
      <c r="J62" s="1">
        <f>IFERROR(__xludf.DUMMYFUNCTION("""COMPUTED_VALUE"""),56.0)</f>
        <v>56</v>
      </c>
      <c r="K62" s="1">
        <f>IFERROR(__xludf.DUMMYFUNCTION("""COMPUTED_VALUE"""),50.0)</f>
        <v>50</v>
      </c>
      <c r="L62" s="1">
        <f>IFERROR(__xludf.DUMMYFUNCTION("""COMPUTED_VALUE"""),306.0)</f>
        <v>306</v>
      </c>
      <c r="M62" s="1">
        <f>IFERROR(__xludf.DUMMYFUNCTION("""COMPUTED_VALUE"""),61.2)</f>
        <v>61.2</v>
      </c>
      <c r="N62" s="1">
        <f>IFERROR(__xludf.DUMMYFUNCTION("""COMPUTED_VALUE"""),94.0)</f>
        <v>94</v>
      </c>
      <c r="O62" s="1" t="str">
        <f>IFERROR(__xludf.DUMMYFUNCTION("""COMPUTED_VALUE"""),"Pass")</f>
        <v>Pass</v>
      </c>
    </row>
    <row r="63" ht="15.75" customHeight="1">
      <c r="A63" s="1" t="str">
        <f>IFERROR(__xludf.DUMMYFUNCTION("""COMPUTED_VALUE"""),"STD-1222")</f>
        <v>STD-1222</v>
      </c>
      <c r="B63" s="1" t="str">
        <f>IFERROR(__xludf.DUMMYFUNCTION("""COMPUTED_VALUE"""),"Sneha Yadav")</f>
        <v>Sneha Yadav</v>
      </c>
      <c r="C63" s="1" t="str">
        <f>IFERROR(__xludf.DUMMYFUNCTION("""COMPUTED_VALUE"""),"Female")</f>
        <v>Female</v>
      </c>
      <c r="D63" s="1" t="str">
        <f>IFERROR(__xludf.DUMMYFUNCTION("""COMPUTED_VALUE"""),"7")</f>
        <v>7</v>
      </c>
      <c r="E63" s="1" t="str">
        <f>IFERROR(__xludf.DUMMYFUNCTION("""COMPUTED_VALUE"""),"C")</f>
        <v>C</v>
      </c>
      <c r="F63" s="1" t="str">
        <f>IFERROR(__xludf.DUMMYFUNCTION("""COMPUTED_VALUE"""),"Chandigarh")</f>
        <v>Chandigarh</v>
      </c>
      <c r="G63" s="1">
        <f>IFERROR(__xludf.DUMMYFUNCTION("""COMPUTED_VALUE"""),59.0)</f>
        <v>59</v>
      </c>
      <c r="H63" s="1">
        <f>IFERROR(__xludf.DUMMYFUNCTION("""COMPUTED_VALUE"""),67.0)</f>
        <v>67</v>
      </c>
      <c r="I63" s="1">
        <f>IFERROR(__xludf.DUMMYFUNCTION("""COMPUTED_VALUE"""),54.0)</f>
        <v>54</v>
      </c>
      <c r="J63" s="1">
        <f>IFERROR(__xludf.DUMMYFUNCTION("""COMPUTED_VALUE"""),66.0)</f>
        <v>66</v>
      </c>
      <c r="K63" s="1">
        <f>IFERROR(__xludf.DUMMYFUNCTION("""COMPUTED_VALUE"""),86.0)</f>
        <v>86</v>
      </c>
      <c r="L63" s="1">
        <f>IFERROR(__xludf.DUMMYFUNCTION("""COMPUTED_VALUE"""),332.0)</f>
        <v>332</v>
      </c>
      <c r="M63" s="1">
        <f>IFERROR(__xludf.DUMMYFUNCTION("""COMPUTED_VALUE"""),66.4)</f>
        <v>66.4</v>
      </c>
      <c r="N63" s="1">
        <f>IFERROR(__xludf.DUMMYFUNCTION("""COMPUTED_VALUE"""),97.0)</f>
        <v>97</v>
      </c>
      <c r="O63" s="1" t="str">
        <f>IFERROR(__xludf.DUMMYFUNCTION("""COMPUTED_VALUE"""),"Pass")</f>
        <v>Pass</v>
      </c>
    </row>
    <row r="64" ht="15.75" customHeight="1">
      <c r="A64" s="1" t="str">
        <f>IFERROR(__xludf.DUMMYFUNCTION("""COMPUTED_VALUE"""),"STD-1223")</f>
        <v>STD-1223</v>
      </c>
      <c r="B64" s="1" t="str">
        <f>IFERROR(__xludf.DUMMYFUNCTION("""COMPUTED_VALUE"""),"Rohan Choudhary")</f>
        <v>Rohan Choudhary</v>
      </c>
      <c r="C64" s="1" t="str">
        <f>IFERROR(__xludf.DUMMYFUNCTION("""COMPUTED_VALUE"""),"Male")</f>
        <v>Male</v>
      </c>
      <c r="D64" s="1" t="str">
        <f>IFERROR(__xludf.DUMMYFUNCTION("""COMPUTED_VALUE"""),"8")</f>
        <v>8</v>
      </c>
      <c r="E64" s="1" t="str">
        <f>IFERROR(__xludf.DUMMYFUNCTION("""COMPUTED_VALUE"""),"A")</f>
        <v>A</v>
      </c>
      <c r="F64" s="1" t="str">
        <f>IFERROR(__xludf.DUMMYFUNCTION("""COMPUTED_VALUE"""),"Delhi")</f>
        <v>Delhi</v>
      </c>
      <c r="G64" s="1">
        <f>IFERROR(__xludf.DUMMYFUNCTION("""COMPUTED_VALUE"""),58.0)</f>
        <v>58</v>
      </c>
      <c r="H64" s="1">
        <f>IFERROR(__xludf.DUMMYFUNCTION("""COMPUTED_VALUE"""),80.0)</f>
        <v>80</v>
      </c>
      <c r="I64" s="1">
        <f>IFERROR(__xludf.DUMMYFUNCTION("""COMPUTED_VALUE"""),69.0)</f>
        <v>69</v>
      </c>
      <c r="J64" s="1">
        <f>IFERROR(__xludf.DUMMYFUNCTION("""COMPUTED_VALUE"""),56.0)</f>
        <v>56</v>
      </c>
      <c r="K64" s="1">
        <f>IFERROR(__xludf.DUMMYFUNCTION("""COMPUTED_VALUE"""),63.0)</f>
        <v>63</v>
      </c>
      <c r="L64" s="1">
        <f>IFERROR(__xludf.DUMMYFUNCTION("""COMPUTED_VALUE"""),326.0)</f>
        <v>326</v>
      </c>
      <c r="M64" s="1">
        <f>IFERROR(__xludf.DUMMYFUNCTION("""COMPUTED_VALUE"""),65.2)</f>
        <v>65.2</v>
      </c>
      <c r="N64" s="1">
        <f>IFERROR(__xludf.DUMMYFUNCTION("""COMPUTED_VALUE"""),97.0)</f>
        <v>97</v>
      </c>
      <c r="O64" s="1" t="str">
        <f>IFERROR(__xludf.DUMMYFUNCTION("""COMPUTED_VALUE"""),"Pass")</f>
        <v>Pass</v>
      </c>
    </row>
    <row r="65" ht="15.75" customHeight="1">
      <c r="A65" s="1" t="str">
        <f>IFERROR(__xludf.DUMMYFUNCTION("""COMPUTED_VALUE"""),"STD-1228")</f>
        <v>STD-1228</v>
      </c>
      <c r="B65" s="1" t="str">
        <f>IFERROR(__xludf.DUMMYFUNCTION("""COMPUTED_VALUE"""),"Aditya Iyer")</f>
        <v>Aditya Iyer</v>
      </c>
      <c r="C65" s="1" t="str">
        <f>IFERROR(__xludf.DUMMYFUNCTION("""COMPUTED_VALUE"""),"Male")</f>
        <v>Male</v>
      </c>
      <c r="D65" s="1" t="str">
        <f>IFERROR(__xludf.DUMMYFUNCTION("""COMPUTED_VALUE"""),"9")</f>
        <v>9</v>
      </c>
      <c r="E65" s="1" t="str">
        <f>IFERROR(__xludf.DUMMYFUNCTION("""COMPUTED_VALUE"""),"B")</f>
        <v>B</v>
      </c>
      <c r="F65" s="1" t="str">
        <f>IFERROR(__xludf.DUMMYFUNCTION("""COMPUTED_VALUE"""),"Delhi")</f>
        <v>Delhi</v>
      </c>
      <c r="G65" s="1">
        <f>IFERROR(__xludf.DUMMYFUNCTION("""COMPUTED_VALUE"""),55.0)</f>
        <v>55</v>
      </c>
      <c r="H65" s="1">
        <f>IFERROR(__xludf.DUMMYFUNCTION("""COMPUTED_VALUE"""),62.0)</f>
        <v>62</v>
      </c>
      <c r="I65" s="1">
        <f>IFERROR(__xludf.DUMMYFUNCTION("""COMPUTED_VALUE"""),79.0)</f>
        <v>79</v>
      </c>
      <c r="J65" s="1">
        <f>IFERROR(__xludf.DUMMYFUNCTION("""COMPUTED_VALUE"""),93.0)</f>
        <v>93</v>
      </c>
      <c r="K65" s="1">
        <f>IFERROR(__xludf.DUMMYFUNCTION("""COMPUTED_VALUE"""),66.0)</f>
        <v>66</v>
      </c>
      <c r="L65" s="1">
        <f>IFERROR(__xludf.DUMMYFUNCTION("""COMPUTED_VALUE"""),355.0)</f>
        <v>355</v>
      </c>
      <c r="M65" s="1">
        <f>IFERROR(__xludf.DUMMYFUNCTION("""COMPUTED_VALUE"""),71.0)</f>
        <v>71</v>
      </c>
      <c r="N65" s="1">
        <f>IFERROR(__xludf.DUMMYFUNCTION("""COMPUTED_VALUE"""),91.0)</f>
        <v>91</v>
      </c>
      <c r="O65" s="1" t="str">
        <f>IFERROR(__xludf.DUMMYFUNCTION("""COMPUTED_VALUE"""),"Pass")</f>
        <v>Pass</v>
      </c>
    </row>
    <row r="66" ht="15.75" customHeight="1">
      <c r="A66" s="1" t="str">
        <f>IFERROR(__xludf.DUMMYFUNCTION("""COMPUTED_VALUE"""),"STD-1238")</f>
        <v>STD-1238</v>
      </c>
      <c r="B66" s="1" t="str">
        <f>IFERROR(__xludf.DUMMYFUNCTION("""COMPUTED_VALUE"""),"Pooja Yadav")</f>
        <v>Pooja Yadav</v>
      </c>
      <c r="C66" s="1" t="str">
        <f>IFERROR(__xludf.DUMMYFUNCTION("""COMPUTED_VALUE"""),"Male")</f>
        <v>Male</v>
      </c>
      <c r="D66" s="1" t="str">
        <f>IFERROR(__xludf.DUMMYFUNCTION("""COMPUTED_VALUE"""),"10")</f>
        <v>10</v>
      </c>
      <c r="E66" s="1" t="str">
        <f>IFERROR(__xludf.DUMMYFUNCTION("""COMPUTED_VALUE"""),"B")</f>
        <v>B</v>
      </c>
      <c r="F66" s="1" t="str">
        <f>IFERROR(__xludf.DUMMYFUNCTION("""COMPUTED_VALUE"""),"Jaipur")</f>
        <v>Jaipur</v>
      </c>
      <c r="G66" s="1">
        <f>IFERROR(__xludf.DUMMYFUNCTION("""COMPUTED_VALUE"""),48.0)</f>
        <v>48</v>
      </c>
      <c r="H66" s="1">
        <f>IFERROR(__xludf.DUMMYFUNCTION("""COMPUTED_VALUE"""),50.0)</f>
        <v>50</v>
      </c>
      <c r="I66" s="1">
        <f>IFERROR(__xludf.DUMMYFUNCTION("""COMPUTED_VALUE"""),67.0)</f>
        <v>67</v>
      </c>
      <c r="J66" s="1">
        <f>IFERROR(__xludf.DUMMYFUNCTION("""COMPUTED_VALUE"""),91.0)</f>
        <v>91</v>
      </c>
      <c r="K66" s="1">
        <f>IFERROR(__xludf.DUMMYFUNCTION("""COMPUTED_VALUE"""),52.0)</f>
        <v>52</v>
      </c>
      <c r="L66" s="1">
        <f>IFERROR(__xludf.DUMMYFUNCTION("""COMPUTED_VALUE"""),308.0)</f>
        <v>308</v>
      </c>
      <c r="M66" s="1">
        <f>IFERROR(__xludf.DUMMYFUNCTION("""COMPUTED_VALUE"""),61.6)</f>
        <v>61.6</v>
      </c>
      <c r="N66" s="1">
        <f>IFERROR(__xludf.DUMMYFUNCTION("""COMPUTED_VALUE"""),97.0)</f>
        <v>97</v>
      </c>
      <c r="O66" s="1" t="str">
        <f>IFERROR(__xludf.DUMMYFUNCTION("""COMPUTED_VALUE"""),"Pass")</f>
        <v>Pass</v>
      </c>
    </row>
    <row r="67" ht="15.75" customHeight="1">
      <c r="A67" s="1" t="str">
        <f>IFERROR(__xludf.DUMMYFUNCTION("""COMPUTED_VALUE"""),"STD-1245")</f>
        <v>STD-1245</v>
      </c>
      <c r="B67" s="1" t="str">
        <f>IFERROR(__xludf.DUMMYFUNCTION("""COMPUTED_VALUE"""),"Rohan Verma")</f>
        <v>Rohan Verma</v>
      </c>
      <c r="C67" s="1" t="str">
        <f>IFERROR(__xludf.DUMMYFUNCTION("""COMPUTED_VALUE"""),"Male")</f>
        <v>Male</v>
      </c>
      <c r="D67" s="1" t="str">
        <f>IFERROR(__xludf.DUMMYFUNCTION("""COMPUTED_VALUE"""),"10")</f>
        <v>10</v>
      </c>
      <c r="E67" s="1" t="str">
        <f>IFERROR(__xludf.DUMMYFUNCTION("""COMPUTED_VALUE"""),"C")</f>
        <v>C</v>
      </c>
      <c r="F67" s="1" t="str">
        <f>IFERROR(__xludf.DUMMYFUNCTION("""COMPUTED_VALUE"""),"Kolkata")</f>
        <v>Kolkata</v>
      </c>
      <c r="G67" s="1">
        <f>IFERROR(__xludf.DUMMYFUNCTION("""COMPUTED_VALUE"""),52.0)</f>
        <v>52</v>
      </c>
      <c r="H67" s="1">
        <f>IFERROR(__xludf.DUMMYFUNCTION("""COMPUTED_VALUE"""),64.0)</f>
        <v>64</v>
      </c>
      <c r="I67" s="1">
        <f>IFERROR(__xludf.DUMMYFUNCTION("""COMPUTED_VALUE"""),78.0)</f>
        <v>78</v>
      </c>
      <c r="J67" s="1">
        <f>IFERROR(__xludf.DUMMYFUNCTION("""COMPUTED_VALUE"""),81.0)</f>
        <v>81</v>
      </c>
      <c r="K67" s="1">
        <f>IFERROR(__xludf.DUMMYFUNCTION("""COMPUTED_VALUE"""),71.0)</f>
        <v>71</v>
      </c>
      <c r="L67" s="1">
        <f>IFERROR(__xludf.DUMMYFUNCTION("""COMPUTED_VALUE"""),346.0)</f>
        <v>346</v>
      </c>
      <c r="M67" s="1">
        <f>IFERROR(__xludf.DUMMYFUNCTION("""COMPUTED_VALUE"""),69.2)</f>
        <v>69.2</v>
      </c>
      <c r="N67" s="1">
        <f>IFERROR(__xludf.DUMMYFUNCTION("""COMPUTED_VALUE"""),100.0)</f>
        <v>100</v>
      </c>
      <c r="O67" s="1" t="str">
        <f>IFERROR(__xludf.DUMMYFUNCTION("""COMPUTED_VALUE"""),"Pass")</f>
        <v>Pass</v>
      </c>
    </row>
    <row r="68" ht="15.75" customHeight="1">
      <c r="A68" s="1" t="str">
        <f>IFERROR(__xludf.DUMMYFUNCTION("""COMPUTED_VALUE"""),"STD-1256")</f>
        <v>STD-1256</v>
      </c>
      <c r="B68" s="1" t="str">
        <f>IFERROR(__xludf.DUMMYFUNCTION("""COMPUTED_VALUE"""),"Tanvi Yadav")</f>
        <v>Tanvi Yadav</v>
      </c>
      <c r="C68" s="1" t="str">
        <f>IFERROR(__xludf.DUMMYFUNCTION("""COMPUTED_VALUE"""),"Male")</f>
        <v>Male</v>
      </c>
      <c r="D68" s="1" t="str">
        <f>IFERROR(__xludf.DUMMYFUNCTION("""COMPUTED_VALUE"""),"9")</f>
        <v>9</v>
      </c>
      <c r="E68" s="1" t="str">
        <f>IFERROR(__xludf.DUMMYFUNCTION("""COMPUTED_VALUE"""),"A")</f>
        <v>A</v>
      </c>
      <c r="F68" s="1" t="str">
        <f>IFERROR(__xludf.DUMMYFUNCTION("""COMPUTED_VALUE"""),"Kolkata")</f>
        <v>Kolkata</v>
      </c>
      <c r="G68" s="1">
        <f>IFERROR(__xludf.DUMMYFUNCTION("""COMPUTED_VALUE"""),43.0)</f>
        <v>43</v>
      </c>
      <c r="H68" s="1">
        <f>IFERROR(__xludf.DUMMYFUNCTION("""COMPUTED_VALUE"""),70.0)</f>
        <v>70</v>
      </c>
      <c r="I68" s="1">
        <f>IFERROR(__xludf.DUMMYFUNCTION("""COMPUTED_VALUE"""),60.0)</f>
        <v>60</v>
      </c>
      <c r="J68" s="1">
        <f>IFERROR(__xludf.DUMMYFUNCTION("""COMPUTED_VALUE"""),66.0)</f>
        <v>66</v>
      </c>
      <c r="K68" s="1">
        <f>IFERROR(__xludf.DUMMYFUNCTION("""COMPUTED_VALUE"""),66.0)</f>
        <v>66</v>
      </c>
      <c r="L68" s="1">
        <f>IFERROR(__xludf.DUMMYFUNCTION("""COMPUTED_VALUE"""),305.0)</f>
        <v>305</v>
      </c>
      <c r="M68" s="1">
        <f>IFERROR(__xludf.DUMMYFUNCTION("""COMPUTED_VALUE"""),61.0)</f>
        <v>61</v>
      </c>
      <c r="N68" s="1">
        <f>IFERROR(__xludf.DUMMYFUNCTION("""COMPUTED_VALUE"""),96.0)</f>
        <v>96</v>
      </c>
      <c r="O68" s="1" t="str">
        <f>IFERROR(__xludf.DUMMYFUNCTION("""COMPUTED_VALUE"""),"Pass")</f>
        <v>Pass</v>
      </c>
    </row>
    <row r="69" ht="15.75" customHeight="1">
      <c r="A69" s="1" t="str">
        <f>IFERROR(__xludf.DUMMYFUNCTION("""COMPUTED_VALUE"""),"STD-1258")</f>
        <v>STD-1258</v>
      </c>
      <c r="B69" s="1" t="str">
        <f>IFERROR(__xludf.DUMMYFUNCTION("""COMPUTED_VALUE"""),"Sai Singh")</f>
        <v>Sai Singh</v>
      </c>
      <c r="C69" s="1" t="str">
        <f>IFERROR(__xludf.DUMMYFUNCTION("""COMPUTED_VALUE"""),"Male")</f>
        <v>Male</v>
      </c>
      <c r="D69" s="1" t="str">
        <f>IFERROR(__xludf.DUMMYFUNCTION("""COMPUTED_VALUE"""),"9")</f>
        <v>9</v>
      </c>
      <c r="E69" s="1" t="str">
        <f>IFERROR(__xludf.DUMMYFUNCTION("""COMPUTED_VALUE"""),"C")</f>
        <v>C</v>
      </c>
      <c r="F69" s="1" t="str">
        <f>IFERROR(__xludf.DUMMYFUNCTION("""COMPUTED_VALUE"""),"Jaipur")</f>
        <v>Jaipur</v>
      </c>
      <c r="G69" s="1">
        <f>IFERROR(__xludf.DUMMYFUNCTION("""COMPUTED_VALUE"""),41.0)</f>
        <v>41</v>
      </c>
      <c r="H69" s="1">
        <f>IFERROR(__xludf.DUMMYFUNCTION("""COMPUTED_VALUE"""),90.0)</f>
        <v>90</v>
      </c>
      <c r="I69" s="1">
        <f>IFERROR(__xludf.DUMMYFUNCTION("""COMPUTED_VALUE"""),96.0)</f>
        <v>96</v>
      </c>
      <c r="J69" s="1">
        <f>IFERROR(__xludf.DUMMYFUNCTION("""COMPUTED_VALUE"""),49.0)</f>
        <v>49</v>
      </c>
      <c r="K69" s="1">
        <f>IFERROR(__xludf.DUMMYFUNCTION("""COMPUTED_VALUE"""),66.0)</f>
        <v>66</v>
      </c>
      <c r="L69" s="1">
        <f>IFERROR(__xludf.DUMMYFUNCTION("""COMPUTED_VALUE"""),342.0)</f>
        <v>342</v>
      </c>
      <c r="M69" s="1">
        <f>IFERROR(__xludf.DUMMYFUNCTION("""COMPUTED_VALUE"""),68.4)</f>
        <v>68.4</v>
      </c>
      <c r="N69" s="1">
        <f>IFERROR(__xludf.DUMMYFUNCTION("""COMPUTED_VALUE"""),100.0)</f>
        <v>100</v>
      </c>
      <c r="O69" s="1" t="str">
        <f>IFERROR(__xludf.DUMMYFUNCTION("""COMPUTED_VALUE"""),"Pass")</f>
        <v>Pass</v>
      </c>
    </row>
    <row r="70" ht="15.75" customHeight="1">
      <c r="A70" s="1" t="str">
        <f>IFERROR(__xludf.DUMMYFUNCTION("""COMPUTED_VALUE"""),"STD-1259")</f>
        <v>STD-1259</v>
      </c>
      <c r="B70" s="1" t="str">
        <f>IFERROR(__xludf.DUMMYFUNCTION("""COMPUTED_VALUE"""),"Kavya Choudhary")</f>
        <v>Kavya Choudhary</v>
      </c>
      <c r="C70" s="1" t="str">
        <f>IFERROR(__xludf.DUMMYFUNCTION("""COMPUTED_VALUE"""),"Female")</f>
        <v>Female</v>
      </c>
      <c r="D70" s="1" t="str">
        <f>IFERROR(__xludf.DUMMYFUNCTION("""COMPUTED_VALUE"""),"6")</f>
        <v>6</v>
      </c>
      <c r="E70" s="1" t="str">
        <f>IFERROR(__xludf.DUMMYFUNCTION("""COMPUTED_VALUE"""),"C")</f>
        <v>C</v>
      </c>
      <c r="F70" s="1" t="str">
        <f>IFERROR(__xludf.DUMMYFUNCTION("""COMPUTED_VALUE"""),"Lucknow")</f>
        <v>Lucknow</v>
      </c>
      <c r="G70" s="1">
        <f>IFERROR(__xludf.DUMMYFUNCTION("""COMPUTED_VALUE"""),83.0)</f>
        <v>83</v>
      </c>
      <c r="H70" s="1">
        <f>IFERROR(__xludf.DUMMYFUNCTION("""COMPUTED_VALUE"""),76.0)</f>
        <v>76</v>
      </c>
      <c r="I70" s="1">
        <f>IFERROR(__xludf.DUMMYFUNCTION("""COMPUTED_VALUE"""),92.0)</f>
        <v>92</v>
      </c>
      <c r="J70" s="1">
        <f>IFERROR(__xludf.DUMMYFUNCTION("""COMPUTED_VALUE"""),54.0)</f>
        <v>54</v>
      </c>
      <c r="K70" s="1">
        <f>IFERROR(__xludf.DUMMYFUNCTION("""COMPUTED_VALUE"""),56.0)</f>
        <v>56</v>
      </c>
      <c r="L70" s="1">
        <f>IFERROR(__xludf.DUMMYFUNCTION("""COMPUTED_VALUE"""),361.0)</f>
        <v>361</v>
      </c>
      <c r="M70" s="1">
        <f>IFERROR(__xludf.DUMMYFUNCTION("""COMPUTED_VALUE"""),72.2)</f>
        <v>72.2</v>
      </c>
      <c r="N70" s="1">
        <f>IFERROR(__xludf.DUMMYFUNCTION("""COMPUTED_VALUE"""),94.0)</f>
        <v>94</v>
      </c>
      <c r="O70" s="1" t="str">
        <f>IFERROR(__xludf.DUMMYFUNCTION("""COMPUTED_VALUE"""),"Pass")</f>
        <v>Pass</v>
      </c>
    </row>
    <row r="71" ht="15.75" customHeight="1">
      <c r="A71" s="1" t="str">
        <f>IFERROR(__xludf.DUMMYFUNCTION("""COMPUTED_VALUE"""),"STD-1261")</f>
        <v>STD-1261</v>
      </c>
      <c r="B71" s="1" t="str">
        <f>IFERROR(__xludf.DUMMYFUNCTION("""COMPUTED_VALUE"""),"Priya Nair")</f>
        <v>Priya Nair</v>
      </c>
      <c r="C71" s="1" t="str">
        <f>IFERROR(__xludf.DUMMYFUNCTION("""COMPUTED_VALUE"""),"Male")</f>
        <v>Male</v>
      </c>
      <c r="D71" s="1" t="str">
        <f>IFERROR(__xludf.DUMMYFUNCTION("""COMPUTED_VALUE"""),"8")</f>
        <v>8</v>
      </c>
      <c r="E71" s="1" t="str">
        <f>IFERROR(__xludf.DUMMYFUNCTION("""COMPUTED_VALUE"""),"C")</f>
        <v>C</v>
      </c>
      <c r="F71" s="1" t="str">
        <f>IFERROR(__xludf.DUMMYFUNCTION("""COMPUTED_VALUE"""),"Mumbai")</f>
        <v>Mumbai</v>
      </c>
      <c r="G71" s="1">
        <f>IFERROR(__xludf.DUMMYFUNCTION("""COMPUTED_VALUE"""),73.0)</f>
        <v>73</v>
      </c>
      <c r="H71" s="1">
        <f>IFERROR(__xludf.DUMMYFUNCTION("""COMPUTED_VALUE"""),40.0)</f>
        <v>40</v>
      </c>
      <c r="I71" s="1">
        <f>IFERROR(__xludf.DUMMYFUNCTION("""COMPUTED_VALUE"""),66.0)</f>
        <v>66</v>
      </c>
      <c r="J71" s="1">
        <f>IFERROR(__xludf.DUMMYFUNCTION("""COMPUTED_VALUE"""),73.0)</f>
        <v>73</v>
      </c>
      <c r="K71" s="1">
        <f>IFERROR(__xludf.DUMMYFUNCTION("""COMPUTED_VALUE"""),55.0)</f>
        <v>55</v>
      </c>
      <c r="L71" s="1">
        <f>IFERROR(__xludf.DUMMYFUNCTION("""COMPUTED_VALUE"""),307.0)</f>
        <v>307</v>
      </c>
      <c r="M71" s="1">
        <f>IFERROR(__xludf.DUMMYFUNCTION("""COMPUTED_VALUE"""),61.4)</f>
        <v>61.4</v>
      </c>
      <c r="N71" s="1">
        <f>IFERROR(__xludf.DUMMYFUNCTION("""COMPUTED_VALUE"""),92.0)</f>
        <v>92</v>
      </c>
      <c r="O71" s="1" t="str">
        <f>IFERROR(__xludf.DUMMYFUNCTION("""COMPUTED_VALUE"""),"Pass")</f>
        <v>Pass</v>
      </c>
    </row>
    <row r="72" ht="15.75" customHeight="1">
      <c r="A72" s="1" t="str">
        <f>IFERROR(__xludf.DUMMYFUNCTION("""COMPUTED_VALUE"""),"STD-1267")</f>
        <v>STD-1267</v>
      </c>
      <c r="B72" s="1" t="str">
        <f>IFERROR(__xludf.DUMMYFUNCTION("""COMPUTED_VALUE"""),"Neha Choudhary")</f>
        <v>Neha Choudhary</v>
      </c>
      <c r="C72" s="1" t="str">
        <f>IFERROR(__xludf.DUMMYFUNCTION("""COMPUTED_VALUE"""),"Female")</f>
        <v>Female</v>
      </c>
      <c r="D72" s="1" t="str">
        <f>IFERROR(__xludf.DUMMYFUNCTION("""COMPUTED_VALUE"""),"7")</f>
        <v>7</v>
      </c>
      <c r="E72" s="1" t="str">
        <f>IFERROR(__xludf.DUMMYFUNCTION("""COMPUTED_VALUE"""),"B")</f>
        <v>B</v>
      </c>
      <c r="F72" s="1" t="str">
        <f>IFERROR(__xludf.DUMMYFUNCTION("""COMPUTED_VALUE"""),"Kolkata")</f>
        <v>Kolkata</v>
      </c>
      <c r="G72" s="1">
        <f>IFERROR(__xludf.DUMMYFUNCTION("""COMPUTED_VALUE"""),40.0)</f>
        <v>40</v>
      </c>
      <c r="H72" s="1">
        <f>IFERROR(__xludf.DUMMYFUNCTION("""COMPUTED_VALUE"""),45.0)</f>
        <v>45</v>
      </c>
      <c r="I72" s="1">
        <f>IFERROR(__xludf.DUMMYFUNCTION("""COMPUTED_VALUE"""),74.0)</f>
        <v>74</v>
      </c>
      <c r="J72" s="1">
        <f>IFERROR(__xludf.DUMMYFUNCTION("""COMPUTED_VALUE"""),98.0)</f>
        <v>98</v>
      </c>
      <c r="K72" s="1">
        <f>IFERROR(__xludf.DUMMYFUNCTION("""COMPUTED_VALUE"""),55.0)</f>
        <v>55</v>
      </c>
      <c r="L72" s="1">
        <f>IFERROR(__xludf.DUMMYFUNCTION("""COMPUTED_VALUE"""),312.0)</f>
        <v>312</v>
      </c>
      <c r="M72" s="1">
        <f>IFERROR(__xludf.DUMMYFUNCTION("""COMPUTED_VALUE"""),62.4)</f>
        <v>62.4</v>
      </c>
      <c r="N72" s="1">
        <f>IFERROR(__xludf.DUMMYFUNCTION("""COMPUTED_VALUE"""),95.0)</f>
        <v>95</v>
      </c>
      <c r="O72" s="1" t="str">
        <f>IFERROR(__xludf.DUMMYFUNCTION("""COMPUTED_VALUE"""),"Pass")</f>
        <v>Pass</v>
      </c>
    </row>
    <row r="73" ht="15.75" customHeight="1">
      <c r="A73" s="1" t="str">
        <f>IFERROR(__xludf.DUMMYFUNCTION("""COMPUTED_VALUE"""),"STD-1268")</f>
        <v>STD-1268</v>
      </c>
      <c r="B73" s="1" t="str">
        <f>IFERROR(__xludf.DUMMYFUNCTION("""COMPUTED_VALUE"""),"Priya Reddy")</f>
        <v>Priya Reddy</v>
      </c>
      <c r="C73" s="1" t="str">
        <f>IFERROR(__xludf.DUMMYFUNCTION("""COMPUTED_VALUE"""),"Male")</f>
        <v>Male</v>
      </c>
      <c r="D73" s="1" t="str">
        <f>IFERROR(__xludf.DUMMYFUNCTION("""COMPUTED_VALUE"""),"7")</f>
        <v>7</v>
      </c>
      <c r="E73" s="1" t="str">
        <f>IFERROR(__xludf.DUMMYFUNCTION("""COMPUTED_VALUE"""),"C")</f>
        <v>C</v>
      </c>
      <c r="F73" s="1" t="str">
        <f>IFERROR(__xludf.DUMMYFUNCTION("""COMPUTED_VALUE"""),"Lucknow")</f>
        <v>Lucknow</v>
      </c>
      <c r="G73" s="1">
        <f>IFERROR(__xludf.DUMMYFUNCTION("""COMPUTED_VALUE"""),71.0)</f>
        <v>71</v>
      </c>
      <c r="H73" s="1">
        <f>IFERROR(__xludf.DUMMYFUNCTION("""COMPUTED_VALUE"""),55.0)</f>
        <v>55</v>
      </c>
      <c r="I73" s="1">
        <f>IFERROR(__xludf.DUMMYFUNCTION("""COMPUTED_VALUE"""),89.0)</f>
        <v>89</v>
      </c>
      <c r="J73" s="1">
        <f>IFERROR(__xludf.DUMMYFUNCTION("""COMPUTED_VALUE"""),54.0)</f>
        <v>54</v>
      </c>
      <c r="K73" s="1">
        <f>IFERROR(__xludf.DUMMYFUNCTION("""COMPUTED_VALUE"""),70.0)</f>
        <v>70</v>
      </c>
      <c r="L73" s="1">
        <f>IFERROR(__xludf.DUMMYFUNCTION("""COMPUTED_VALUE"""),339.0)</f>
        <v>339</v>
      </c>
      <c r="M73" s="1">
        <f>IFERROR(__xludf.DUMMYFUNCTION("""COMPUTED_VALUE"""),67.8)</f>
        <v>67.8</v>
      </c>
      <c r="N73" s="1">
        <f>IFERROR(__xludf.DUMMYFUNCTION("""COMPUTED_VALUE"""),92.0)</f>
        <v>92</v>
      </c>
      <c r="O73" s="1" t="str">
        <f>IFERROR(__xludf.DUMMYFUNCTION("""COMPUTED_VALUE"""),"Pass")</f>
        <v>Pass</v>
      </c>
    </row>
    <row r="74" ht="15.75" customHeight="1">
      <c r="A74" s="1" t="str">
        <f>IFERROR(__xludf.DUMMYFUNCTION("""COMPUTED_VALUE"""),"STD-1276")</f>
        <v>STD-1276</v>
      </c>
      <c r="B74" s="1" t="str">
        <f>IFERROR(__xludf.DUMMYFUNCTION("""COMPUTED_VALUE"""),"Meera Singh")</f>
        <v>Meera Singh</v>
      </c>
      <c r="C74" s="1" t="str">
        <f>IFERROR(__xludf.DUMMYFUNCTION("""COMPUTED_VALUE"""),"Female")</f>
        <v>Female</v>
      </c>
      <c r="D74" s="1" t="str">
        <f>IFERROR(__xludf.DUMMYFUNCTION("""COMPUTED_VALUE"""),"8")</f>
        <v>8</v>
      </c>
      <c r="E74" s="1" t="str">
        <f>IFERROR(__xludf.DUMMYFUNCTION("""COMPUTED_VALUE"""),"B")</f>
        <v>B</v>
      </c>
      <c r="F74" s="1" t="str">
        <f>IFERROR(__xludf.DUMMYFUNCTION("""COMPUTED_VALUE"""),"Jaipur")</f>
        <v>Jaipur</v>
      </c>
      <c r="G74" s="1">
        <f>IFERROR(__xludf.DUMMYFUNCTION("""COMPUTED_VALUE"""),85.0)</f>
        <v>85</v>
      </c>
      <c r="H74" s="1">
        <f>IFERROR(__xludf.DUMMYFUNCTION("""COMPUTED_VALUE"""),93.0)</f>
        <v>93</v>
      </c>
      <c r="I74" s="1">
        <f>IFERROR(__xludf.DUMMYFUNCTION("""COMPUTED_VALUE"""),51.0)</f>
        <v>51</v>
      </c>
      <c r="J74" s="1">
        <f>IFERROR(__xludf.DUMMYFUNCTION("""COMPUTED_VALUE"""),48.0)</f>
        <v>48</v>
      </c>
      <c r="K74" s="1">
        <f>IFERROR(__xludf.DUMMYFUNCTION("""COMPUTED_VALUE"""),51.0)</f>
        <v>51</v>
      </c>
      <c r="L74" s="1">
        <f>IFERROR(__xludf.DUMMYFUNCTION("""COMPUTED_VALUE"""),328.0)</f>
        <v>328</v>
      </c>
      <c r="M74" s="1">
        <f>IFERROR(__xludf.DUMMYFUNCTION("""COMPUTED_VALUE"""),65.6)</f>
        <v>65.6</v>
      </c>
      <c r="N74" s="1">
        <f>IFERROR(__xludf.DUMMYFUNCTION("""COMPUTED_VALUE"""),91.0)</f>
        <v>91</v>
      </c>
      <c r="O74" s="1" t="str">
        <f>IFERROR(__xludf.DUMMYFUNCTION("""COMPUTED_VALUE"""),"Pass")</f>
        <v>Pass</v>
      </c>
    </row>
    <row r="75" ht="15.75" customHeight="1">
      <c r="A75" s="1" t="str">
        <f>IFERROR(__xludf.DUMMYFUNCTION("""COMPUTED_VALUE"""),"STD-1278")</f>
        <v>STD-1278</v>
      </c>
      <c r="B75" s="1" t="str">
        <f>IFERROR(__xludf.DUMMYFUNCTION("""COMPUTED_VALUE"""),"Karan Kaur")</f>
        <v>Karan Kaur</v>
      </c>
      <c r="C75" s="1" t="str">
        <f>IFERROR(__xludf.DUMMYFUNCTION("""COMPUTED_VALUE"""),"Female")</f>
        <v>Female</v>
      </c>
      <c r="D75" s="1" t="str">
        <f>IFERROR(__xludf.DUMMYFUNCTION("""COMPUTED_VALUE"""),"7")</f>
        <v>7</v>
      </c>
      <c r="E75" s="1" t="str">
        <f>IFERROR(__xludf.DUMMYFUNCTION("""COMPUTED_VALUE"""),"A")</f>
        <v>A</v>
      </c>
      <c r="F75" s="1" t="str">
        <f>IFERROR(__xludf.DUMMYFUNCTION("""COMPUTED_VALUE"""),"Kolkata")</f>
        <v>Kolkata</v>
      </c>
      <c r="G75" s="1">
        <f>IFERROR(__xludf.DUMMYFUNCTION("""COMPUTED_VALUE"""),78.0)</f>
        <v>78</v>
      </c>
      <c r="H75" s="1">
        <f>IFERROR(__xludf.DUMMYFUNCTION("""COMPUTED_VALUE"""),64.0)</f>
        <v>64</v>
      </c>
      <c r="I75" s="1">
        <f>IFERROR(__xludf.DUMMYFUNCTION("""COMPUTED_VALUE"""),59.0)</f>
        <v>59</v>
      </c>
      <c r="J75" s="1">
        <f>IFERROR(__xludf.DUMMYFUNCTION("""COMPUTED_VALUE"""),87.0)</f>
        <v>87</v>
      </c>
      <c r="K75" s="1">
        <f>IFERROR(__xludf.DUMMYFUNCTION("""COMPUTED_VALUE"""),94.0)</f>
        <v>94</v>
      </c>
      <c r="L75" s="1">
        <f>IFERROR(__xludf.DUMMYFUNCTION("""COMPUTED_VALUE"""),382.0)</f>
        <v>382</v>
      </c>
      <c r="M75" s="1">
        <f>IFERROR(__xludf.DUMMYFUNCTION("""COMPUTED_VALUE"""),76.4)</f>
        <v>76.4</v>
      </c>
      <c r="N75" s="1">
        <f>IFERROR(__xludf.DUMMYFUNCTION("""COMPUTED_VALUE"""),95.0)</f>
        <v>95</v>
      </c>
      <c r="O75" s="1" t="str">
        <f>IFERROR(__xludf.DUMMYFUNCTION("""COMPUTED_VALUE"""),"Pass")</f>
        <v>Pass</v>
      </c>
    </row>
    <row r="76" ht="15.75" customHeight="1">
      <c r="A76" s="1" t="str">
        <f>IFERROR(__xludf.DUMMYFUNCTION("""COMPUTED_VALUE"""),"STD-1279")</f>
        <v>STD-1279</v>
      </c>
      <c r="B76" s="1" t="str">
        <f>IFERROR(__xludf.DUMMYFUNCTION("""COMPUTED_VALUE"""),"Sai Iyer")</f>
        <v>Sai Iyer</v>
      </c>
      <c r="C76" s="1" t="str">
        <f>IFERROR(__xludf.DUMMYFUNCTION("""COMPUTED_VALUE"""),"Male")</f>
        <v>Male</v>
      </c>
      <c r="D76" s="1" t="str">
        <f>IFERROR(__xludf.DUMMYFUNCTION("""COMPUTED_VALUE"""),"8")</f>
        <v>8</v>
      </c>
      <c r="E76" s="1" t="str">
        <f>IFERROR(__xludf.DUMMYFUNCTION("""COMPUTED_VALUE"""),"C")</f>
        <v>C</v>
      </c>
      <c r="F76" s="1" t="str">
        <f>IFERROR(__xludf.DUMMYFUNCTION("""COMPUTED_VALUE"""),"Jaipur")</f>
        <v>Jaipur</v>
      </c>
      <c r="G76" s="1">
        <f>IFERROR(__xludf.DUMMYFUNCTION("""COMPUTED_VALUE"""),99.0)</f>
        <v>99</v>
      </c>
      <c r="H76" s="1">
        <f>IFERROR(__xludf.DUMMYFUNCTION("""COMPUTED_VALUE"""),100.0)</f>
        <v>100</v>
      </c>
      <c r="I76" s="1">
        <f>IFERROR(__xludf.DUMMYFUNCTION("""COMPUTED_VALUE"""),67.0)</f>
        <v>67</v>
      </c>
      <c r="J76" s="1">
        <f>IFERROR(__xludf.DUMMYFUNCTION("""COMPUTED_VALUE"""),75.0)</f>
        <v>75</v>
      </c>
      <c r="K76" s="1">
        <f>IFERROR(__xludf.DUMMYFUNCTION("""COMPUTED_VALUE"""),43.0)</f>
        <v>43</v>
      </c>
      <c r="L76" s="1">
        <f>IFERROR(__xludf.DUMMYFUNCTION("""COMPUTED_VALUE"""),384.0)</f>
        <v>384</v>
      </c>
      <c r="M76" s="1">
        <f>IFERROR(__xludf.DUMMYFUNCTION("""COMPUTED_VALUE"""),76.8)</f>
        <v>76.8</v>
      </c>
      <c r="N76" s="1">
        <f>IFERROR(__xludf.DUMMYFUNCTION("""COMPUTED_VALUE"""),91.0)</f>
        <v>91</v>
      </c>
      <c r="O76" s="1" t="str">
        <f>IFERROR(__xludf.DUMMYFUNCTION("""COMPUTED_VALUE"""),"Pass")</f>
        <v>Pass</v>
      </c>
    </row>
    <row r="77" ht="15.75" customHeight="1">
      <c r="A77" s="1" t="str">
        <f>IFERROR(__xludf.DUMMYFUNCTION("""COMPUTED_VALUE"""),"STD-1280")</f>
        <v>STD-1280</v>
      </c>
      <c r="B77" s="1" t="str">
        <f>IFERROR(__xludf.DUMMYFUNCTION("""COMPUTED_VALUE"""),"Simran Nair")</f>
        <v>Simran Nair</v>
      </c>
      <c r="C77" s="1" t="str">
        <f>IFERROR(__xludf.DUMMYFUNCTION("""COMPUTED_VALUE"""),"Male")</f>
        <v>Male</v>
      </c>
      <c r="D77" s="1" t="str">
        <f>IFERROR(__xludf.DUMMYFUNCTION("""COMPUTED_VALUE"""),"6")</f>
        <v>6</v>
      </c>
      <c r="E77" s="1" t="str">
        <f>IFERROR(__xludf.DUMMYFUNCTION("""COMPUTED_VALUE"""),"B")</f>
        <v>B</v>
      </c>
      <c r="F77" s="1" t="str">
        <f>IFERROR(__xludf.DUMMYFUNCTION("""COMPUTED_VALUE"""),"Patna")</f>
        <v>Patna</v>
      </c>
      <c r="G77" s="1">
        <f>IFERROR(__xludf.DUMMYFUNCTION("""COMPUTED_VALUE"""),42.0)</f>
        <v>42</v>
      </c>
      <c r="H77" s="1">
        <f>IFERROR(__xludf.DUMMYFUNCTION("""COMPUTED_VALUE"""),67.0)</f>
        <v>67</v>
      </c>
      <c r="I77" s="1">
        <f>IFERROR(__xludf.DUMMYFUNCTION("""COMPUTED_VALUE"""),92.0)</f>
        <v>92</v>
      </c>
      <c r="J77" s="1">
        <f>IFERROR(__xludf.DUMMYFUNCTION("""COMPUTED_VALUE"""),53.0)</f>
        <v>53</v>
      </c>
      <c r="K77" s="1">
        <f>IFERROR(__xludf.DUMMYFUNCTION("""COMPUTED_VALUE"""),55.0)</f>
        <v>55</v>
      </c>
      <c r="L77" s="1">
        <f>IFERROR(__xludf.DUMMYFUNCTION("""COMPUTED_VALUE"""),309.0)</f>
        <v>309</v>
      </c>
      <c r="M77" s="1">
        <f>IFERROR(__xludf.DUMMYFUNCTION("""COMPUTED_VALUE"""),61.8)</f>
        <v>61.8</v>
      </c>
      <c r="N77" s="1">
        <f>IFERROR(__xludf.DUMMYFUNCTION("""COMPUTED_VALUE"""),100.0)</f>
        <v>100</v>
      </c>
      <c r="O77" s="1" t="str">
        <f>IFERROR(__xludf.DUMMYFUNCTION("""COMPUTED_VALUE"""),"Pass")</f>
        <v>Pass</v>
      </c>
    </row>
    <row r="78" ht="15.75" customHeight="1">
      <c r="A78" s="1" t="str">
        <f>IFERROR(__xludf.DUMMYFUNCTION("""COMPUTED_VALUE"""),"STD-1281")</f>
        <v>STD-1281</v>
      </c>
      <c r="B78" s="1" t="str">
        <f>IFERROR(__xludf.DUMMYFUNCTION("""COMPUTED_VALUE"""),"Neha Das")</f>
        <v>Neha Das</v>
      </c>
      <c r="C78" s="1" t="str">
        <f>IFERROR(__xludf.DUMMYFUNCTION("""COMPUTED_VALUE"""),"Male")</f>
        <v>Male</v>
      </c>
      <c r="D78" s="1" t="str">
        <f>IFERROR(__xludf.DUMMYFUNCTION("""COMPUTED_VALUE"""),"9")</f>
        <v>9</v>
      </c>
      <c r="E78" s="1" t="str">
        <f>IFERROR(__xludf.DUMMYFUNCTION("""COMPUTED_VALUE"""),"A")</f>
        <v>A</v>
      </c>
      <c r="F78" s="1" t="str">
        <f>IFERROR(__xludf.DUMMYFUNCTION("""COMPUTED_VALUE"""),"Bhopal")</f>
        <v>Bhopal</v>
      </c>
      <c r="G78" s="1">
        <f>IFERROR(__xludf.DUMMYFUNCTION("""COMPUTED_VALUE"""),94.0)</f>
        <v>94</v>
      </c>
      <c r="H78" s="1">
        <f>IFERROR(__xludf.DUMMYFUNCTION("""COMPUTED_VALUE"""),49.0)</f>
        <v>49</v>
      </c>
      <c r="I78" s="1">
        <f>IFERROR(__xludf.DUMMYFUNCTION("""COMPUTED_VALUE"""),50.0)</f>
        <v>50</v>
      </c>
      <c r="J78" s="1">
        <f>IFERROR(__xludf.DUMMYFUNCTION("""COMPUTED_VALUE"""),98.0)</f>
        <v>98</v>
      </c>
      <c r="K78" s="1">
        <f>IFERROR(__xludf.DUMMYFUNCTION("""COMPUTED_VALUE"""),47.0)</f>
        <v>47</v>
      </c>
      <c r="L78" s="1">
        <f>IFERROR(__xludf.DUMMYFUNCTION("""COMPUTED_VALUE"""),338.0)</f>
        <v>338</v>
      </c>
      <c r="M78" s="1">
        <f>IFERROR(__xludf.DUMMYFUNCTION("""COMPUTED_VALUE"""),67.6)</f>
        <v>67.6</v>
      </c>
      <c r="N78" s="1">
        <f>IFERROR(__xludf.DUMMYFUNCTION("""COMPUTED_VALUE"""),91.0)</f>
        <v>91</v>
      </c>
      <c r="O78" s="1" t="str">
        <f>IFERROR(__xludf.DUMMYFUNCTION("""COMPUTED_VALUE"""),"Pass")</f>
        <v>Pass</v>
      </c>
    </row>
    <row r="79" ht="15.75" customHeight="1">
      <c r="A79" s="1" t="str">
        <f>IFERROR(__xludf.DUMMYFUNCTION("""COMPUTED_VALUE"""),"STD-1283")</f>
        <v>STD-1283</v>
      </c>
      <c r="B79" s="1" t="str">
        <f>IFERROR(__xludf.DUMMYFUNCTION("""COMPUTED_VALUE"""),"Simran Singh")</f>
        <v>Simran Singh</v>
      </c>
      <c r="C79" s="1" t="str">
        <f>IFERROR(__xludf.DUMMYFUNCTION("""COMPUTED_VALUE"""),"Male")</f>
        <v>Male</v>
      </c>
      <c r="D79" s="1" t="str">
        <f>IFERROR(__xludf.DUMMYFUNCTION("""COMPUTED_VALUE"""),"9")</f>
        <v>9</v>
      </c>
      <c r="E79" s="1" t="str">
        <f>IFERROR(__xludf.DUMMYFUNCTION("""COMPUTED_VALUE"""),"B")</f>
        <v>B</v>
      </c>
      <c r="F79" s="1" t="str">
        <f>IFERROR(__xludf.DUMMYFUNCTION("""COMPUTED_VALUE"""),"Bhopal")</f>
        <v>Bhopal</v>
      </c>
      <c r="G79" s="1">
        <f>IFERROR(__xludf.DUMMYFUNCTION("""COMPUTED_VALUE"""),64.0)</f>
        <v>64</v>
      </c>
      <c r="H79" s="1">
        <f>IFERROR(__xludf.DUMMYFUNCTION("""COMPUTED_VALUE"""),69.0)</f>
        <v>69</v>
      </c>
      <c r="I79" s="1">
        <f>IFERROR(__xludf.DUMMYFUNCTION("""COMPUTED_VALUE"""),47.0)</f>
        <v>47</v>
      </c>
      <c r="J79" s="1">
        <f>IFERROR(__xludf.DUMMYFUNCTION("""COMPUTED_VALUE"""),55.0)</f>
        <v>55</v>
      </c>
      <c r="K79" s="1">
        <f>IFERROR(__xludf.DUMMYFUNCTION("""COMPUTED_VALUE"""),56.0)</f>
        <v>56</v>
      </c>
      <c r="L79" s="1">
        <f>IFERROR(__xludf.DUMMYFUNCTION("""COMPUTED_VALUE"""),291.0)</f>
        <v>291</v>
      </c>
      <c r="M79" s="1">
        <f>IFERROR(__xludf.DUMMYFUNCTION("""COMPUTED_VALUE"""),58.2)</f>
        <v>58.2</v>
      </c>
      <c r="N79" s="1">
        <f>IFERROR(__xludf.DUMMYFUNCTION("""COMPUTED_VALUE"""),96.0)</f>
        <v>96</v>
      </c>
      <c r="O79" s="1" t="str">
        <f>IFERROR(__xludf.DUMMYFUNCTION("""COMPUTED_VALUE"""),"Pass")</f>
        <v>Pass</v>
      </c>
    </row>
    <row r="80" ht="15.75" customHeight="1">
      <c r="A80" s="1" t="str">
        <f>IFERROR(__xludf.DUMMYFUNCTION("""COMPUTED_VALUE"""),"STD-1286")</f>
        <v>STD-1286</v>
      </c>
      <c r="B80" s="1" t="str">
        <f>IFERROR(__xludf.DUMMYFUNCTION("""COMPUTED_VALUE"""),"Sai Patel")</f>
        <v>Sai Patel</v>
      </c>
      <c r="C80" s="1" t="str">
        <f>IFERROR(__xludf.DUMMYFUNCTION("""COMPUTED_VALUE"""),"Male")</f>
        <v>Male</v>
      </c>
      <c r="D80" s="1" t="str">
        <f>IFERROR(__xludf.DUMMYFUNCTION("""COMPUTED_VALUE"""),"6")</f>
        <v>6</v>
      </c>
      <c r="E80" s="1" t="str">
        <f>IFERROR(__xludf.DUMMYFUNCTION("""COMPUTED_VALUE"""),"C")</f>
        <v>C</v>
      </c>
      <c r="F80" s="1" t="str">
        <f>IFERROR(__xludf.DUMMYFUNCTION("""COMPUTED_VALUE"""),"Bhopal")</f>
        <v>Bhopal</v>
      </c>
      <c r="G80" s="1">
        <f>IFERROR(__xludf.DUMMYFUNCTION("""COMPUTED_VALUE"""),52.0)</f>
        <v>52</v>
      </c>
      <c r="H80" s="1">
        <f>IFERROR(__xludf.DUMMYFUNCTION("""COMPUTED_VALUE"""),93.0)</f>
        <v>93</v>
      </c>
      <c r="I80" s="1">
        <f>IFERROR(__xludf.DUMMYFUNCTION("""COMPUTED_VALUE"""),56.0)</f>
        <v>56</v>
      </c>
      <c r="J80" s="1">
        <f>IFERROR(__xludf.DUMMYFUNCTION("""COMPUTED_VALUE"""),70.0)</f>
        <v>70</v>
      </c>
      <c r="K80" s="1">
        <f>IFERROR(__xludf.DUMMYFUNCTION("""COMPUTED_VALUE"""),84.0)</f>
        <v>84</v>
      </c>
      <c r="L80" s="1">
        <f>IFERROR(__xludf.DUMMYFUNCTION("""COMPUTED_VALUE"""),355.0)</f>
        <v>355</v>
      </c>
      <c r="M80" s="1">
        <f>IFERROR(__xludf.DUMMYFUNCTION("""COMPUTED_VALUE"""),71.0)</f>
        <v>71</v>
      </c>
      <c r="N80" s="1">
        <f>IFERROR(__xludf.DUMMYFUNCTION("""COMPUTED_VALUE"""),94.0)</f>
        <v>94</v>
      </c>
      <c r="O80" s="1" t="str">
        <f>IFERROR(__xludf.DUMMYFUNCTION("""COMPUTED_VALUE"""),"Pass")</f>
        <v>Pass</v>
      </c>
    </row>
    <row r="81" ht="15.75" customHeight="1">
      <c r="A81" s="1" t="str">
        <f>IFERROR(__xludf.DUMMYFUNCTION("""COMPUTED_VALUE"""),"STD-1289")</f>
        <v>STD-1289</v>
      </c>
      <c r="B81" s="1" t="str">
        <f>IFERROR(__xludf.DUMMYFUNCTION("""COMPUTED_VALUE"""),"Karan Verma")</f>
        <v>Karan Verma</v>
      </c>
      <c r="C81" s="1" t="str">
        <f>IFERROR(__xludf.DUMMYFUNCTION("""COMPUTED_VALUE"""),"Female")</f>
        <v>Female</v>
      </c>
      <c r="D81" s="1" t="str">
        <f>IFERROR(__xludf.DUMMYFUNCTION("""COMPUTED_VALUE"""),"9")</f>
        <v>9</v>
      </c>
      <c r="E81" s="1" t="str">
        <f>IFERROR(__xludf.DUMMYFUNCTION("""COMPUTED_VALUE"""),"C")</f>
        <v>C</v>
      </c>
      <c r="F81" s="1" t="str">
        <f>IFERROR(__xludf.DUMMYFUNCTION("""COMPUTED_VALUE"""),"Bhopal")</f>
        <v>Bhopal</v>
      </c>
      <c r="G81" s="1">
        <f>IFERROR(__xludf.DUMMYFUNCTION("""COMPUTED_VALUE"""),73.0)</f>
        <v>73</v>
      </c>
      <c r="H81" s="1">
        <f>IFERROR(__xludf.DUMMYFUNCTION("""COMPUTED_VALUE"""),63.0)</f>
        <v>63</v>
      </c>
      <c r="I81" s="1">
        <f>IFERROR(__xludf.DUMMYFUNCTION("""COMPUTED_VALUE"""),62.0)</f>
        <v>62</v>
      </c>
      <c r="J81" s="1">
        <f>IFERROR(__xludf.DUMMYFUNCTION("""COMPUTED_VALUE"""),54.0)</f>
        <v>54</v>
      </c>
      <c r="K81" s="1">
        <f>IFERROR(__xludf.DUMMYFUNCTION("""COMPUTED_VALUE"""),93.0)</f>
        <v>93</v>
      </c>
      <c r="L81" s="1">
        <f>IFERROR(__xludf.DUMMYFUNCTION("""COMPUTED_VALUE"""),345.0)</f>
        <v>345</v>
      </c>
      <c r="M81" s="1">
        <f>IFERROR(__xludf.DUMMYFUNCTION("""COMPUTED_VALUE"""),69.0)</f>
        <v>69</v>
      </c>
      <c r="N81" s="1">
        <f>IFERROR(__xludf.DUMMYFUNCTION("""COMPUTED_VALUE"""),94.0)</f>
        <v>94</v>
      </c>
      <c r="O81" s="1" t="str">
        <f>IFERROR(__xludf.DUMMYFUNCTION("""COMPUTED_VALUE"""),"Pass")</f>
        <v>Pass</v>
      </c>
    </row>
    <row r="82" ht="15.75" customHeight="1">
      <c r="A82" s="1" t="str">
        <f>IFERROR(__xludf.DUMMYFUNCTION("""COMPUTED_VALUE"""),"STD-1290")</f>
        <v>STD-1290</v>
      </c>
      <c r="B82" s="1" t="str">
        <f>IFERROR(__xludf.DUMMYFUNCTION("""COMPUTED_VALUE"""),"Sneha Patel")</f>
        <v>Sneha Patel</v>
      </c>
      <c r="C82" s="1" t="str">
        <f>IFERROR(__xludf.DUMMYFUNCTION("""COMPUTED_VALUE"""),"Female")</f>
        <v>Female</v>
      </c>
      <c r="D82" s="1" t="str">
        <f>IFERROR(__xludf.DUMMYFUNCTION("""COMPUTED_VALUE"""),"7")</f>
        <v>7</v>
      </c>
      <c r="E82" s="1" t="str">
        <f>IFERROR(__xludf.DUMMYFUNCTION("""COMPUTED_VALUE"""),"C")</f>
        <v>C</v>
      </c>
      <c r="F82" s="1" t="str">
        <f>IFERROR(__xludf.DUMMYFUNCTION("""COMPUTED_VALUE"""),"Lucknow")</f>
        <v>Lucknow</v>
      </c>
      <c r="G82" s="1">
        <f>IFERROR(__xludf.DUMMYFUNCTION("""COMPUTED_VALUE"""),94.0)</f>
        <v>94</v>
      </c>
      <c r="H82" s="1">
        <f>IFERROR(__xludf.DUMMYFUNCTION("""COMPUTED_VALUE"""),77.0)</f>
        <v>77</v>
      </c>
      <c r="I82" s="1">
        <f>IFERROR(__xludf.DUMMYFUNCTION("""COMPUTED_VALUE"""),72.0)</f>
        <v>72</v>
      </c>
      <c r="J82" s="1">
        <f>IFERROR(__xludf.DUMMYFUNCTION("""COMPUTED_VALUE"""),59.0)</f>
        <v>59</v>
      </c>
      <c r="K82" s="1">
        <f>IFERROR(__xludf.DUMMYFUNCTION("""COMPUTED_VALUE"""),61.0)</f>
        <v>61</v>
      </c>
      <c r="L82" s="1">
        <f>IFERROR(__xludf.DUMMYFUNCTION("""COMPUTED_VALUE"""),363.0)</f>
        <v>363</v>
      </c>
      <c r="M82" s="1">
        <f>IFERROR(__xludf.DUMMYFUNCTION("""COMPUTED_VALUE"""),72.6)</f>
        <v>72.6</v>
      </c>
      <c r="N82" s="1">
        <f>IFERROR(__xludf.DUMMYFUNCTION("""COMPUTED_VALUE"""),93.0)</f>
        <v>93</v>
      </c>
      <c r="O82" s="1" t="str">
        <f>IFERROR(__xludf.DUMMYFUNCTION("""COMPUTED_VALUE"""),"Pass")</f>
        <v>Pass</v>
      </c>
    </row>
    <row r="83" ht="15.75" customHeight="1">
      <c r="A83" s="1" t="str">
        <f>IFERROR(__xludf.DUMMYFUNCTION("""COMPUTED_VALUE"""),"STD-1293")</f>
        <v>STD-1293</v>
      </c>
      <c r="B83" s="1" t="str">
        <f>IFERROR(__xludf.DUMMYFUNCTION("""COMPUTED_VALUE"""),"Aarav Das")</f>
        <v>Aarav Das</v>
      </c>
      <c r="C83" s="1" t="str">
        <f>IFERROR(__xludf.DUMMYFUNCTION("""COMPUTED_VALUE"""),"Male")</f>
        <v>Male</v>
      </c>
      <c r="D83" s="1" t="str">
        <f>IFERROR(__xludf.DUMMYFUNCTION("""COMPUTED_VALUE"""),"6")</f>
        <v>6</v>
      </c>
      <c r="E83" s="1" t="str">
        <f>IFERROR(__xludf.DUMMYFUNCTION("""COMPUTED_VALUE"""),"C")</f>
        <v>C</v>
      </c>
      <c r="F83" s="1" t="str">
        <f>IFERROR(__xludf.DUMMYFUNCTION("""COMPUTED_VALUE"""),"Jaipur")</f>
        <v>Jaipur</v>
      </c>
      <c r="G83" s="1">
        <f>IFERROR(__xludf.DUMMYFUNCTION("""COMPUTED_VALUE"""),76.0)</f>
        <v>76</v>
      </c>
      <c r="H83" s="1">
        <f>IFERROR(__xludf.DUMMYFUNCTION("""COMPUTED_VALUE"""),42.0)</f>
        <v>42</v>
      </c>
      <c r="I83" s="1">
        <f>IFERROR(__xludf.DUMMYFUNCTION("""COMPUTED_VALUE"""),41.0)</f>
        <v>41</v>
      </c>
      <c r="J83" s="1">
        <f>IFERROR(__xludf.DUMMYFUNCTION("""COMPUTED_VALUE"""),62.0)</f>
        <v>62</v>
      </c>
      <c r="K83" s="1">
        <f>IFERROR(__xludf.DUMMYFUNCTION("""COMPUTED_VALUE"""),93.0)</f>
        <v>93</v>
      </c>
      <c r="L83" s="1">
        <f>IFERROR(__xludf.DUMMYFUNCTION("""COMPUTED_VALUE"""),314.0)</f>
        <v>314</v>
      </c>
      <c r="M83" s="1">
        <f>IFERROR(__xludf.DUMMYFUNCTION("""COMPUTED_VALUE"""),62.8)</f>
        <v>62.8</v>
      </c>
      <c r="N83" s="1">
        <f>IFERROR(__xludf.DUMMYFUNCTION("""COMPUTED_VALUE"""),91.0)</f>
        <v>91</v>
      </c>
      <c r="O83" s="1" t="str">
        <f>IFERROR(__xludf.DUMMYFUNCTION("""COMPUTED_VALUE"""),"Pass")</f>
        <v>Pass</v>
      </c>
    </row>
    <row r="84" ht="15.75" customHeight="1">
      <c r="A84" s="1" t="str">
        <f>IFERROR(__xludf.DUMMYFUNCTION("""COMPUTED_VALUE"""),"STD-1295")</f>
        <v>STD-1295</v>
      </c>
      <c r="B84" s="1" t="str">
        <f>IFERROR(__xludf.DUMMYFUNCTION("""COMPUTED_VALUE"""),"Sneha Singh")</f>
        <v>Sneha Singh</v>
      </c>
      <c r="C84" s="1" t="str">
        <f>IFERROR(__xludf.DUMMYFUNCTION("""COMPUTED_VALUE"""),"Male")</f>
        <v>Male</v>
      </c>
      <c r="D84" s="1" t="str">
        <f>IFERROR(__xludf.DUMMYFUNCTION("""COMPUTED_VALUE"""),"7")</f>
        <v>7</v>
      </c>
      <c r="E84" s="1" t="str">
        <f>IFERROR(__xludf.DUMMYFUNCTION("""COMPUTED_VALUE"""),"B")</f>
        <v>B</v>
      </c>
      <c r="F84" s="1" t="str">
        <f>IFERROR(__xludf.DUMMYFUNCTION("""COMPUTED_VALUE"""),"Kolkata")</f>
        <v>Kolkata</v>
      </c>
      <c r="G84" s="1">
        <f>IFERROR(__xludf.DUMMYFUNCTION("""COMPUTED_VALUE"""),84.0)</f>
        <v>84</v>
      </c>
      <c r="H84" s="1">
        <f>IFERROR(__xludf.DUMMYFUNCTION("""COMPUTED_VALUE"""),88.0)</f>
        <v>88</v>
      </c>
      <c r="I84" s="1">
        <f>IFERROR(__xludf.DUMMYFUNCTION("""COMPUTED_VALUE"""),63.0)</f>
        <v>63</v>
      </c>
      <c r="J84" s="1">
        <f>IFERROR(__xludf.DUMMYFUNCTION("""COMPUTED_VALUE"""),95.0)</f>
        <v>95</v>
      </c>
      <c r="K84" s="1">
        <f>IFERROR(__xludf.DUMMYFUNCTION("""COMPUTED_VALUE"""),63.0)</f>
        <v>63</v>
      </c>
      <c r="L84" s="1">
        <f>IFERROR(__xludf.DUMMYFUNCTION("""COMPUTED_VALUE"""),393.0)</f>
        <v>393</v>
      </c>
      <c r="M84" s="1">
        <f>IFERROR(__xludf.DUMMYFUNCTION("""COMPUTED_VALUE"""),78.6)</f>
        <v>78.6</v>
      </c>
      <c r="N84" s="1">
        <f>IFERROR(__xludf.DUMMYFUNCTION("""COMPUTED_VALUE"""),100.0)</f>
        <v>100</v>
      </c>
      <c r="O84" s="1" t="str">
        <f>IFERROR(__xludf.DUMMYFUNCTION("""COMPUTED_VALUE"""),"Pass")</f>
        <v>Pass</v>
      </c>
    </row>
    <row r="85" ht="15.75" customHeight="1">
      <c r="A85" s="1" t="str">
        <f>IFERROR(__xludf.DUMMYFUNCTION("""COMPUTED_VALUE"""),"STD-1296")</f>
        <v>STD-1296</v>
      </c>
      <c r="B85" s="1" t="str">
        <f>IFERROR(__xludf.DUMMYFUNCTION("""COMPUTED_VALUE"""),"Pooja Sharma")</f>
        <v>Pooja Sharma</v>
      </c>
      <c r="C85" s="1" t="str">
        <f>IFERROR(__xludf.DUMMYFUNCTION("""COMPUTED_VALUE"""),"Male")</f>
        <v>Male</v>
      </c>
      <c r="D85" s="1" t="str">
        <f>IFERROR(__xludf.DUMMYFUNCTION("""COMPUTED_VALUE"""),"6")</f>
        <v>6</v>
      </c>
      <c r="E85" s="1" t="str">
        <f>IFERROR(__xludf.DUMMYFUNCTION("""COMPUTED_VALUE"""),"C")</f>
        <v>C</v>
      </c>
      <c r="F85" s="1" t="str">
        <f>IFERROR(__xludf.DUMMYFUNCTION("""COMPUTED_VALUE"""),"Mumbai")</f>
        <v>Mumbai</v>
      </c>
      <c r="G85" s="1">
        <f>IFERROR(__xludf.DUMMYFUNCTION("""COMPUTED_VALUE"""),93.0)</f>
        <v>93</v>
      </c>
      <c r="H85" s="1">
        <f>IFERROR(__xludf.DUMMYFUNCTION("""COMPUTED_VALUE"""),43.0)</f>
        <v>43</v>
      </c>
      <c r="I85" s="1">
        <f>IFERROR(__xludf.DUMMYFUNCTION("""COMPUTED_VALUE"""),98.0)</f>
        <v>98</v>
      </c>
      <c r="J85" s="1">
        <f>IFERROR(__xludf.DUMMYFUNCTION("""COMPUTED_VALUE"""),59.0)</f>
        <v>59</v>
      </c>
      <c r="K85" s="1">
        <f>IFERROR(__xludf.DUMMYFUNCTION("""COMPUTED_VALUE"""),63.0)</f>
        <v>63</v>
      </c>
      <c r="L85" s="1">
        <f>IFERROR(__xludf.DUMMYFUNCTION("""COMPUTED_VALUE"""),356.0)</f>
        <v>356</v>
      </c>
      <c r="M85" s="1">
        <f>IFERROR(__xludf.DUMMYFUNCTION("""COMPUTED_VALUE"""),71.2)</f>
        <v>71.2</v>
      </c>
      <c r="N85" s="1">
        <f>IFERROR(__xludf.DUMMYFUNCTION("""COMPUTED_VALUE"""),98.0)</f>
        <v>98</v>
      </c>
      <c r="O85" s="1" t="str">
        <f>IFERROR(__xludf.DUMMYFUNCTION("""COMPUTED_VALUE"""),"Pass")</f>
        <v>Pass</v>
      </c>
    </row>
    <row r="86" ht="15.75" customHeight="1">
      <c r="A86" s="1" t="str">
        <f>IFERROR(__xludf.DUMMYFUNCTION("""COMPUTED_VALUE"""),"STD-1297")</f>
        <v>STD-1297</v>
      </c>
      <c r="B86" s="1" t="str">
        <f>IFERROR(__xludf.DUMMYFUNCTION("""COMPUTED_VALUE"""),"Vivaan Choudhary")</f>
        <v>Vivaan Choudhary</v>
      </c>
      <c r="C86" s="1" t="str">
        <f>IFERROR(__xludf.DUMMYFUNCTION("""COMPUTED_VALUE"""),"Male")</f>
        <v>Male</v>
      </c>
      <c r="D86" s="1" t="str">
        <f>IFERROR(__xludf.DUMMYFUNCTION("""COMPUTED_VALUE"""),"6")</f>
        <v>6</v>
      </c>
      <c r="E86" s="1" t="str">
        <f>IFERROR(__xludf.DUMMYFUNCTION("""COMPUTED_VALUE"""),"B")</f>
        <v>B</v>
      </c>
      <c r="F86" s="1" t="str">
        <f>IFERROR(__xludf.DUMMYFUNCTION("""COMPUTED_VALUE"""),"Kolkata")</f>
        <v>Kolkata</v>
      </c>
      <c r="G86" s="1">
        <f>IFERROR(__xludf.DUMMYFUNCTION("""COMPUTED_VALUE"""),85.0)</f>
        <v>85</v>
      </c>
      <c r="H86" s="1">
        <f>IFERROR(__xludf.DUMMYFUNCTION("""COMPUTED_VALUE"""),97.0)</f>
        <v>97</v>
      </c>
      <c r="I86" s="1">
        <f>IFERROR(__xludf.DUMMYFUNCTION("""COMPUTED_VALUE"""),80.0)</f>
        <v>80</v>
      </c>
      <c r="J86" s="1">
        <f>IFERROR(__xludf.DUMMYFUNCTION("""COMPUTED_VALUE"""),75.0)</f>
        <v>75</v>
      </c>
      <c r="K86" s="1">
        <f>IFERROR(__xludf.DUMMYFUNCTION("""COMPUTED_VALUE"""),58.0)</f>
        <v>58</v>
      </c>
      <c r="L86" s="1">
        <f>IFERROR(__xludf.DUMMYFUNCTION("""COMPUTED_VALUE"""),395.0)</f>
        <v>395</v>
      </c>
      <c r="M86" s="1">
        <f>IFERROR(__xludf.DUMMYFUNCTION("""COMPUTED_VALUE"""),79.0)</f>
        <v>79</v>
      </c>
      <c r="N86" s="1">
        <f>IFERROR(__xludf.DUMMYFUNCTION("""COMPUTED_VALUE"""),96.0)</f>
        <v>96</v>
      </c>
      <c r="O86" s="1" t="str">
        <f>IFERROR(__xludf.DUMMYFUNCTION("""COMPUTED_VALUE"""),"Pass")</f>
        <v>Pass</v>
      </c>
    </row>
    <row r="87" ht="15.75" customHeight="1">
      <c r="A87" s="1" t="str">
        <f>IFERROR(__xludf.DUMMYFUNCTION("""COMPUTED_VALUE"""),"STD-1300")</f>
        <v>STD-1300</v>
      </c>
      <c r="B87" s="1" t="str">
        <f>IFERROR(__xludf.DUMMYFUNCTION("""COMPUTED_VALUE"""),"Rohan Kaur")</f>
        <v>Rohan Kaur</v>
      </c>
      <c r="C87" s="1" t="str">
        <f>IFERROR(__xludf.DUMMYFUNCTION("""COMPUTED_VALUE"""),"Female")</f>
        <v>Female</v>
      </c>
      <c r="D87" s="1" t="str">
        <f>IFERROR(__xludf.DUMMYFUNCTION("""COMPUTED_VALUE"""),"10")</f>
        <v>10</v>
      </c>
      <c r="E87" s="1" t="str">
        <f>IFERROR(__xludf.DUMMYFUNCTION("""COMPUTED_VALUE"""),"A")</f>
        <v>A</v>
      </c>
      <c r="F87" s="1" t="str">
        <f>IFERROR(__xludf.DUMMYFUNCTION("""COMPUTED_VALUE"""),"Kolkata")</f>
        <v>Kolkata</v>
      </c>
      <c r="G87" s="1">
        <f>IFERROR(__xludf.DUMMYFUNCTION("""COMPUTED_VALUE"""),52.0)</f>
        <v>52</v>
      </c>
      <c r="H87" s="1">
        <f>IFERROR(__xludf.DUMMYFUNCTION("""COMPUTED_VALUE"""),96.0)</f>
        <v>96</v>
      </c>
      <c r="I87" s="1">
        <f>IFERROR(__xludf.DUMMYFUNCTION("""COMPUTED_VALUE"""),47.0)</f>
        <v>47</v>
      </c>
      <c r="J87" s="1">
        <f>IFERROR(__xludf.DUMMYFUNCTION("""COMPUTED_VALUE"""),80.0)</f>
        <v>80</v>
      </c>
      <c r="K87" s="1">
        <f>IFERROR(__xludf.DUMMYFUNCTION("""COMPUTED_VALUE"""),64.0)</f>
        <v>64</v>
      </c>
      <c r="L87" s="1">
        <f>IFERROR(__xludf.DUMMYFUNCTION("""COMPUTED_VALUE"""),339.0)</f>
        <v>339</v>
      </c>
      <c r="M87" s="1">
        <f>IFERROR(__xludf.DUMMYFUNCTION("""COMPUTED_VALUE"""),67.8)</f>
        <v>67.8</v>
      </c>
      <c r="N87" s="1">
        <f>IFERROR(__xludf.DUMMYFUNCTION("""COMPUTED_VALUE"""),95.0)</f>
        <v>95</v>
      </c>
      <c r="O87" s="1" t="str">
        <f>IFERROR(__xludf.DUMMYFUNCTION("""COMPUTED_VALUE"""),"Pass")</f>
        <v>Pass</v>
      </c>
    </row>
    <row r="88" ht="15.75" customHeight="1">
      <c r="A88" s="1" t="str">
        <f>IFERROR(__xludf.DUMMYFUNCTION("""COMPUTED_VALUE"""),"STD-1307")</f>
        <v>STD-1307</v>
      </c>
      <c r="B88" s="1" t="str">
        <f>IFERROR(__xludf.DUMMYFUNCTION("""COMPUTED_VALUE"""),"Karan Nair")</f>
        <v>Karan Nair</v>
      </c>
      <c r="C88" s="1" t="str">
        <f>IFERROR(__xludf.DUMMYFUNCTION("""COMPUTED_VALUE"""),"Female")</f>
        <v>Female</v>
      </c>
      <c r="D88" s="1" t="str">
        <f>IFERROR(__xludf.DUMMYFUNCTION("""COMPUTED_VALUE"""),"6")</f>
        <v>6</v>
      </c>
      <c r="E88" s="1" t="str">
        <f>IFERROR(__xludf.DUMMYFUNCTION("""COMPUTED_VALUE"""),"B")</f>
        <v>B</v>
      </c>
      <c r="F88" s="1" t="str">
        <f>IFERROR(__xludf.DUMMYFUNCTION("""COMPUTED_VALUE"""),"Mumbai")</f>
        <v>Mumbai</v>
      </c>
      <c r="G88" s="1">
        <f>IFERROR(__xludf.DUMMYFUNCTION("""COMPUTED_VALUE"""),59.0)</f>
        <v>59</v>
      </c>
      <c r="H88" s="1">
        <f>IFERROR(__xludf.DUMMYFUNCTION("""COMPUTED_VALUE"""),63.0)</f>
        <v>63</v>
      </c>
      <c r="I88" s="1">
        <f>IFERROR(__xludf.DUMMYFUNCTION("""COMPUTED_VALUE"""),80.0)</f>
        <v>80</v>
      </c>
      <c r="J88" s="1">
        <f>IFERROR(__xludf.DUMMYFUNCTION("""COMPUTED_VALUE"""),89.0)</f>
        <v>89</v>
      </c>
      <c r="K88" s="1">
        <f>IFERROR(__xludf.DUMMYFUNCTION("""COMPUTED_VALUE"""),90.0)</f>
        <v>90</v>
      </c>
      <c r="L88" s="1">
        <f>IFERROR(__xludf.DUMMYFUNCTION("""COMPUTED_VALUE"""),381.0)</f>
        <v>381</v>
      </c>
      <c r="M88" s="1">
        <f>IFERROR(__xludf.DUMMYFUNCTION("""COMPUTED_VALUE"""),76.2)</f>
        <v>76.2</v>
      </c>
      <c r="N88" s="1">
        <f>IFERROR(__xludf.DUMMYFUNCTION("""COMPUTED_VALUE"""),94.0)</f>
        <v>94</v>
      </c>
      <c r="O88" s="1" t="str">
        <f>IFERROR(__xludf.DUMMYFUNCTION("""COMPUTED_VALUE"""),"Pass")</f>
        <v>Pass</v>
      </c>
    </row>
    <row r="89" ht="15.75" customHeight="1">
      <c r="A89" s="1" t="str">
        <f>IFERROR(__xludf.DUMMYFUNCTION("""COMPUTED_VALUE"""),"STD-1308")</f>
        <v>STD-1308</v>
      </c>
      <c r="B89" s="1" t="str">
        <f>IFERROR(__xludf.DUMMYFUNCTION("""COMPUTED_VALUE"""),"Pooja Das")</f>
        <v>Pooja Das</v>
      </c>
      <c r="C89" s="1" t="str">
        <f>IFERROR(__xludf.DUMMYFUNCTION("""COMPUTED_VALUE"""),"Male")</f>
        <v>Male</v>
      </c>
      <c r="D89" s="1" t="str">
        <f>IFERROR(__xludf.DUMMYFUNCTION("""COMPUTED_VALUE"""),"9")</f>
        <v>9</v>
      </c>
      <c r="E89" s="1" t="str">
        <f>IFERROR(__xludf.DUMMYFUNCTION("""COMPUTED_VALUE"""),"A")</f>
        <v>A</v>
      </c>
      <c r="F89" s="1" t="str">
        <f>IFERROR(__xludf.DUMMYFUNCTION("""COMPUTED_VALUE"""),"Jaipur")</f>
        <v>Jaipur</v>
      </c>
      <c r="G89" s="1">
        <f>IFERROR(__xludf.DUMMYFUNCTION("""COMPUTED_VALUE"""),93.0)</f>
        <v>93</v>
      </c>
      <c r="H89" s="1">
        <f>IFERROR(__xludf.DUMMYFUNCTION("""COMPUTED_VALUE"""),84.0)</f>
        <v>84</v>
      </c>
      <c r="I89" s="1">
        <f>IFERROR(__xludf.DUMMYFUNCTION("""COMPUTED_VALUE"""),63.0)</f>
        <v>63</v>
      </c>
      <c r="J89" s="1">
        <f>IFERROR(__xludf.DUMMYFUNCTION("""COMPUTED_VALUE"""),80.0)</f>
        <v>80</v>
      </c>
      <c r="K89" s="1">
        <f>IFERROR(__xludf.DUMMYFUNCTION("""COMPUTED_VALUE"""),76.0)</f>
        <v>76</v>
      </c>
      <c r="L89" s="1">
        <f>IFERROR(__xludf.DUMMYFUNCTION("""COMPUTED_VALUE"""),396.0)</f>
        <v>396</v>
      </c>
      <c r="M89" s="1">
        <f>IFERROR(__xludf.DUMMYFUNCTION("""COMPUTED_VALUE"""),79.2)</f>
        <v>79.2</v>
      </c>
      <c r="N89" s="1">
        <f>IFERROR(__xludf.DUMMYFUNCTION("""COMPUTED_VALUE"""),93.0)</f>
        <v>93</v>
      </c>
      <c r="O89" s="1" t="str">
        <f>IFERROR(__xludf.DUMMYFUNCTION("""COMPUTED_VALUE"""),"Pass")</f>
        <v>Pass</v>
      </c>
    </row>
    <row r="90" ht="15.75" customHeight="1">
      <c r="A90" s="1" t="str">
        <f>IFERROR(__xludf.DUMMYFUNCTION("""COMPUTED_VALUE"""),"STD-1313")</f>
        <v>STD-1313</v>
      </c>
      <c r="B90" s="1" t="str">
        <f>IFERROR(__xludf.DUMMYFUNCTION("""COMPUTED_VALUE"""),"Sai Sharma")</f>
        <v>Sai Sharma</v>
      </c>
      <c r="C90" s="1" t="str">
        <f>IFERROR(__xludf.DUMMYFUNCTION("""COMPUTED_VALUE"""),"Female")</f>
        <v>Female</v>
      </c>
      <c r="D90" s="1" t="str">
        <f>IFERROR(__xludf.DUMMYFUNCTION("""COMPUTED_VALUE"""),"7")</f>
        <v>7</v>
      </c>
      <c r="E90" s="1" t="str">
        <f>IFERROR(__xludf.DUMMYFUNCTION("""COMPUTED_VALUE"""),"B")</f>
        <v>B</v>
      </c>
      <c r="F90" s="1" t="str">
        <f>IFERROR(__xludf.DUMMYFUNCTION("""COMPUTED_VALUE"""),"Mumbai")</f>
        <v>Mumbai</v>
      </c>
      <c r="G90" s="1">
        <f>IFERROR(__xludf.DUMMYFUNCTION("""COMPUTED_VALUE"""),94.0)</f>
        <v>94</v>
      </c>
      <c r="H90" s="1">
        <f>IFERROR(__xludf.DUMMYFUNCTION("""COMPUTED_VALUE"""),67.0)</f>
        <v>67</v>
      </c>
      <c r="I90" s="1">
        <f>IFERROR(__xludf.DUMMYFUNCTION("""COMPUTED_VALUE"""),41.0)</f>
        <v>41</v>
      </c>
      <c r="J90" s="1">
        <f>IFERROR(__xludf.DUMMYFUNCTION("""COMPUTED_VALUE"""),48.0)</f>
        <v>48</v>
      </c>
      <c r="K90" s="1">
        <f>IFERROR(__xludf.DUMMYFUNCTION("""COMPUTED_VALUE"""),45.0)</f>
        <v>45</v>
      </c>
      <c r="L90" s="1">
        <f>IFERROR(__xludf.DUMMYFUNCTION("""COMPUTED_VALUE"""),295.0)</f>
        <v>295</v>
      </c>
      <c r="M90" s="1">
        <f>IFERROR(__xludf.DUMMYFUNCTION("""COMPUTED_VALUE"""),59.0)</f>
        <v>59</v>
      </c>
      <c r="N90" s="1">
        <f>IFERROR(__xludf.DUMMYFUNCTION("""COMPUTED_VALUE"""),91.0)</f>
        <v>91</v>
      </c>
      <c r="O90" s="1" t="str">
        <f>IFERROR(__xludf.DUMMYFUNCTION("""COMPUTED_VALUE"""),"Pass")</f>
        <v>Pass</v>
      </c>
    </row>
    <row r="91" ht="15.75" customHeight="1">
      <c r="A91" s="1" t="str">
        <f>IFERROR(__xludf.DUMMYFUNCTION("""COMPUTED_VALUE"""),"STD-1317")</f>
        <v>STD-1317</v>
      </c>
      <c r="B91" s="1" t="str">
        <f>IFERROR(__xludf.DUMMYFUNCTION("""COMPUTED_VALUE"""),"Kavya Reddy")</f>
        <v>Kavya Reddy</v>
      </c>
      <c r="C91" s="1" t="str">
        <f>IFERROR(__xludf.DUMMYFUNCTION("""COMPUTED_VALUE"""),"Male")</f>
        <v>Male</v>
      </c>
      <c r="D91" s="1" t="str">
        <f>IFERROR(__xludf.DUMMYFUNCTION("""COMPUTED_VALUE"""),"8")</f>
        <v>8</v>
      </c>
      <c r="E91" s="1" t="str">
        <f>IFERROR(__xludf.DUMMYFUNCTION("""COMPUTED_VALUE"""),"A")</f>
        <v>A</v>
      </c>
      <c r="F91" s="1" t="str">
        <f>IFERROR(__xludf.DUMMYFUNCTION("""COMPUTED_VALUE"""),"Bhopal")</f>
        <v>Bhopal</v>
      </c>
      <c r="G91" s="1">
        <f>IFERROR(__xludf.DUMMYFUNCTION("""COMPUTED_VALUE"""),78.0)</f>
        <v>78</v>
      </c>
      <c r="H91" s="1">
        <f>IFERROR(__xludf.DUMMYFUNCTION("""COMPUTED_VALUE"""),65.0)</f>
        <v>65</v>
      </c>
      <c r="I91" s="1">
        <f>IFERROR(__xludf.DUMMYFUNCTION("""COMPUTED_VALUE"""),43.0)</f>
        <v>43</v>
      </c>
      <c r="J91" s="1">
        <f>IFERROR(__xludf.DUMMYFUNCTION("""COMPUTED_VALUE"""),82.0)</f>
        <v>82</v>
      </c>
      <c r="K91" s="1">
        <f>IFERROR(__xludf.DUMMYFUNCTION("""COMPUTED_VALUE"""),75.0)</f>
        <v>75</v>
      </c>
      <c r="L91" s="1">
        <f>IFERROR(__xludf.DUMMYFUNCTION("""COMPUTED_VALUE"""),343.0)</f>
        <v>343</v>
      </c>
      <c r="M91" s="1">
        <f>IFERROR(__xludf.DUMMYFUNCTION("""COMPUTED_VALUE"""),68.6)</f>
        <v>68.6</v>
      </c>
      <c r="N91" s="1">
        <f>IFERROR(__xludf.DUMMYFUNCTION("""COMPUTED_VALUE"""),94.0)</f>
        <v>94</v>
      </c>
      <c r="O91" s="1" t="str">
        <f>IFERROR(__xludf.DUMMYFUNCTION("""COMPUTED_VALUE"""),"Pass")</f>
        <v>Pass</v>
      </c>
    </row>
    <row r="92" ht="15.75" customHeight="1">
      <c r="A92" s="1" t="str">
        <f>IFERROR(__xludf.DUMMYFUNCTION("""COMPUTED_VALUE"""),"STD-1332")</f>
        <v>STD-1332</v>
      </c>
      <c r="B92" s="1" t="str">
        <f>IFERROR(__xludf.DUMMYFUNCTION("""COMPUTED_VALUE"""),"Tanvi Verma")</f>
        <v>Tanvi Verma</v>
      </c>
      <c r="C92" s="1" t="str">
        <f>IFERROR(__xludf.DUMMYFUNCTION("""COMPUTED_VALUE"""),"Male")</f>
        <v>Male</v>
      </c>
      <c r="D92" s="1" t="str">
        <f>IFERROR(__xludf.DUMMYFUNCTION("""COMPUTED_VALUE"""),"7")</f>
        <v>7</v>
      </c>
      <c r="E92" s="1" t="str">
        <f>IFERROR(__xludf.DUMMYFUNCTION("""COMPUTED_VALUE"""),"A")</f>
        <v>A</v>
      </c>
      <c r="F92" s="1" t="str">
        <f>IFERROR(__xludf.DUMMYFUNCTION("""COMPUTED_VALUE"""),"Lucknow")</f>
        <v>Lucknow</v>
      </c>
      <c r="G92" s="1">
        <f>IFERROR(__xludf.DUMMYFUNCTION("""COMPUTED_VALUE"""),47.0)</f>
        <v>47</v>
      </c>
      <c r="H92" s="1">
        <f>IFERROR(__xludf.DUMMYFUNCTION("""COMPUTED_VALUE"""),67.0)</f>
        <v>67</v>
      </c>
      <c r="I92" s="1">
        <f>IFERROR(__xludf.DUMMYFUNCTION("""COMPUTED_VALUE"""),64.0)</f>
        <v>64</v>
      </c>
      <c r="J92" s="1">
        <f>IFERROR(__xludf.DUMMYFUNCTION("""COMPUTED_VALUE"""),88.0)</f>
        <v>88</v>
      </c>
      <c r="K92" s="1">
        <f>IFERROR(__xludf.DUMMYFUNCTION("""COMPUTED_VALUE"""),75.0)</f>
        <v>75</v>
      </c>
      <c r="L92" s="1">
        <f>IFERROR(__xludf.DUMMYFUNCTION("""COMPUTED_VALUE"""),341.0)</f>
        <v>341</v>
      </c>
      <c r="M92" s="1">
        <f>IFERROR(__xludf.DUMMYFUNCTION("""COMPUTED_VALUE"""),68.2)</f>
        <v>68.2</v>
      </c>
      <c r="N92" s="1">
        <f>IFERROR(__xludf.DUMMYFUNCTION("""COMPUTED_VALUE"""),96.0)</f>
        <v>96</v>
      </c>
      <c r="O92" s="1" t="str">
        <f>IFERROR(__xludf.DUMMYFUNCTION("""COMPUTED_VALUE"""),"Pass")</f>
        <v>Pass</v>
      </c>
    </row>
    <row r="93" ht="15.75" customHeight="1">
      <c r="A93" s="1" t="str">
        <f>IFERROR(__xludf.DUMMYFUNCTION("""COMPUTED_VALUE"""),"STD-1333")</f>
        <v>STD-1333</v>
      </c>
      <c r="B93" s="1" t="str">
        <f>IFERROR(__xludf.DUMMYFUNCTION("""COMPUTED_VALUE"""),"Kavya Gupta")</f>
        <v>Kavya Gupta</v>
      </c>
      <c r="C93" s="1" t="str">
        <f>IFERROR(__xludf.DUMMYFUNCTION("""COMPUTED_VALUE"""),"Female")</f>
        <v>Female</v>
      </c>
      <c r="D93" s="1" t="str">
        <f>IFERROR(__xludf.DUMMYFUNCTION("""COMPUTED_VALUE"""),"10")</f>
        <v>10</v>
      </c>
      <c r="E93" s="1" t="str">
        <f>IFERROR(__xludf.DUMMYFUNCTION("""COMPUTED_VALUE"""),"C")</f>
        <v>C</v>
      </c>
      <c r="F93" s="1" t="str">
        <f>IFERROR(__xludf.DUMMYFUNCTION("""COMPUTED_VALUE"""),"Mumbai")</f>
        <v>Mumbai</v>
      </c>
      <c r="G93" s="1">
        <f>IFERROR(__xludf.DUMMYFUNCTION("""COMPUTED_VALUE"""),45.0)</f>
        <v>45</v>
      </c>
      <c r="H93" s="1">
        <f>IFERROR(__xludf.DUMMYFUNCTION("""COMPUTED_VALUE"""),47.0)</f>
        <v>47</v>
      </c>
      <c r="I93" s="1">
        <f>IFERROR(__xludf.DUMMYFUNCTION("""COMPUTED_VALUE"""),93.0)</f>
        <v>93</v>
      </c>
      <c r="J93" s="1">
        <f>IFERROR(__xludf.DUMMYFUNCTION("""COMPUTED_VALUE"""),50.0)</f>
        <v>50</v>
      </c>
      <c r="K93" s="1">
        <f>IFERROR(__xludf.DUMMYFUNCTION("""COMPUTED_VALUE"""),82.0)</f>
        <v>82</v>
      </c>
      <c r="L93" s="1">
        <f>IFERROR(__xludf.DUMMYFUNCTION("""COMPUTED_VALUE"""),317.0)</f>
        <v>317</v>
      </c>
      <c r="M93" s="1">
        <f>IFERROR(__xludf.DUMMYFUNCTION("""COMPUTED_VALUE"""),63.4)</f>
        <v>63.4</v>
      </c>
      <c r="N93" s="1">
        <f>IFERROR(__xludf.DUMMYFUNCTION("""COMPUTED_VALUE"""),99.0)</f>
        <v>99</v>
      </c>
      <c r="O93" s="1" t="str">
        <f>IFERROR(__xludf.DUMMYFUNCTION("""COMPUTED_VALUE"""),"Pass")</f>
        <v>Pass</v>
      </c>
    </row>
    <row r="94" ht="15.75" customHeight="1">
      <c r="A94" s="1" t="str">
        <f>IFERROR(__xludf.DUMMYFUNCTION("""COMPUTED_VALUE"""),"STD-1335")</f>
        <v>STD-1335</v>
      </c>
      <c r="B94" s="1" t="str">
        <f>IFERROR(__xludf.DUMMYFUNCTION("""COMPUTED_VALUE"""),"Shreya Iyer")</f>
        <v>Shreya Iyer</v>
      </c>
      <c r="C94" s="1" t="str">
        <f>IFERROR(__xludf.DUMMYFUNCTION("""COMPUTED_VALUE"""),"Female")</f>
        <v>Female</v>
      </c>
      <c r="D94" s="1" t="str">
        <f>IFERROR(__xludf.DUMMYFUNCTION("""COMPUTED_VALUE"""),"10")</f>
        <v>10</v>
      </c>
      <c r="E94" s="1" t="str">
        <f>IFERROR(__xludf.DUMMYFUNCTION("""COMPUTED_VALUE"""),"C")</f>
        <v>C</v>
      </c>
      <c r="F94" s="1" t="str">
        <f>IFERROR(__xludf.DUMMYFUNCTION("""COMPUTED_VALUE"""),"Jaipur")</f>
        <v>Jaipur</v>
      </c>
      <c r="G94" s="1">
        <f>IFERROR(__xludf.DUMMYFUNCTION("""COMPUTED_VALUE"""),71.0)</f>
        <v>71</v>
      </c>
      <c r="H94" s="1">
        <f>IFERROR(__xludf.DUMMYFUNCTION("""COMPUTED_VALUE"""),42.0)</f>
        <v>42</v>
      </c>
      <c r="I94" s="1">
        <f>IFERROR(__xludf.DUMMYFUNCTION("""COMPUTED_VALUE"""),85.0)</f>
        <v>85</v>
      </c>
      <c r="J94" s="1">
        <f>IFERROR(__xludf.DUMMYFUNCTION("""COMPUTED_VALUE"""),81.0)</f>
        <v>81</v>
      </c>
      <c r="K94" s="1">
        <f>IFERROR(__xludf.DUMMYFUNCTION("""COMPUTED_VALUE"""),66.0)</f>
        <v>66</v>
      </c>
      <c r="L94" s="1">
        <f>IFERROR(__xludf.DUMMYFUNCTION("""COMPUTED_VALUE"""),345.0)</f>
        <v>345</v>
      </c>
      <c r="M94" s="1">
        <f>IFERROR(__xludf.DUMMYFUNCTION("""COMPUTED_VALUE"""),69.0)</f>
        <v>69</v>
      </c>
      <c r="N94" s="1">
        <f>IFERROR(__xludf.DUMMYFUNCTION("""COMPUTED_VALUE"""),100.0)</f>
        <v>100</v>
      </c>
      <c r="O94" s="1" t="str">
        <f>IFERROR(__xludf.DUMMYFUNCTION("""COMPUTED_VALUE"""),"Pass")</f>
        <v>Pass</v>
      </c>
    </row>
    <row r="95" ht="15.75" customHeight="1">
      <c r="A95" s="1" t="str">
        <f>IFERROR(__xludf.DUMMYFUNCTION("""COMPUTED_VALUE"""),"STD-1336")</f>
        <v>STD-1336</v>
      </c>
      <c r="B95" s="1" t="str">
        <f>IFERROR(__xludf.DUMMYFUNCTION("""COMPUTED_VALUE"""),"Ritika Sharma")</f>
        <v>Ritika Sharma</v>
      </c>
      <c r="C95" s="1" t="str">
        <f>IFERROR(__xludf.DUMMYFUNCTION("""COMPUTED_VALUE"""),"Female")</f>
        <v>Female</v>
      </c>
      <c r="D95" s="1" t="str">
        <f>IFERROR(__xludf.DUMMYFUNCTION("""COMPUTED_VALUE"""),"7")</f>
        <v>7</v>
      </c>
      <c r="E95" s="1" t="str">
        <f>IFERROR(__xludf.DUMMYFUNCTION("""COMPUTED_VALUE"""),"A")</f>
        <v>A</v>
      </c>
      <c r="F95" s="1" t="str">
        <f>IFERROR(__xludf.DUMMYFUNCTION("""COMPUTED_VALUE"""),"Jaipur")</f>
        <v>Jaipur</v>
      </c>
      <c r="G95" s="1">
        <f>IFERROR(__xludf.DUMMYFUNCTION("""COMPUTED_VALUE"""),94.0)</f>
        <v>94</v>
      </c>
      <c r="H95" s="1">
        <f>IFERROR(__xludf.DUMMYFUNCTION("""COMPUTED_VALUE"""),95.0)</f>
        <v>95</v>
      </c>
      <c r="I95" s="1">
        <f>IFERROR(__xludf.DUMMYFUNCTION("""COMPUTED_VALUE"""),80.0)</f>
        <v>80</v>
      </c>
      <c r="J95" s="1">
        <f>IFERROR(__xludf.DUMMYFUNCTION("""COMPUTED_VALUE"""),71.0)</f>
        <v>71</v>
      </c>
      <c r="K95" s="1">
        <f>IFERROR(__xludf.DUMMYFUNCTION("""COMPUTED_VALUE"""),91.0)</f>
        <v>91</v>
      </c>
      <c r="L95" s="1">
        <f>IFERROR(__xludf.DUMMYFUNCTION("""COMPUTED_VALUE"""),431.0)</f>
        <v>431</v>
      </c>
      <c r="M95" s="1">
        <f>IFERROR(__xludf.DUMMYFUNCTION("""COMPUTED_VALUE"""),86.2)</f>
        <v>86.2</v>
      </c>
      <c r="N95" s="1">
        <f>IFERROR(__xludf.DUMMYFUNCTION("""COMPUTED_VALUE"""),95.0)</f>
        <v>95</v>
      </c>
      <c r="O95" s="1" t="str">
        <f>IFERROR(__xludf.DUMMYFUNCTION("""COMPUTED_VALUE"""),"Pass")</f>
        <v>Pass</v>
      </c>
    </row>
    <row r="96" ht="15.75" customHeight="1">
      <c r="A96" s="1" t="str">
        <f>IFERROR(__xludf.DUMMYFUNCTION("""COMPUTED_VALUE"""),"STD-1341")</f>
        <v>STD-1341</v>
      </c>
      <c r="B96" s="1" t="str">
        <f>IFERROR(__xludf.DUMMYFUNCTION("""COMPUTED_VALUE"""),"Priya Choudhary")</f>
        <v>Priya Choudhary</v>
      </c>
      <c r="C96" s="1" t="str">
        <f>IFERROR(__xludf.DUMMYFUNCTION("""COMPUTED_VALUE"""),"Male")</f>
        <v>Male</v>
      </c>
      <c r="D96" s="1" t="str">
        <f>IFERROR(__xludf.DUMMYFUNCTION("""COMPUTED_VALUE"""),"10")</f>
        <v>10</v>
      </c>
      <c r="E96" s="1" t="str">
        <f>IFERROR(__xludf.DUMMYFUNCTION("""COMPUTED_VALUE"""),"A")</f>
        <v>A</v>
      </c>
      <c r="F96" s="1" t="str">
        <f>IFERROR(__xludf.DUMMYFUNCTION("""COMPUTED_VALUE"""),"Delhi")</f>
        <v>Delhi</v>
      </c>
      <c r="G96" s="1">
        <f>IFERROR(__xludf.DUMMYFUNCTION("""COMPUTED_VALUE"""),67.0)</f>
        <v>67</v>
      </c>
      <c r="H96" s="1">
        <f>IFERROR(__xludf.DUMMYFUNCTION("""COMPUTED_VALUE"""),85.0)</f>
        <v>85</v>
      </c>
      <c r="I96" s="1">
        <f>IFERROR(__xludf.DUMMYFUNCTION("""COMPUTED_VALUE"""),96.0)</f>
        <v>96</v>
      </c>
      <c r="J96" s="1">
        <f>IFERROR(__xludf.DUMMYFUNCTION("""COMPUTED_VALUE"""),69.0)</f>
        <v>69</v>
      </c>
      <c r="K96" s="1">
        <f>IFERROR(__xludf.DUMMYFUNCTION("""COMPUTED_VALUE"""),59.0)</f>
        <v>59</v>
      </c>
      <c r="L96" s="1">
        <f>IFERROR(__xludf.DUMMYFUNCTION("""COMPUTED_VALUE"""),376.0)</f>
        <v>376</v>
      </c>
      <c r="M96" s="1">
        <f>IFERROR(__xludf.DUMMYFUNCTION("""COMPUTED_VALUE"""),75.2)</f>
        <v>75.2</v>
      </c>
      <c r="N96" s="1">
        <f>IFERROR(__xludf.DUMMYFUNCTION("""COMPUTED_VALUE"""),100.0)</f>
        <v>100</v>
      </c>
      <c r="O96" s="1" t="str">
        <f>IFERROR(__xludf.DUMMYFUNCTION("""COMPUTED_VALUE"""),"Pass")</f>
        <v>Pass</v>
      </c>
    </row>
    <row r="97" ht="15.75" customHeight="1">
      <c r="A97" s="1" t="str">
        <f>IFERROR(__xludf.DUMMYFUNCTION("""COMPUTED_VALUE"""),"STD-1350")</f>
        <v>STD-1350</v>
      </c>
      <c r="B97" s="1" t="str">
        <f>IFERROR(__xludf.DUMMYFUNCTION("""COMPUTED_VALUE"""),"Aarav Patel")</f>
        <v>Aarav Patel</v>
      </c>
      <c r="C97" s="1" t="str">
        <f>IFERROR(__xludf.DUMMYFUNCTION("""COMPUTED_VALUE"""),"Male")</f>
        <v>Male</v>
      </c>
      <c r="D97" s="1" t="str">
        <f>IFERROR(__xludf.DUMMYFUNCTION("""COMPUTED_VALUE"""),"6")</f>
        <v>6</v>
      </c>
      <c r="E97" s="1" t="str">
        <f>IFERROR(__xludf.DUMMYFUNCTION("""COMPUTED_VALUE"""),"C")</f>
        <v>C</v>
      </c>
      <c r="F97" s="1" t="str">
        <f>IFERROR(__xludf.DUMMYFUNCTION("""COMPUTED_VALUE"""),"Patna")</f>
        <v>Patna</v>
      </c>
      <c r="G97" s="1">
        <f>IFERROR(__xludf.DUMMYFUNCTION("""COMPUTED_VALUE"""),75.0)</f>
        <v>75</v>
      </c>
      <c r="H97" s="1">
        <f>IFERROR(__xludf.DUMMYFUNCTION("""COMPUTED_VALUE"""),86.0)</f>
        <v>86</v>
      </c>
      <c r="I97" s="1">
        <f>IFERROR(__xludf.DUMMYFUNCTION("""COMPUTED_VALUE"""),96.0)</f>
        <v>96</v>
      </c>
      <c r="J97" s="1">
        <f>IFERROR(__xludf.DUMMYFUNCTION("""COMPUTED_VALUE"""),88.0)</f>
        <v>88</v>
      </c>
      <c r="K97" s="1">
        <f>IFERROR(__xludf.DUMMYFUNCTION("""COMPUTED_VALUE"""),92.0)</f>
        <v>92</v>
      </c>
      <c r="L97" s="1">
        <f>IFERROR(__xludf.DUMMYFUNCTION("""COMPUTED_VALUE"""),437.0)</f>
        <v>437</v>
      </c>
      <c r="M97" s="1">
        <f>IFERROR(__xludf.DUMMYFUNCTION("""COMPUTED_VALUE"""),87.4)</f>
        <v>87.4</v>
      </c>
      <c r="N97" s="1">
        <f>IFERROR(__xludf.DUMMYFUNCTION("""COMPUTED_VALUE"""),100.0)</f>
        <v>100</v>
      </c>
      <c r="O97" s="1" t="str">
        <f>IFERROR(__xludf.DUMMYFUNCTION("""COMPUTED_VALUE"""),"Pass")</f>
        <v>Pass</v>
      </c>
    </row>
    <row r="98" ht="15.75" customHeight="1">
      <c r="A98" s="1" t="str">
        <f>IFERROR(__xludf.DUMMYFUNCTION("""COMPUTED_VALUE"""),"STD-1352")</f>
        <v>STD-1352</v>
      </c>
      <c r="B98" s="1" t="str">
        <f>IFERROR(__xludf.DUMMYFUNCTION("""COMPUTED_VALUE"""),"Pooja Iyer")</f>
        <v>Pooja Iyer</v>
      </c>
      <c r="C98" s="1" t="str">
        <f>IFERROR(__xludf.DUMMYFUNCTION("""COMPUTED_VALUE"""),"Female")</f>
        <v>Female</v>
      </c>
      <c r="D98" s="1" t="str">
        <f>IFERROR(__xludf.DUMMYFUNCTION("""COMPUTED_VALUE"""),"9")</f>
        <v>9</v>
      </c>
      <c r="E98" s="1" t="str">
        <f>IFERROR(__xludf.DUMMYFUNCTION("""COMPUTED_VALUE"""),"A")</f>
        <v>A</v>
      </c>
      <c r="F98" s="1" t="str">
        <f>IFERROR(__xludf.DUMMYFUNCTION("""COMPUTED_VALUE"""),"Lucknow")</f>
        <v>Lucknow</v>
      </c>
      <c r="G98" s="1">
        <f>IFERROR(__xludf.DUMMYFUNCTION("""COMPUTED_VALUE"""),65.0)</f>
        <v>65</v>
      </c>
      <c r="H98" s="1">
        <f>IFERROR(__xludf.DUMMYFUNCTION("""COMPUTED_VALUE"""),88.0)</f>
        <v>88</v>
      </c>
      <c r="I98" s="1">
        <f>IFERROR(__xludf.DUMMYFUNCTION("""COMPUTED_VALUE"""),58.0)</f>
        <v>58</v>
      </c>
      <c r="J98" s="1">
        <f>IFERROR(__xludf.DUMMYFUNCTION("""COMPUTED_VALUE"""),65.0)</f>
        <v>65</v>
      </c>
      <c r="K98" s="1">
        <f>IFERROR(__xludf.DUMMYFUNCTION("""COMPUTED_VALUE"""),59.0)</f>
        <v>59</v>
      </c>
      <c r="L98" s="1">
        <f>IFERROR(__xludf.DUMMYFUNCTION("""COMPUTED_VALUE"""),335.0)</f>
        <v>335</v>
      </c>
      <c r="M98" s="1">
        <f>IFERROR(__xludf.DUMMYFUNCTION("""COMPUTED_VALUE"""),67.0)</f>
        <v>67</v>
      </c>
      <c r="N98" s="1">
        <f>IFERROR(__xludf.DUMMYFUNCTION("""COMPUTED_VALUE"""),91.0)</f>
        <v>91</v>
      </c>
      <c r="O98" s="1" t="str">
        <f>IFERROR(__xludf.DUMMYFUNCTION("""COMPUTED_VALUE"""),"Pass")</f>
        <v>Pass</v>
      </c>
    </row>
    <row r="99" ht="15.75" customHeight="1">
      <c r="A99" s="1" t="str">
        <f>IFERROR(__xludf.DUMMYFUNCTION("""COMPUTED_VALUE"""),"STD-1353")</f>
        <v>STD-1353</v>
      </c>
      <c r="B99" s="1" t="str">
        <f>IFERROR(__xludf.DUMMYFUNCTION("""COMPUTED_VALUE"""),"Ananya Sharma")</f>
        <v>Ananya Sharma</v>
      </c>
      <c r="C99" s="1" t="str">
        <f>IFERROR(__xludf.DUMMYFUNCTION("""COMPUTED_VALUE"""),"Male")</f>
        <v>Male</v>
      </c>
      <c r="D99" s="1" t="str">
        <f>IFERROR(__xludf.DUMMYFUNCTION("""COMPUTED_VALUE"""),"7")</f>
        <v>7</v>
      </c>
      <c r="E99" s="1" t="str">
        <f>IFERROR(__xludf.DUMMYFUNCTION("""COMPUTED_VALUE"""),"C")</f>
        <v>C</v>
      </c>
      <c r="F99" s="1" t="str">
        <f>IFERROR(__xludf.DUMMYFUNCTION("""COMPUTED_VALUE"""),"Kolkata")</f>
        <v>Kolkata</v>
      </c>
      <c r="G99" s="1">
        <f>IFERROR(__xludf.DUMMYFUNCTION("""COMPUTED_VALUE"""),45.0)</f>
        <v>45</v>
      </c>
      <c r="H99" s="1">
        <f>IFERROR(__xludf.DUMMYFUNCTION("""COMPUTED_VALUE"""),77.0)</f>
        <v>77</v>
      </c>
      <c r="I99" s="1">
        <f>IFERROR(__xludf.DUMMYFUNCTION("""COMPUTED_VALUE"""),56.0)</f>
        <v>56</v>
      </c>
      <c r="J99" s="1">
        <f>IFERROR(__xludf.DUMMYFUNCTION("""COMPUTED_VALUE"""),43.0)</f>
        <v>43</v>
      </c>
      <c r="K99" s="1">
        <f>IFERROR(__xludf.DUMMYFUNCTION("""COMPUTED_VALUE"""),81.0)</f>
        <v>81</v>
      </c>
      <c r="L99" s="1">
        <f>IFERROR(__xludf.DUMMYFUNCTION("""COMPUTED_VALUE"""),302.0)</f>
        <v>302</v>
      </c>
      <c r="M99" s="1">
        <f>IFERROR(__xludf.DUMMYFUNCTION("""COMPUTED_VALUE"""),60.4)</f>
        <v>60.4</v>
      </c>
      <c r="N99" s="1">
        <f>IFERROR(__xludf.DUMMYFUNCTION("""COMPUTED_VALUE"""),94.0)</f>
        <v>94</v>
      </c>
      <c r="O99" s="1" t="str">
        <f>IFERROR(__xludf.DUMMYFUNCTION("""COMPUTED_VALUE"""),"Pass")</f>
        <v>Pass</v>
      </c>
    </row>
    <row r="100" ht="15.75" customHeight="1">
      <c r="A100" s="1" t="str">
        <f>IFERROR(__xludf.DUMMYFUNCTION("""COMPUTED_VALUE"""),"STD-1358")</f>
        <v>STD-1358</v>
      </c>
      <c r="B100" s="1" t="str">
        <f>IFERROR(__xludf.DUMMYFUNCTION("""COMPUTED_VALUE"""),"Sneha Banerjee")</f>
        <v>Sneha Banerjee</v>
      </c>
      <c r="C100" s="1" t="str">
        <f>IFERROR(__xludf.DUMMYFUNCTION("""COMPUTED_VALUE"""),"Male")</f>
        <v>Male</v>
      </c>
      <c r="D100" s="1" t="str">
        <f>IFERROR(__xludf.DUMMYFUNCTION("""COMPUTED_VALUE"""),"7")</f>
        <v>7</v>
      </c>
      <c r="E100" s="1" t="str">
        <f>IFERROR(__xludf.DUMMYFUNCTION("""COMPUTED_VALUE"""),"C")</f>
        <v>C</v>
      </c>
      <c r="F100" s="1" t="str">
        <f>IFERROR(__xludf.DUMMYFUNCTION("""COMPUTED_VALUE"""),"Kolkata")</f>
        <v>Kolkata</v>
      </c>
      <c r="G100" s="1">
        <f>IFERROR(__xludf.DUMMYFUNCTION("""COMPUTED_VALUE"""),93.0)</f>
        <v>93</v>
      </c>
      <c r="H100" s="1">
        <f>IFERROR(__xludf.DUMMYFUNCTION("""COMPUTED_VALUE"""),50.0)</f>
        <v>50</v>
      </c>
      <c r="I100" s="1">
        <f>IFERROR(__xludf.DUMMYFUNCTION("""COMPUTED_VALUE"""),94.0)</f>
        <v>94</v>
      </c>
      <c r="J100" s="1">
        <f>IFERROR(__xludf.DUMMYFUNCTION("""COMPUTED_VALUE"""),63.0)</f>
        <v>63</v>
      </c>
      <c r="K100" s="1">
        <f>IFERROR(__xludf.DUMMYFUNCTION("""COMPUTED_VALUE"""),96.0)</f>
        <v>96</v>
      </c>
      <c r="L100" s="1">
        <f>IFERROR(__xludf.DUMMYFUNCTION("""COMPUTED_VALUE"""),396.0)</f>
        <v>396</v>
      </c>
      <c r="M100" s="1">
        <f>IFERROR(__xludf.DUMMYFUNCTION("""COMPUTED_VALUE"""),79.2)</f>
        <v>79.2</v>
      </c>
      <c r="N100" s="1">
        <f>IFERROR(__xludf.DUMMYFUNCTION("""COMPUTED_VALUE"""),91.0)</f>
        <v>91</v>
      </c>
      <c r="O100" s="1" t="str">
        <f>IFERROR(__xludf.DUMMYFUNCTION("""COMPUTED_VALUE"""),"Pass")</f>
        <v>Pass</v>
      </c>
    </row>
    <row r="101" ht="15.75" customHeight="1">
      <c r="A101" s="1" t="str">
        <f>IFERROR(__xludf.DUMMYFUNCTION("""COMPUTED_VALUE"""),"STD-1359")</f>
        <v>STD-1359</v>
      </c>
      <c r="B101" s="1" t="str">
        <f>IFERROR(__xludf.DUMMYFUNCTION("""COMPUTED_VALUE"""),"Tanvi Jain")</f>
        <v>Tanvi Jain</v>
      </c>
      <c r="C101" s="1" t="str">
        <f>IFERROR(__xludf.DUMMYFUNCTION("""COMPUTED_VALUE"""),"Male")</f>
        <v>Male</v>
      </c>
      <c r="D101" s="1" t="str">
        <f>IFERROR(__xludf.DUMMYFUNCTION("""COMPUTED_VALUE"""),"7")</f>
        <v>7</v>
      </c>
      <c r="E101" s="1" t="str">
        <f>IFERROR(__xludf.DUMMYFUNCTION("""COMPUTED_VALUE"""),"A")</f>
        <v>A</v>
      </c>
      <c r="F101" s="1" t="str">
        <f>IFERROR(__xludf.DUMMYFUNCTION("""COMPUTED_VALUE"""),"Chandigarh")</f>
        <v>Chandigarh</v>
      </c>
      <c r="G101" s="1">
        <f>IFERROR(__xludf.DUMMYFUNCTION("""COMPUTED_VALUE"""),60.0)</f>
        <v>60</v>
      </c>
      <c r="H101" s="1">
        <f>IFERROR(__xludf.DUMMYFUNCTION("""COMPUTED_VALUE"""),58.0)</f>
        <v>58</v>
      </c>
      <c r="I101" s="1">
        <f>IFERROR(__xludf.DUMMYFUNCTION("""COMPUTED_VALUE"""),46.0)</f>
        <v>46</v>
      </c>
      <c r="J101" s="1">
        <f>IFERROR(__xludf.DUMMYFUNCTION("""COMPUTED_VALUE"""),47.0)</f>
        <v>47</v>
      </c>
      <c r="K101" s="1">
        <f>IFERROR(__xludf.DUMMYFUNCTION("""COMPUTED_VALUE"""),72.0)</f>
        <v>72</v>
      </c>
      <c r="L101" s="1">
        <f>IFERROR(__xludf.DUMMYFUNCTION("""COMPUTED_VALUE"""),283.0)</f>
        <v>283</v>
      </c>
      <c r="M101" s="1">
        <f>IFERROR(__xludf.DUMMYFUNCTION("""COMPUTED_VALUE"""),56.6)</f>
        <v>56.6</v>
      </c>
      <c r="N101" s="1">
        <f>IFERROR(__xludf.DUMMYFUNCTION("""COMPUTED_VALUE"""),93.0)</f>
        <v>93</v>
      </c>
      <c r="O101" s="1" t="str">
        <f>IFERROR(__xludf.DUMMYFUNCTION("""COMPUTED_VALUE"""),"Pass")</f>
        <v>Pass</v>
      </c>
    </row>
    <row r="102" ht="15.75" customHeight="1">
      <c r="A102" s="1" t="str">
        <f>IFERROR(__xludf.DUMMYFUNCTION("""COMPUTED_VALUE"""),"STD-1360")</f>
        <v>STD-1360</v>
      </c>
      <c r="B102" s="1" t="str">
        <f>IFERROR(__xludf.DUMMYFUNCTION("""COMPUTED_VALUE"""),"Arjun Yadav")</f>
        <v>Arjun Yadav</v>
      </c>
      <c r="C102" s="1" t="str">
        <f>IFERROR(__xludf.DUMMYFUNCTION("""COMPUTED_VALUE"""),"Female")</f>
        <v>Female</v>
      </c>
      <c r="D102" s="1" t="str">
        <f>IFERROR(__xludf.DUMMYFUNCTION("""COMPUTED_VALUE"""),"10")</f>
        <v>10</v>
      </c>
      <c r="E102" s="1" t="str">
        <f>IFERROR(__xludf.DUMMYFUNCTION("""COMPUTED_VALUE"""),"A")</f>
        <v>A</v>
      </c>
      <c r="F102" s="1" t="str">
        <f>IFERROR(__xludf.DUMMYFUNCTION("""COMPUTED_VALUE"""),"Chandigarh")</f>
        <v>Chandigarh</v>
      </c>
      <c r="G102" s="1">
        <f>IFERROR(__xludf.DUMMYFUNCTION("""COMPUTED_VALUE"""),57.0)</f>
        <v>57</v>
      </c>
      <c r="H102" s="1">
        <f>IFERROR(__xludf.DUMMYFUNCTION("""COMPUTED_VALUE"""),67.0)</f>
        <v>67</v>
      </c>
      <c r="I102" s="1">
        <f>IFERROR(__xludf.DUMMYFUNCTION("""COMPUTED_VALUE"""),95.0)</f>
        <v>95</v>
      </c>
      <c r="J102" s="1">
        <f>IFERROR(__xludf.DUMMYFUNCTION("""COMPUTED_VALUE"""),71.0)</f>
        <v>71</v>
      </c>
      <c r="K102" s="1">
        <f>IFERROR(__xludf.DUMMYFUNCTION("""COMPUTED_VALUE"""),42.0)</f>
        <v>42</v>
      </c>
      <c r="L102" s="1">
        <f>IFERROR(__xludf.DUMMYFUNCTION("""COMPUTED_VALUE"""),332.0)</f>
        <v>332</v>
      </c>
      <c r="M102" s="1">
        <f>IFERROR(__xludf.DUMMYFUNCTION("""COMPUTED_VALUE"""),66.4)</f>
        <v>66.4</v>
      </c>
      <c r="N102" s="1">
        <f>IFERROR(__xludf.DUMMYFUNCTION("""COMPUTED_VALUE"""),94.0)</f>
        <v>94</v>
      </c>
      <c r="O102" s="1" t="str">
        <f>IFERROR(__xludf.DUMMYFUNCTION("""COMPUTED_VALUE"""),"Pass")</f>
        <v>Pass</v>
      </c>
    </row>
    <row r="103" ht="15.75" customHeight="1">
      <c r="A103" s="1" t="str">
        <f>IFERROR(__xludf.DUMMYFUNCTION("""COMPUTED_VALUE"""),"STD-1369")</f>
        <v>STD-1369</v>
      </c>
      <c r="B103" s="1" t="str">
        <f>IFERROR(__xludf.DUMMYFUNCTION("""COMPUTED_VALUE"""),"Ishita Verma")</f>
        <v>Ishita Verma</v>
      </c>
      <c r="C103" s="1" t="str">
        <f>IFERROR(__xludf.DUMMYFUNCTION("""COMPUTED_VALUE"""),"Male")</f>
        <v>Male</v>
      </c>
      <c r="D103" s="1" t="str">
        <f>IFERROR(__xludf.DUMMYFUNCTION("""COMPUTED_VALUE"""),"8")</f>
        <v>8</v>
      </c>
      <c r="E103" s="1" t="str">
        <f>IFERROR(__xludf.DUMMYFUNCTION("""COMPUTED_VALUE"""),"C")</f>
        <v>C</v>
      </c>
      <c r="F103" s="1" t="str">
        <f>IFERROR(__xludf.DUMMYFUNCTION("""COMPUTED_VALUE"""),"Jaipur")</f>
        <v>Jaipur</v>
      </c>
      <c r="G103" s="1">
        <f>IFERROR(__xludf.DUMMYFUNCTION("""COMPUTED_VALUE"""),67.0)</f>
        <v>67</v>
      </c>
      <c r="H103" s="1">
        <f>IFERROR(__xludf.DUMMYFUNCTION("""COMPUTED_VALUE"""),56.0)</f>
        <v>56</v>
      </c>
      <c r="I103" s="1">
        <f>IFERROR(__xludf.DUMMYFUNCTION("""COMPUTED_VALUE"""),52.0)</f>
        <v>52</v>
      </c>
      <c r="J103" s="1">
        <f>IFERROR(__xludf.DUMMYFUNCTION("""COMPUTED_VALUE"""),75.0)</f>
        <v>75</v>
      </c>
      <c r="K103" s="1">
        <f>IFERROR(__xludf.DUMMYFUNCTION("""COMPUTED_VALUE"""),93.0)</f>
        <v>93</v>
      </c>
      <c r="L103" s="1">
        <f>IFERROR(__xludf.DUMMYFUNCTION("""COMPUTED_VALUE"""),343.0)</f>
        <v>343</v>
      </c>
      <c r="M103" s="1">
        <f>IFERROR(__xludf.DUMMYFUNCTION("""COMPUTED_VALUE"""),68.6)</f>
        <v>68.6</v>
      </c>
      <c r="N103" s="1">
        <f>IFERROR(__xludf.DUMMYFUNCTION("""COMPUTED_VALUE"""),97.0)</f>
        <v>97</v>
      </c>
      <c r="O103" s="1" t="str">
        <f>IFERROR(__xludf.DUMMYFUNCTION("""COMPUTED_VALUE"""),"Pass")</f>
        <v>Pass</v>
      </c>
    </row>
    <row r="104" ht="15.75" customHeight="1">
      <c r="A104" s="1" t="str">
        <f>IFERROR(__xludf.DUMMYFUNCTION("""COMPUTED_VALUE"""),"STD-1373")</f>
        <v>STD-1373</v>
      </c>
      <c r="B104" s="1" t="str">
        <f>IFERROR(__xludf.DUMMYFUNCTION("""COMPUTED_VALUE"""),"Tanvi Jain")</f>
        <v>Tanvi Jain</v>
      </c>
      <c r="C104" s="1" t="str">
        <f>IFERROR(__xludf.DUMMYFUNCTION("""COMPUTED_VALUE"""),"Male")</f>
        <v>Male</v>
      </c>
      <c r="D104" s="1" t="str">
        <f>IFERROR(__xludf.DUMMYFUNCTION("""COMPUTED_VALUE"""),"10")</f>
        <v>10</v>
      </c>
      <c r="E104" s="1" t="str">
        <f>IFERROR(__xludf.DUMMYFUNCTION("""COMPUTED_VALUE"""),"B")</f>
        <v>B</v>
      </c>
      <c r="F104" s="1" t="str">
        <f>IFERROR(__xludf.DUMMYFUNCTION("""COMPUTED_VALUE"""),"Kolkata")</f>
        <v>Kolkata</v>
      </c>
      <c r="G104" s="1">
        <f>IFERROR(__xludf.DUMMYFUNCTION("""COMPUTED_VALUE"""),72.0)</f>
        <v>72</v>
      </c>
      <c r="H104" s="1">
        <f>IFERROR(__xludf.DUMMYFUNCTION("""COMPUTED_VALUE"""),67.0)</f>
        <v>67</v>
      </c>
      <c r="I104" s="1">
        <f>IFERROR(__xludf.DUMMYFUNCTION("""COMPUTED_VALUE"""),76.0)</f>
        <v>76</v>
      </c>
      <c r="J104" s="1">
        <f>IFERROR(__xludf.DUMMYFUNCTION("""COMPUTED_VALUE"""),88.0)</f>
        <v>88</v>
      </c>
      <c r="K104" s="1">
        <f>IFERROR(__xludf.DUMMYFUNCTION("""COMPUTED_VALUE"""),75.0)</f>
        <v>75</v>
      </c>
      <c r="L104" s="1">
        <f>IFERROR(__xludf.DUMMYFUNCTION("""COMPUTED_VALUE"""),378.0)</f>
        <v>378</v>
      </c>
      <c r="M104" s="1">
        <f>IFERROR(__xludf.DUMMYFUNCTION("""COMPUTED_VALUE"""),75.6)</f>
        <v>75.6</v>
      </c>
      <c r="N104" s="1">
        <f>IFERROR(__xludf.DUMMYFUNCTION("""COMPUTED_VALUE"""),97.0)</f>
        <v>97</v>
      </c>
      <c r="O104" s="1" t="str">
        <f>IFERROR(__xludf.DUMMYFUNCTION("""COMPUTED_VALUE"""),"Pass")</f>
        <v>Pass</v>
      </c>
    </row>
    <row r="105" ht="15.75" customHeight="1">
      <c r="A105" s="1" t="str">
        <f>IFERROR(__xludf.DUMMYFUNCTION("""COMPUTED_VALUE"""),"STD-1374")</f>
        <v>STD-1374</v>
      </c>
      <c r="B105" s="1" t="str">
        <f>IFERROR(__xludf.DUMMYFUNCTION("""COMPUTED_VALUE"""),"Sneha Yadav")</f>
        <v>Sneha Yadav</v>
      </c>
      <c r="C105" s="1" t="str">
        <f>IFERROR(__xludf.DUMMYFUNCTION("""COMPUTED_VALUE"""),"Female")</f>
        <v>Female</v>
      </c>
      <c r="D105" s="1" t="str">
        <f>IFERROR(__xludf.DUMMYFUNCTION("""COMPUTED_VALUE"""),"7")</f>
        <v>7</v>
      </c>
      <c r="E105" s="1" t="str">
        <f>IFERROR(__xludf.DUMMYFUNCTION("""COMPUTED_VALUE"""),"B")</f>
        <v>B</v>
      </c>
      <c r="F105" s="1" t="str">
        <f>IFERROR(__xludf.DUMMYFUNCTION("""COMPUTED_VALUE"""),"Delhi")</f>
        <v>Delhi</v>
      </c>
      <c r="G105" s="1">
        <f>IFERROR(__xludf.DUMMYFUNCTION("""COMPUTED_VALUE"""),41.0)</f>
        <v>41</v>
      </c>
      <c r="H105" s="1">
        <f>IFERROR(__xludf.DUMMYFUNCTION("""COMPUTED_VALUE"""),74.0)</f>
        <v>74</v>
      </c>
      <c r="I105" s="1">
        <f>IFERROR(__xludf.DUMMYFUNCTION("""COMPUTED_VALUE"""),45.0)</f>
        <v>45</v>
      </c>
      <c r="J105" s="1">
        <f>IFERROR(__xludf.DUMMYFUNCTION("""COMPUTED_VALUE"""),77.0)</f>
        <v>77</v>
      </c>
      <c r="K105" s="1">
        <f>IFERROR(__xludf.DUMMYFUNCTION("""COMPUTED_VALUE"""),65.0)</f>
        <v>65</v>
      </c>
      <c r="L105" s="1">
        <f>IFERROR(__xludf.DUMMYFUNCTION("""COMPUTED_VALUE"""),302.0)</f>
        <v>302</v>
      </c>
      <c r="M105" s="1">
        <f>IFERROR(__xludf.DUMMYFUNCTION("""COMPUTED_VALUE"""),60.4)</f>
        <v>60.4</v>
      </c>
      <c r="N105" s="1">
        <f>IFERROR(__xludf.DUMMYFUNCTION("""COMPUTED_VALUE"""),98.0)</f>
        <v>98</v>
      </c>
      <c r="O105" s="1" t="str">
        <f>IFERROR(__xludf.DUMMYFUNCTION("""COMPUTED_VALUE"""),"Pass")</f>
        <v>Pass</v>
      </c>
    </row>
    <row r="106" ht="15.75" customHeight="1">
      <c r="A106" s="1" t="str">
        <f>IFERROR(__xludf.DUMMYFUNCTION("""COMPUTED_VALUE"""),"STD-1378")</f>
        <v>STD-1378</v>
      </c>
      <c r="B106" s="1" t="str">
        <f>IFERROR(__xludf.DUMMYFUNCTION("""COMPUTED_VALUE"""),"Ritika Patel")</f>
        <v>Ritika Patel</v>
      </c>
      <c r="C106" s="1" t="str">
        <f>IFERROR(__xludf.DUMMYFUNCTION("""COMPUTED_VALUE"""),"Male")</f>
        <v>Male</v>
      </c>
      <c r="D106" s="1" t="str">
        <f>IFERROR(__xludf.DUMMYFUNCTION("""COMPUTED_VALUE"""),"10")</f>
        <v>10</v>
      </c>
      <c r="E106" s="1" t="str">
        <f>IFERROR(__xludf.DUMMYFUNCTION("""COMPUTED_VALUE"""),"A")</f>
        <v>A</v>
      </c>
      <c r="F106" s="1" t="str">
        <f>IFERROR(__xludf.DUMMYFUNCTION("""COMPUTED_VALUE"""),"Lucknow")</f>
        <v>Lucknow</v>
      </c>
      <c r="G106" s="1">
        <f>IFERROR(__xludf.DUMMYFUNCTION("""COMPUTED_VALUE"""),97.0)</f>
        <v>97</v>
      </c>
      <c r="H106" s="1">
        <f>IFERROR(__xludf.DUMMYFUNCTION("""COMPUTED_VALUE"""),61.0)</f>
        <v>61</v>
      </c>
      <c r="I106" s="1">
        <f>IFERROR(__xludf.DUMMYFUNCTION("""COMPUTED_VALUE"""),80.0)</f>
        <v>80</v>
      </c>
      <c r="J106" s="1">
        <f>IFERROR(__xludf.DUMMYFUNCTION("""COMPUTED_VALUE"""),78.0)</f>
        <v>78</v>
      </c>
      <c r="K106" s="1">
        <f>IFERROR(__xludf.DUMMYFUNCTION("""COMPUTED_VALUE"""),93.0)</f>
        <v>93</v>
      </c>
      <c r="L106" s="1">
        <f>IFERROR(__xludf.DUMMYFUNCTION("""COMPUTED_VALUE"""),409.0)</f>
        <v>409</v>
      </c>
      <c r="M106" s="1">
        <f>IFERROR(__xludf.DUMMYFUNCTION("""COMPUTED_VALUE"""),81.8)</f>
        <v>81.8</v>
      </c>
      <c r="N106" s="1">
        <f>IFERROR(__xludf.DUMMYFUNCTION("""COMPUTED_VALUE"""),93.0)</f>
        <v>93</v>
      </c>
      <c r="O106" s="1" t="str">
        <f>IFERROR(__xludf.DUMMYFUNCTION("""COMPUTED_VALUE"""),"Pass")</f>
        <v>Pass</v>
      </c>
    </row>
    <row r="107" ht="15.75" customHeight="1">
      <c r="A107" s="1" t="str">
        <f>IFERROR(__xludf.DUMMYFUNCTION("""COMPUTED_VALUE"""),"STD-1380")</f>
        <v>STD-1380</v>
      </c>
      <c r="B107" s="1" t="str">
        <f>IFERROR(__xludf.DUMMYFUNCTION("""COMPUTED_VALUE"""),"Rohan Yadav")</f>
        <v>Rohan Yadav</v>
      </c>
      <c r="C107" s="1" t="str">
        <f>IFERROR(__xludf.DUMMYFUNCTION("""COMPUTED_VALUE"""),"Male")</f>
        <v>Male</v>
      </c>
      <c r="D107" s="1" t="str">
        <f>IFERROR(__xludf.DUMMYFUNCTION("""COMPUTED_VALUE"""),"8")</f>
        <v>8</v>
      </c>
      <c r="E107" s="1" t="str">
        <f>IFERROR(__xludf.DUMMYFUNCTION("""COMPUTED_VALUE"""),"C")</f>
        <v>C</v>
      </c>
      <c r="F107" s="1" t="str">
        <f>IFERROR(__xludf.DUMMYFUNCTION("""COMPUTED_VALUE"""),"Mumbai")</f>
        <v>Mumbai</v>
      </c>
      <c r="G107" s="1">
        <f>IFERROR(__xludf.DUMMYFUNCTION("""COMPUTED_VALUE"""),71.0)</f>
        <v>71</v>
      </c>
      <c r="H107" s="1">
        <f>IFERROR(__xludf.DUMMYFUNCTION("""COMPUTED_VALUE"""),89.0)</f>
        <v>89</v>
      </c>
      <c r="I107" s="1">
        <f>IFERROR(__xludf.DUMMYFUNCTION("""COMPUTED_VALUE"""),83.0)</f>
        <v>83</v>
      </c>
      <c r="J107" s="1">
        <f>IFERROR(__xludf.DUMMYFUNCTION("""COMPUTED_VALUE"""),56.0)</f>
        <v>56</v>
      </c>
      <c r="K107" s="1">
        <f>IFERROR(__xludf.DUMMYFUNCTION("""COMPUTED_VALUE"""),47.0)</f>
        <v>47</v>
      </c>
      <c r="L107" s="1">
        <f>IFERROR(__xludf.DUMMYFUNCTION("""COMPUTED_VALUE"""),346.0)</f>
        <v>346</v>
      </c>
      <c r="M107" s="1">
        <f>IFERROR(__xludf.DUMMYFUNCTION("""COMPUTED_VALUE"""),69.2)</f>
        <v>69.2</v>
      </c>
      <c r="N107" s="1">
        <f>IFERROR(__xludf.DUMMYFUNCTION("""COMPUTED_VALUE"""),100.0)</f>
        <v>100</v>
      </c>
      <c r="O107" s="1" t="str">
        <f>IFERROR(__xludf.DUMMYFUNCTION("""COMPUTED_VALUE"""),"Pass")</f>
        <v>Pass</v>
      </c>
    </row>
    <row r="108" ht="15.75" customHeight="1">
      <c r="A108" s="1" t="str">
        <f>IFERROR(__xludf.DUMMYFUNCTION("""COMPUTED_VALUE"""),"STD-1386")</f>
        <v>STD-1386</v>
      </c>
      <c r="B108" s="1" t="str">
        <f>IFERROR(__xludf.DUMMYFUNCTION("""COMPUTED_VALUE"""),"Ishita Banerjee")</f>
        <v>Ishita Banerjee</v>
      </c>
      <c r="C108" s="1" t="str">
        <f>IFERROR(__xludf.DUMMYFUNCTION("""COMPUTED_VALUE"""),"Male")</f>
        <v>Male</v>
      </c>
      <c r="D108" s="1" t="str">
        <f>IFERROR(__xludf.DUMMYFUNCTION("""COMPUTED_VALUE"""),"6")</f>
        <v>6</v>
      </c>
      <c r="E108" s="1" t="str">
        <f>IFERROR(__xludf.DUMMYFUNCTION("""COMPUTED_VALUE"""),"C")</f>
        <v>C</v>
      </c>
      <c r="F108" s="1" t="str">
        <f>IFERROR(__xludf.DUMMYFUNCTION("""COMPUTED_VALUE"""),"Bhopal")</f>
        <v>Bhopal</v>
      </c>
      <c r="G108" s="1">
        <f>IFERROR(__xludf.DUMMYFUNCTION("""COMPUTED_VALUE"""),75.0)</f>
        <v>75</v>
      </c>
      <c r="H108" s="1">
        <f>IFERROR(__xludf.DUMMYFUNCTION("""COMPUTED_VALUE"""),74.0)</f>
        <v>74</v>
      </c>
      <c r="I108" s="1">
        <f>IFERROR(__xludf.DUMMYFUNCTION("""COMPUTED_VALUE"""),76.0)</f>
        <v>76</v>
      </c>
      <c r="J108" s="1">
        <f>IFERROR(__xludf.DUMMYFUNCTION("""COMPUTED_VALUE"""),98.0)</f>
        <v>98</v>
      </c>
      <c r="K108" s="1">
        <f>IFERROR(__xludf.DUMMYFUNCTION("""COMPUTED_VALUE"""),75.0)</f>
        <v>75</v>
      </c>
      <c r="L108" s="1">
        <f>IFERROR(__xludf.DUMMYFUNCTION("""COMPUTED_VALUE"""),398.0)</f>
        <v>398</v>
      </c>
      <c r="M108" s="1">
        <f>IFERROR(__xludf.DUMMYFUNCTION("""COMPUTED_VALUE"""),79.6)</f>
        <v>79.6</v>
      </c>
      <c r="N108" s="1">
        <f>IFERROR(__xludf.DUMMYFUNCTION("""COMPUTED_VALUE"""),96.0)</f>
        <v>96</v>
      </c>
      <c r="O108" s="1" t="str">
        <f>IFERROR(__xludf.DUMMYFUNCTION("""COMPUTED_VALUE"""),"Pass")</f>
        <v>Pass</v>
      </c>
    </row>
    <row r="109" ht="15.75" customHeight="1">
      <c r="A109" s="1" t="str">
        <f>IFERROR(__xludf.DUMMYFUNCTION("""COMPUTED_VALUE"""),"STD-1388")</f>
        <v>STD-1388</v>
      </c>
      <c r="B109" s="1" t="str">
        <f>IFERROR(__xludf.DUMMYFUNCTION("""COMPUTED_VALUE"""),"Simran Reddy")</f>
        <v>Simran Reddy</v>
      </c>
      <c r="C109" s="1" t="str">
        <f>IFERROR(__xludf.DUMMYFUNCTION("""COMPUTED_VALUE"""),"Male")</f>
        <v>Male</v>
      </c>
      <c r="D109" s="1" t="str">
        <f>IFERROR(__xludf.DUMMYFUNCTION("""COMPUTED_VALUE"""),"9")</f>
        <v>9</v>
      </c>
      <c r="E109" s="1" t="str">
        <f>IFERROR(__xludf.DUMMYFUNCTION("""COMPUTED_VALUE"""),"B")</f>
        <v>B</v>
      </c>
      <c r="F109" s="1" t="str">
        <f>IFERROR(__xludf.DUMMYFUNCTION("""COMPUTED_VALUE"""),"Mumbai")</f>
        <v>Mumbai</v>
      </c>
      <c r="G109" s="1">
        <f>IFERROR(__xludf.DUMMYFUNCTION("""COMPUTED_VALUE"""),88.0)</f>
        <v>88</v>
      </c>
      <c r="H109" s="1">
        <f>IFERROR(__xludf.DUMMYFUNCTION("""COMPUTED_VALUE"""),64.0)</f>
        <v>64</v>
      </c>
      <c r="I109" s="1">
        <f>IFERROR(__xludf.DUMMYFUNCTION("""COMPUTED_VALUE"""),52.0)</f>
        <v>52</v>
      </c>
      <c r="J109" s="1">
        <f>IFERROR(__xludf.DUMMYFUNCTION("""COMPUTED_VALUE"""),63.0)</f>
        <v>63</v>
      </c>
      <c r="K109" s="1">
        <f>IFERROR(__xludf.DUMMYFUNCTION("""COMPUTED_VALUE"""),84.0)</f>
        <v>84</v>
      </c>
      <c r="L109" s="1">
        <f>IFERROR(__xludf.DUMMYFUNCTION("""COMPUTED_VALUE"""),351.0)</f>
        <v>351</v>
      </c>
      <c r="M109" s="1">
        <f>IFERROR(__xludf.DUMMYFUNCTION("""COMPUTED_VALUE"""),70.2)</f>
        <v>70.2</v>
      </c>
      <c r="N109" s="1">
        <f>IFERROR(__xludf.DUMMYFUNCTION("""COMPUTED_VALUE"""),99.0)</f>
        <v>99</v>
      </c>
      <c r="O109" s="1" t="str">
        <f>IFERROR(__xludf.DUMMYFUNCTION("""COMPUTED_VALUE"""),"Pass")</f>
        <v>Pass</v>
      </c>
    </row>
    <row r="110" ht="15.75" customHeight="1">
      <c r="A110" s="1" t="str">
        <f>IFERROR(__xludf.DUMMYFUNCTION("""COMPUTED_VALUE"""),"STD-1390")</f>
        <v>STD-1390</v>
      </c>
      <c r="B110" s="1" t="str">
        <f>IFERROR(__xludf.DUMMYFUNCTION("""COMPUTED_VALUE"""),"Sneha Sharma")</f>
        <v>Sneha Sharma</v>
      </c>
      <c r="C110" s="1" t="str">
        <f>IFERROR(__xludf.DUMMYFUNCTION("""COMPUTED_VALUE"""),"Female")</f>
        <v>Female</v>
      </c>
      <c r="D110" s="1" t="str">
        <f>IFERROR(__xludf.DUMMYFUNCTION("""COMPUTED_VALUE"""),"7")</f>
        <v>7</v>
      </c>
      <c r="E110" s="1" t="str">
        <f>IFERROR(__xludf.DUMMYFUNCTION("""COMPUTED_VALUE"""),"A")</f>
        <v>A</v>
      </c>
      <c r="F110" s="1" t="str">
        <f>IFERROR(__xludf.DUMMYFUNCTION("""COMPUTED_VALUE"""),"Bhopal")</f>
        <v>Bhopal</v>
      </c>
      <c r="G110" s="1">
        <f>IFERROR(__xludf.DUMMYFUNCTION("""COMPUTED_VALUE"""),55.0)</f>
        <v>55</v>
      </c>
      <c r="H110" s="1">
        <f>IFERROR(__xludf.DUMMYFUNCTION("""COMPUTED_VALUE"""),85.0)</f>
        <v>85</v>
      </c>
      <c r="I110" s="1">
        <f>IFERROR(__xludf.DUMMYFUNCTION("""COMPUTED_VALUE"""),81.0)</f>
        <v>81</v>
      </c>
      <c r="J110" s="1">
        <f>IFERROR(__xludf.DUMMYFUNCTION("""COMPUTED_VALUE"""),89.0)</f>
        <v>89</v>
      </c>
      <c r="K110" s="1">
        <f>IFERROR(__xludf.DUMMYFUNCTION("""COMPUTED_VALUE"""),74.0)</f>
        <v>74</v>
      </c>
      <c r="L110" s="1">
        <f>IFERROR(__xludf.DUMMYFUNCTION("""COMPUTED_VALUE"""),384.0)</f>
        <v>384</v>
      </c>
      <c r="M110" s="1">
        <f>IFERROR(__xludf.DUMMYFUNCTION("""COMPUTED_VALUE"""),76.8)</f>
        <v>76.8</v>
      </c>
      <c r="N110" s="1">
        <f>IFERROR(__xludf.DUMMYFUNCTION("""COMPUTED_VALUE"""),91.0)</f>
        <v>91</v>
      </c>
      <c r="O110" s="1" t="str">
        <f>IFERROR(__xludf.DUMMYFUNCTION("""COMPUTED_VALUE"""),"Pass")</f>
        <v>Pass</v>
      </c>
    </row>
    <row r="111" ht="15.75" customHeight="1">
      <c r="A111" s="1" t="str">
        <f>IFERROR(__xludf.DUMMYFUNCTION("""COMPUTED_VALUE"""),"STD-1393")</f>
        <v>STD-1393</v>
      </c>
      <c r="B111" s="1" t="str">
        <f>IFERROR(__xludf.DUMMYFUNCTION("""COMPUTED_VALUE"""),"Sai Yadav")</f>
        <v>Sai Yadav</v>
      </c>
      <c r="C111" s="1" t="str">
        <f>IFERROR(__xludf.DUMMYFUNCTION("""COMPUTED_VALUE"""),"Female")</f>
        <v>Female</v>
      </c>
      <c r="D111" s="1" t="str">
        <f>IFERROR(__xludf.DUMMYFUNCTION("""COMPUTED_VALUE"""),"10")</f>
        <v>10</v>
      </c>
      <c r="E111" s="1" t="str">
        <f>IFERROR(__xludf.DUMMYFUNCTION("""COMPUTED_VALUE"""),"A")</f>
        <v>A</v>
      </c>
      <c r="F111" s="1" t="str">
        <f>IFERROR(__xludf.DUMMYFUNCTION("""COMPUTED_VALUE"""),"Jaipur")</f>
        <v>Jaipur</v>
      </c>
      <c r="G111" s="1">
        <f>IFERROR(__xludf.DUMMYFUNCTION("""COMPUTED_VALUE"""),48.0)</f>
        <v>48</v>
      </c>
      <c r="H111" s="1">
        <f>IFERROR(__xludf.DUMMYFUNCTION("""COMPUTED_VALUE"""),57.0)</f>
        <v>57</v>
      </c>
      <c r="I111" s="1">
        <f>IFERROR(__xludf.DUMMYFUNCTION("""COMPUTED_VALUE"""),94.0)</f>
        <v>94</v>
      </c>
      <c r="J111" s="1">
        <f>IFERROR(__xludf.DUMMYFUNCTION("""COMPUTED_VALUE"""),60.0)</f>
        <v>60</v>
      </c>
      <c r="K111" s="1">
        <f>IFERROR(__xludf.DUMMYFUNCTION("""COMPUTED_VALUE"""),86.0)</f>
        <v>86</v>
      </c>
      <c r="L111" s="1">
        <f>IFERROR(__xludf.DUMMYFUNCTION("""COMPUTED_VALUE"""),345.0)</f>
        <v>345</v>
      </c>
      <c r="M111" s="1">
        <f>IFERROR(__xludf.DUMMYFUNCTION("""COMPUTED_VALUE"""),69.0)</f>
        <v>69</v>
      </c>
      <c r="N111" s="1">
        <f>IFERROR(__xludf.DUMMYFUNCTION("""COMPUTED_VALUE"""),99.0)</f>
        <v>99</v>
      </c>
      <c r="O111" s="1" t="str">
        <f>IFERROR(__xludf.DUMMYFUNCTION("""COMPUTED_VALUE"""),"Pass")</f>
        <v>Pass</v>
      </c>
    </row>
    <row r="112" ht="15.75" customHeight="1">
      <c r="A112" s="1" t="str">
        <f>IFERROR(__xludf.DUMMYFUNCTION("""COMPUTED_VALUE"""),"STD-1394")</f>
        <v>STD-1394</v>
      </c>
      <c r="B112" s="1" t="str">
        <f>IFERROR(__xludf.DUMMYFUNCTION("""COMPUTED_VALUE"""),"Vivaan Nair")</f>
        <v>Vivaan Nair</v>
      </c>
      <c r="C112" s="1" t="str">
        <f>IFERROR(__xludf.DUMMYFUNCTION("""COMPUTED_VALUE"""),"Female")</f>
        <v>Female</v>
      </c>
      <c r="D112" s="1" t="str">
        <f>IFERROR(__xludf.DUMMYFUNCTION("""COMPUTED_VALUE"""),"9")</f>
        <v>9</v>
      </c>
      <c r="E112" s="1" t="str">
        <f>IFERROR(__xludf.DUMMYFUNCTION("""COMPUTED_VALUE"""),"A")</f>
        <v>A</v>
      </c>
      <c r="F112" s="1" t="str">
        <f>IFERROR(__xludf.DUMMYFUNCTION("""COMPUTED_VALUE"""),"Kolkata")</f>
        <v>Kolkata</v>
      </c>
      <c r="G112" s="1">
        <f>IFERROR(__xludf.DUMMYFUNCTION("""COMPUTED_VALUE"""),61.0)</f>
        <v>61</v>
      </c>
      <c r="H112" s="1">
        <f>IFERROR(__xludf.DUMMYFUNCTION("""COMPUTED_VALUE"""),100.0)</f>
        <v>100</v>
      </c>
      <c r="I112" s="1">
        <f>IFERROR(__xludf.DUMMYFUNCTION("""COMPUTED_VALUE"""),73.0)</f>
        <v>73</v>
      </c>
      <c r="J112" s="1">
        <f>IFERROR(__xludf.DUMMYFUNCTION("""COMPUTED_VALUE"""),48.0)</f>
        <v>48</v>
      </c>
      <c r="K112" s="1">
        <f>IFERROR(__xludf.DUMMYFUNCTION("""COMPUTED_VALUE"""),60.0)</f>
        <v>60</v>
      </c>
      <c r="L112" s="1">
        <f>IFERROR(__xludf.DUMMYFUNCTION("""COMPUTED_VALUE"""),342.0)</f>
        <v>342</v>
      </c>
      <c r="M112" s="1">
        <f>IFERROR(__xludf.DUMMYFUNCTION("""COMPUTED_VALUE"""),68.4)</f>
        <v>68.4</v>
      </c>
      <c r="N112" s="1">
        <f>IFERROR(__xludf.DUMMYFUNCTION("""COMPUTED_VALUE"""),92.0)</f>
        <v>92</v>
      </c>
      <c r="O112" s="1" t="str">
        <f>IFERROR(__xludf.DUMMYFUNCTION("""COMPUTED_VALUE"""),"Pass")</f>
        <v>Pass</v>
      </c>
    </row>
    <row r="113" ht="15.75" customHeight="1">
      <c r="A113" s="1" t="str">
        <f>IFERROR(__xludf.DUMMYFUNCTION("""COMPUTED_VALUE"""),"STD-1400")</f>
        <v>STD-1400</v>
      </c>
      <c r="B113" s="1" t="str">
        <f>IFERROR(__xludf.DUMMYFUNCTION("""COMPUTED_VALUE"""),"Ananya Iyer")</f>
        <v>Ananya Iyer</v>
      </c>
      <c r="C113" s="1" t="str">
        <f>IFERROR(__xludf.DUMMYFUNCTION("""COMPUTED_VALUE"""),"Male")</f>
        <v>Male</v>
      </c>
      <c r="D113" s="1" t="str">
        <f>IFERROR(__xludf.DUMMYFUNCTION("""COMPUTED_VALUE"""),"8")</f>
        <v>8</v>
      </c>
      <c r="E113" s="1" t="str">
        <f>IFERROR(__xludf.DUMMYFUNCTION("""COMPUTED_VALUE"""),"C")</f>
        <v>C</v>
      </c>
      <c r="F113" s="1" t="str">
        <f>IFERROR(__xludf.DUMMYFUNCTION("""COMPUTED_VALUE"""),"Chandigarh")</f>
        <v>Chandigarh</v>
      </c>
      <c r="G113" s="1">
        <f>IFERROR(__xludf.DUMMYFUNCTION("""COMPUTED_VALUE"""),87.0)</f>
        <v>87</v>
      </c>
      <c r="H113" s="1">
        <f>IFERROR(__xludf.DUMMYFUNCTION("""COMPUTED_VALUE"""),52.0)</f>
        <v>52</v>
      </c>
      <c r="I113" s="1">
        <f>IFERROR(__xludf.DUMMYFUNCTION("""COMPUTED_VALUE"""),98.0)</f>
        <v>98</v>
      </c>
      <c r="J113" s="1">
        <f>IFERROR(__xludf.DUMMYFUNCTION("""COMPUTED_VALUE"""),66.0)</f>
        <v>66</v>
      </c>
      <c r="K113" s="1">
        <f>IFERROR(__xludf.DUMMYFUNCTION("""COMPUTED_VALUE"""),80.0)</f>
        <v>80</v>
      </c>
      <c r="L113" s="1">
        <f>IFERROR(__xludf.DUMMYFUNCTION("""COMPUTED_VALUE"""),383.0)</f>
        <v>383</v>
      </c>
      <c r="M113" s="1">
        <f>IFERROR(__xludf.DUMMYFUNCTION("""COMPUTED_VALUE"""),76.6)</f>
        <v>76.6</v>
      </c>
      <c r="N113" s="1">
        <f>IFERROR(__xludf.DUMMYFUNCTION("""COMPUTED_VALUE"""),95.0)</f>
        <v>95</v>
      </c>
      <c r="O113" s="1" t="str">
        <f>IFERROR(__xludf.DUMMYFUNCTION("""COMPUTED_VALUE"""),"Pass")</f>
        <v>Pass</v>
      </c>
    </row>
    <row r="114" ht="15.75" customHeight="1">
      <c r="A114" s="1" t="str">
        <f>IFERROR(__xludf.DUMMYFUNCTION("""COMPUTED_VALUE"""),"STD-1403")</f>
        <v>STD-1403</v>
      </c>
      <c r="B114" s="1" t="str">
        <f>IFERROR(__xludf.DUMMYFUNCTION("""COMPUTED_VALUE"""),"Pooja Patel")</f>
        <v>Pooja Patel</v>
      </c>
      <c r="C114" s="1" t="str">
        <f>IFERROR(__xludf.DUMMYFUNCTION("""COMPUTED_VALUE"""),"Female")</f>
        <v>Female</v>
      </c>
      <c r="D114" s="1" t="str">
        <f>IFERROR(__xludf.DUMMYFUNCTION("""COMPUTED_VALUE"""),"8")</f>
        <v>8</v>
      </c>
      <c r="E114" s="1" t="str">
        <f>IFERROR(__xludf.DUMMYFUNCTION("""COMPUTED_VALUE"""),"B")</f>
        <v>B</v>
      </c>
      <c r="F114" s="1" t="str">
        <f>IFERROR(__xludf.DUMMYFUNCTION("""COMPUTED_VALUE"""),"Patna")</f>
        <v>Patna</v>
      </c>
      <c r="G114" s="1">
        <f>IFERROR(__xludf.DUMMYFUNCTION("""COMPUTED_VALUE"""),78.0)</f>
        <v>78</v>
      </c>
      <c r="H114" s="1">
        <f>IFERROR(__xludf.DUMMYFUNCTION("""COMPUTED_VALUE"""),41.0)</f>
        <v>41</v>
      </c>
      <c r="I114" s="1">
        <f>IFERROR(__xludf.DUMMYFUNCTION("""COMPUTED_VALUE"""),44.0)</f>
        <v>44</v>
      </c>
      <c r="J114" s="1">
        <f>IFERROR(__xludf.DUMMYFUNCTION("""COMPUTED_VALUE"""),52.0)</f>
        <v>52</v>
      </c>
      <c r="K114" s="1">
        <f>IFERROR(__xludf.DUMMYFUNCTION("""COMPUTED_VALUE"""),89.0)</f>
        <v>89</v>
      </c>
      <c r="L114" s="1">
        <f>IFERROR(__xludf.DUMMYFUNCTION("""COMPUTED_VALUE"""),304.0)</f>
        <v>304</v>
      </c>
      <c r="M114" s="1">
        <f>IFERROR(__xludf.DUMMYFUNCTION("""COMPUTED_VALUE"""),60.8)</f>
        <v>60.8</v>
      </c>
      <c r="N114" s="1">
        <f>IFERROR(__xludf.DUMMYFUNCTION("""COMPUTED_VALUE"""),92.0)</f>
        <v>92</v>
      </c>
      <c r="O114" s="1" t="str">
        <f>IFERROR(__xludf.DUMMYFUNCTION("""COMPUTED_VALUE"""),"Pass")</f>
        <v>Pass</v>
      </c>
    </row>
    <row r="115" ht="15.75" customHeight="1">
      <c r="A115" s="1" t="str">
        <f>IFERROR(__xludf.DUMMYFUNCTION("""COMPUTED_VALUE"""),"STD-1409")</f>
        <v>STD-1409</v>
      </c>
      <c r="B115" s="1" t="str">
        <f>IFERROR(__xludf.DUMMYFUNCTION("""COMPUTED_VALUE"""),"Vivaan Gupta")</f>
        <v>Vivaan Gupta</v>
      </c>
      <c r="C115" s="1" t="str">
        <f>IFERROR(__xludf.DUMMYFUNCTION("""COMPUTED_VALUE"""),"Female")</f>
        <v>Female</v>
      </c>
      <c r="D115" s="1" t="str">
        <f>IFERROR(__xludf.DUMMYFUNCTION("""COMPUTED_VALUE"""),"8")</f>
        <v>8</v>
      </c>
      <c r="E115" s="1" t="str">
        <f>IFERROR(__xludf.DUMMYFUNCTION("""COMPUTED_VALUE"""),"A")</f>
        <v>A</v>
      </c>
      <c r="F115" s="1" t="str">
        <f>IFERROR(__xludf.DUMMYFUNCTION("""COMPUTED_VALUE"""),"Kolkata")</f>
        <v>Kolkata</v>
      </c>
      <c r="G115" s="1">
        <f>IFERROR(__xludf.DUMMYFUNCTION("""COMPUTED_VALUE"""),75.0)</f>
        <v>75</v>
      </c>
      <c r="H115" s="1">
        <f>IFERROR(__xludf.DUMMYFUNCTION("""COMPUTED_VALUE"""),80.0)</f>
        <v>80</v>
      </c>
      <c r="I115" s="1">
        <f>IFERROR(__xludf.DUMMYFUNCTION("""COMPUTED_VALUE"""),100.0)</f>
        <v>100</v>
      </c>
      <c r="J115" s="1">
        <f>IFERROR(__xludf.DUMMYFUNCTION("""COMPUTED_VALUE"""),67.0)</f>
        <v>67</v>
      </c>
      <c r="K115" s="1">
        <f>IFERROR(__xludf.DUMMYFUNCTION("""COMPUTED_VALUE"""),91.0)</f>
        <v>91</v>
      </c>
      <c r="L115" s="1">
        <f>IFERROR(__xludf.DUMMYFUNCTION("""COMPUTED_VALUE"""),413.0)</f>
        <v>413</v>
      </c>
      <c r="M115" s="1">
        <f>IFERROR(__xludf.DUMMYFUNCTION("""COMPUTED_VALUE"""),82.6)</f>
        <v>82.6</v>
      </c>
      <c r="N115" s="1">
        <f>IFERROR(__xludf.DUMMYFUNCTION("""COMPUTED_VALUE"""),97.0)</f>
        <v>97</v>
      </c>
      <c r="O115" s="1" t="str">
        <f>IFERROR(__xludf.DUMMYFUNCTION("""COMPUTED_VALUE"""),"Pass")</f>
        <v>Pass</v>
      </c>
    </row>
    <row r="116" ht="15.75" customHeight="1">
      <c r="A116" s="1" t="str">
        <f>IFERROR(__xludf.DUMMYFUNCTION("""COMPUTED_VALUE"""),"STD-1414")</f>
        <v>STD-1414</v>
      </c>
      <c r="B116" s="1" t="str">
        <f>IFERROR(__xludf.DUMMYFUNCTION("""COMPUTED_VALUE"""),"Aarav Verma")</f>
        <v>Aarav Verma</v>
      </c>
      <c r="C116" s="1" t="str">
        <f>IFERROR(__xludf.DUMMYFUNCTION("""COMPUTED_VALUE"""),"Female")</f>
        <v>Female</v>
      </c>
      <c r="D116" s="1" t="str">
        <f>IFERROR(__xludf.DUMMYFUNCTION("""COMPUTED_VALUE"""),"7")</f>
        <v>7</v>
      </c>
      <c r="E116" s="1" t="str">
        <f>IFERROR(__xludf.DUMMYFUNCTION("""COMPUTED_VALUE"""),"B")</f>
        <v>B</v>
      </c>
      <c r="F116" s="1" t="str">
        <f>IFERROR(__xludf.DUMMYFUNCTION("""COMPUTED_VALUE"""),"Lucknow")</f>
        <v>Lucknow</v>
      </c>
      <c r="G116" s="1">
        <f>IFERROR(__xludf.DUMMYFUNCTION("""COMPUTED_VALUE"""),54.0)</f>
        <v>54</v>
      </c>
      <c r="H116" s="1">
        <f>IFERROR(__xludf.DUMMYFUNCTION("""COMPUTED_VALUE"""),93.0)</f>
        <v>93</v>
      </c>
      <c r="I116" s="1">
        <f>IFERROR(__xludf.DUMMYFUNCTION("""COMPUTED_VALUE"""),98.0)</f>
        <v>98</v>
      </c>
      <c r="J116" s="1">
        <f>IFERROR(__xludf.DUMMYFUNCTION("""COMPUTED_VALUE"""),85.0)</f>
        <v>85</v>
      </c>
      <c r="K116" s="1">
        <f>IFERROR(__xludf.DUMMYFUNCTION("""COMPUTED_VALUE"""),60.0)</f>
        <v>60</v>
      </c>
      <c r="L116" s="1">
        <f>IFERROR(__xludf.DUMMYFUNCTION("""COMPUTED_VALUE"""),390.0)</f>
        <v>390</v>
      </c>
      <c r="M116" s="1">
        <f>IFERROR(__xludf.DUMMYFUNCTION("""COMPUTED_VALUE"""),78.0)</f>
        <v>78</v>
      </c>
      <c r="N116" s="1">
        <f>IFERROR(__xludf.DUMMYFUNCTION("""COMPUTED_VALUE"""),99.0)</f>
        <v>99</v>
      </c>
      <c r="O116" s="1" t="str">
        <f>IFERROR(__xludf.DUMMYFUNCTION("""COMPUTED_VALUE"""),"Pass")</f>
        <v>Pass</v>
      </c>
    </row>
    <row r="117" ht="15.75" customHeight="1">
      <c r="A117" s="1" t="str">
        <f>IFERROR(__xludf.DUMMYFUNCTION("""COMPUTED_VALUE"""),"STD-1416")</f>
        <v>STD-1416</v>
      </c>
      <c r="B117" s="1" t="str">
        <f>IFERROR(__xludf.DUMMYFUNCTION("""COMPUTED_VALUE"""),"Vivaan Gupta")</f>
        <v>Vivaan Gupta</v>
      </c>
      <c r="C117" s="1" t="str">
        <f>IFERROR(__xludf.DUMMYFUNCTION("""COMPUTED_VALUE"""),"Female")</f>
        <v>Female</v>
      </c>
      <c r="D117" s="1" t="str">
        <f>IFERROR(__xludf.DUMMYFUNCTION("""COMPUTED_VALUE"""),"7")</f>
        <v>7</v>
      </c>
      <c r="E117" s="1" t="str">
        <f>IFERROR(__xludf.DUMMYFUNCTION("""COMPUTED_VALUE"""),"B")</f>
        <v>B</v>
      </c>
      <c r="F117" s="1" t="str">
        <f>IFERROR(__xludf.DUMMYFUNCTION("""COMPUTED_VALUE"""),"Kolkata")</f>
        <v>Kolkata</v>
      </c>
      <c r="G117" s="1">
        <f>IFERROR(__xludf.DUMMYFUNCTION("""COMPUTED_VALUE"""),74.0)</f>
        <v>74</v>
      </c>
      <c r="H117" s="1">
        <f>IFERROR(__xludf.DUMMYFUNCTION("""COMPUTED_VALUE"""),75.0)</f>
        <v>75</v>
      </c>
      <c r="I117" s="1">
        <f>IFERROR(__xludf.DUMMYFUNCTION("""COMPUTED_VALUE"""),90.0)</f>
        <v>90</v>
      </c>
      <c r="J117" s="1">
        <f>IFERROR(__xludf.DUMMYFUNCTION("""COMPUTED_VALUE"""),56.0)</f>
        <v>56</v>
      </c>
      <c r="K117" s="1">
        <f>IFERROR(__xludf.DUMMYFUNCTION("""COMPUTED_VALUE"""),62.0)</f>
        <v>62</v>
      </c>
      <c r="L117" s="1">
        <f>IFERROR(__xludf.DUMMYFUNCTION("""COMPUTED_VALUE"""),357.0)</f>
        <v>357</v>
      </c>
      <c r="M117" s="1">
        <f>IFERROR(__xludf.DUMMYFUNCTION("""COMPUTED_VALUE"""),71.4)</f>
        <v>71.4</v>
      </c>
      <c r="N117" s="1">
        <f>IFERROR(__xludf.DUMMYFUNCTION("""COMPUTED_VALUE"""),91.0)</f>
        <v>91</v>
      </c>
      <c r="O117" s="1" t="str">
        <f>IFERROR(__xludf.DUMMYFUNCTION("""COMPUTED_VALUE"""),"Pass")</f>
        <v>Pass</v>
      </c>
    </row>
    <row r="118" ht="15.75" customHeight="1">
      <c r="A118" s="1" t="str">
        <f>IFERROR(__xludf.DUMMYFUNCTION("""COMPUTED_VALUE"""),"STD-1420")</f>
        <v>STD-1420</v>
      </c>
      <c r="B118" s="1" t="str">
        <f>IFERROR(__xludf.DUMMYFUNCTION("""COMPUTED_VALUE"""),"Rahul Choudhary")</f>
        <v>Rahul Choudhary</v>
      </c>
      <c r="C118" s="1" t="str">
        <f>IFERROR(__xludf.DUMMYFUNCTION("""COMPUTED_VALUE"""),"Male")</f>
        <v>Male</v>
      </c>
      <c r="D118" s="1" t="str">
        <f>IFERROR(__xludf.DUMMYFUNCTION("""COMPUTED_VALUE"""),"6")</f>
        <v>6</v>
      </c>
      <c r="E118" s="1" t="str">
        <f>IFERROR(__xludf.DUMMYFUNCTION("""COMPUTED_VALUE"""),"B")</f>
        <v>B</v>
      </c>
      <c r="F118" s="1" t="str">
        <f>IFERROR(__xludf.DUMMYFUNCTION("""COMPUTED_VALUE"""),"Delhi")</f>
        <v>Delhi</v>
      </c>
      <c r="G118" s="1">
        <f>IFERROR(__xludf.DUMMYFUNCTION("""COMPUTED_VALUE"""),97.0)</f>
        <v>97</v>
      </c>
      <c r="H118" s="1">
        <f>IFERROR(__xludf.DUMMYFUNCTION("""COMPUTED_VALUE"""),74.0)</f>
        <v>74</v>
      </c>
      <c r="I118" s="1">
        <f>IFERROR(__xludf.DUMMYFUNCTION("""COMPUTED_VALUE"""),85.0)</f>
        <v>85</v>
      </c>
      <c r="J118" s="1">
        <f>IFERROR(__xludf.DUMMYFUNCTION("""COMPUTED_VALUE"""),86.0)</f>
        <v>86</v>
      </c>
      <c r="K118" s="1">
        <f>IFERROR(__xludf.DUMMYFUNCTION("""COMPUTED_VALUE"""),85.0)</f>
        <v>85</v>
      </c>
      <c r="L118" s="1">
        <f>IFERROR(__xludf.DUMMYFUNCTION("""COMPUTED_VALUE"""),427.0)</f>
        <v>427</v>
      </c>
      <c r="M118" s="1">
        <f>IFERROR(__xludf.DUMMYFUNCTION("""COMPUTED_VALUE"""),85.4)</f>
        <v>85.4</v>
      </c>
      <c r="N118" s="1">
        <f>IFERROR(__xludf.DUMMYFUNCTION("""COMPUTED_VALUE"""),92.0)</f>
        <v>92</v>
      </c>
      <c r="O118" s="1" t="str">
        <f>IFERROR(__xludf.DUMMYFUNCTION("""COMPUTED_VALUE"""),"Pass")</f>
        <v>Pass</v>
      </c>
    </row>
    <row r="119" ht="15.75" customHeight="1">
      <c r="A119" s="1" t="str">
        <f>IFERROR(__xludf.DUMMYFUNCTION("""COMPUTED_VALUE"""),"STD-1422")</f>
        <v>STD-1422</v>
      </c>
      <c r="B119" s="1" t="str">
        <f>IFERROR(__xludf.DUMMYFUNCTION("""COMPUTED_VALUE"""),"Ritika Verma")</f>
        <v>Ritika Verma</v>
      </c>
      <c r="C119" s="1" t="str">
        <f>IFERROR(__xludf.DUMMYFUNCTION("""COMPUTED_VALUE"""),"Male")</f>
        <v>Male</v>
      </c>
      <c r="D119" s="1" t="str">
        <f>IFERROR(__xludf.DUMMYFUNCTION("""COMPUTED_VALUE"""),"8")</f>
        <v>8</v>
      </c>
      <c r="E119" s="1" t="str">
        <f>IFERROR(__xludf.DUMMYFUNCTION("""COMPUTED_VALUE"""),"A")</f>
        <v>A</v>
      </c>
      <c r="F119" s="1" t="str">
        <f>IFERROR(__xludf.DUMMYFUNCTION("""COMPUTED_VALUE"""),"Mumbai")</f>
        <v>Mumbai</v>
      </c>
      <c r="G119" s="1">
        <f>IFERROR(__xludf.DUMMYFUNCTION("""COMPUTED_VALUE"""),43.0)</f>
        <v>43</v>
      </c>
      <c r="H119" s="1">
        <f>IFERROR(__xludf.DUMMYFUNCTION("""COMPUTED_VALUE"""),43.0)</f>
        <v>43</v>
      </c>
      <c r="I119" s="1">
        <f>IFERROR(__xludf.DUMMYFUNCTION("""COMPUTED_VALUE"""),67.0)</f>
        <v>67</v>
      </c>
      <c r="J119" s="1">
        <f>IFERROR(__xludf.DUMMYFUNCTION("""COMPUTED_VALUE"""),66.0)</f>
        <v>66</v>
      </c>
      <c r="K119" s="1">
        <f>IFERROR(__xludf.DUMMYFUNCTION("""COMPUTED_VALUE"""),47.0)</f>
        <v>47</v>
      </c>
      <c r="L119" s="1">
        <f>IFERROR(__xludf.DUMMYFUNCTION("""COMPUTED_VALUE"""),266.0)</f>
        <v>266</v>
      </c>
      <c r="M119" s="1">
        <f>IFERROR(__xludf.DUMMYFUNCTION("""COMPUTED_VALUE"""),53.2)</f>
        <v>53.2</v>
      </c>
      <c r="N119" s="1">
        <f>IFERROR(__xludf.DUMMYFUNCTION("""COMPUTED_VALUE"""),97.0)</f>
        <v>97</v>
      </c>
      <c r="O119" s="1" t="str">
        <f>IFERROR(__xludf.DUMMYFUNCTION("""COMPUTED_VALUE"""),"Pass")</f>
        <v>Pass</v>
      </c>
    </row>
    <row r="120" ht="15.75" customHeight="1">
      <c r="A120" s="1" t="str">
        <f>IFERROR(__xludf.DUMMYFUNCTION("""COMPUTED_VALUE"""),"STD-1424")</f>
        <v>STD-1424</v>
      </c>
      <c r="B120" s="1" t="str">
        <f>IFERROR(__xludf.DUMMYFUNCTION("""COMPUTED_VALUE"""),"Sneha Patel")</f>
        <v>Sneha Patel</v>
      </c>
      <c r="C120" s="1" t="str">
        <f>IFERROR(__xludf.DUMMYFUNCTION("""COMPUTED_VALUE"""),"Male")</f>
        <v>Male</v>
      </c>
      <c r="D120" s="1" t="str">
        <f>IFERROR(__xludf.DUMMYFUNCTION("""COMPUTED_VALUE"""),"7")</f>
        <v>7</v>
      </c>
      <c r="E120" s="1" t="str">
        <f>IFERROR(__xludf.DUMMYFUNCTION("""COMPUTED_VALUE"""),"B")</f>
        <v>B</v>
      </c>
      <c r="F120" s="1" t="str">
        <f>IFERROR(__xludf.DUMMYFUNCTION("""COMPUTED_VALUE"""),"Jaipur")</f>
        <v>Jaipur</v>
      </c>
      <c r="G120" s="1">
        <f>IFERROR(__xludf.DUMMYFUNCTION("""COMPUTED_VALUE"""),41.0)</f>
        <v>41</v>
      </c>
      <c r="H120" s="1">
        <f>IFERROR(__xludf.DUMMYFUNCTION("""COMPUTED_VALUE"""),47.0)</f>
        <v>47</v>
      </c>
      <c r="I120" s="1">
        <f>IFERROR(__xludf.DUMMYFUNCTION("""COMPUTED_VALUE"""),74.0)</f>
        <v>74</v>
      </c>
      <c r="J120" s="1">
        <f>IFERROR(__xludf.DUMMYFUNCTION("""COMPUTED_VALUE"""),96.0)</f>
        <v>96</v>
      </c>
      <c r="K120" s="1">
        <f>IFERROR(__xludf.DUMMYFUNCTION("""COMPUTED_VALUE"""),48.0)</f>
        <v>48</v>
      </c>
      <c r="L120" s="1">
        <f>IFERROR(__xludf.DUMMYFUNCTION("""COMPUTED_VALUE"""),306.0)</f>
        <v>306</v>
      </c>
      <c r="M120" s="1">
        <f>IFERROR(__xludf.DUMMYFUNCTION("""COMPUTED_VALUE"""),61.2)</f>
        <v>61.2</v>
      </c>
      <c r="N120" s="1">
        <f>IFERROR(__xludf.DUMMYFUNCTION("""COMPUTED_VALUE"""),95.0)</f>
        <v>95</v>
      </c>
      <c r="O120" s="1" t="str">
        <f>IFERROR(__xludf.DUMMYFUNCTION("""COMPUTED_VALUE"""),"Pass")</f>
        <v>Pass</v>
      </c>
    </row>
    <row r="121" ht="15.75" customHeight="1">
      <c r="A121" s="1" t="str">
        <f>IFERROR(__xludf.DUMMYFUNCTION("""COMPUTED_VALUE"""),"STD-1425")</f>
        <v>STD-1425</v>
      </c>
      <c r="B121" s="1" t="str">
        <f>IFERROR(__xludf.DUMMYFUNCTION("""COMPUTED_VALUE"""),"Arjun Kaur")</f>
        <v>Arjun Kaur</v>
      </c>
      <c r="C121" s="1" t="str">
        <f>IFERROR(__xludf.DUMMYFUNCTION("""COMPUTED_VALUE"""),"Male")</f>
        <v>Male</v>
      </c>
      <c r="D121" s="1" t="str">
        <f>IFERROR(__xludf.DUMMYFUNCTION("""COMPUTED_VALUE"""),"8")</f>
        <v>8</v>
      </c>
      <c r="E121" s="1" t="str">
        <f>IFERROR(__xludf.DUMMYFUNCTION("""COMPUTED_VALUE"""),"A")</f>
        <v>A</v>
      </c>
      <c r="F121" s="1" t="str">
        <f>IFERROR(__xludf.DUMMYFUNCTION("""COMPUTED_VALUE"""),"Lucknow")</f>
        <v>Lucknow</v>
      </c>
      <c r="G121" s="1">
        <f>IFERROR(__xludf.DUMMYFUNCTION("""COMPUTED_VALUE"""),55.0)</f>
        <v>55</v>
      </c>
      <c r="H121" s="1">
        <f>IFERROR(__xludf.DUMMYFUNCTION("""COMPUTED_VALUE"""),70.0)</f>
        <v>70</v>
      </c>
      <c r="I121" s="1">
        <f>IFERROR(__xludf.DUMMYFUNCTION("""COMPUTED_VALUE"""),61.0)</f>
        <v>61</v>
      </c>
      <c r="J121" s="1">
        <f>IFERROR(__xludf.DUMMYFUNCTION("""COMPUTED_VALUE"""),80.0)</f>
        <v>80</v>
      </c>
      <c r="K121" s="1">
        <f>IFERROR(__xludf.DUMMYFUNCTION("""COMPUTED_VALUE"""),58.0)</f>
        <v>58</v>
      </c>
      <c r="L121" s="1">
        <f>IFERROR(__xludf.DUMMYFUNCTION("""COMPUTED_VALUE"""),324.0)</f>
        <v>324</v>
      </c>
      <c r="M121" s="1">
        <f>IFERROR(__xludf.DUMMYFUNCTION("""COMPUTED_VALUE"""),64.8)</f>
        <v>64.8</v>
      </c>
      <c r="N121" s="1">
        <f>IFERROR(__xludf.DUMMYFUNCTION("""COMPUTED_VALUE"""),91.0)</f>
        <v>91</v>
      </c>
      <c r="O121" s="1" t="str">
        <f>IFERROR(__xludf.DUMMYFUNCTION("""COMPUTED_VALUE"""),"Pass")</f>
        <v>Pass</v>
      </c>
    </row>
    <row r="122" ht="15.75" customHeight="1">
      <c r="A122" s="1" t="str">
        <f>IFERROR(__xludf.DUMMYFUNCTION("""COMPUTED_VALUE"""),"STD-1426")</f>
        <v>STD-1426</v>
      </c>
      <c r="B122" s="1" t="str">
        <f>IFERROR(__xludf.DUMMYFUNCTION("""COMPUTED_VALUE"""),"Aarav Nair")</f>
        <v>Aarav Nair</v>
      </c>
      <c r="C122" s="1" t="str">
        <f>IFERROR(__xludf.DUMMYFUNCTION("""COMPUTED_VALUE"""),"Male")</f>
        <v>Male</v>
      </c>
      <c r="D122" s="1" t="str">
        <f>IFERROR(__xludf.DUMMYFUNCTION("""COMPUTED_VALUE"""),"8")</f>
        <v>8</v>
      </c>
      <c r="E122" s="1" t="str">
        <f>IFERROR(__xludf.DUMMYFUNCTION("""COMPUTED_VALUE"""),"A")</f>
        <v>A</v>
      </c>
      <c r="F122" s="1" t="str">
        <f>IFERROR(__xludf.DUMMYFUNCTION("""COMPUTED_VALUE"""),"Jaipur")</f>
        <v>Jaipur</v>
      </c>
      <c r="G122" s="1">
        <f>IFERROR(__xludf.DUMMYFUNCTION("""COMPUTED_VALUE"""),77.0)</f>
        <v>77</v>
      </c>
      <c r="H122" s="1">
        <f>IFERROR(__xludf.DUMMYFUNCTION("""COMPUTED_VALUE"""),44.0)</f>
        <v>44</v>
      </c>
      <c r="I122" s="1">
        <f>IFERROR(__xludf.DUMMYFUNCTION("""COMPUTED_VALUE"""),84.0)</f>
        <v>84</v>
      </c>
      <c r="J122" s="1">
        <f>IFERROR(__xludf.DUMMYFUNCTION("""COMPUTED_VALUE"""),40.0)</f>
        <v>40</v>
      </c>
      <c r="K122" s="1">
        <f>IFERROR(__xludf.DUMMYFUNCTION("""COMPUTED_VALUE"""),88.0)</f>
        <v>88</v>
      </c>
      <c r="L122" s="1">
        <f>IFERROR(__xludf.DUMMYFUNCTION("""COMPUTED_VALUE"""),333.0)</f>
        <v>333</v>
      </c>
      <c r="M122" s="1">
        <f>IFERROR(__xludf.DUMMYFUNCTION("""COMPUTED_VALUE"""),66.6)</f>
        <v>66.6</v>
      </c>
      <c r="N122" s="1">
        <f>IFERROR(__xludf.DUMMYFUNCTION("""COMPUTED_VALUE"""),96.0)</f>
        <v>96</v>
      </c>
      <c r="O122" s="1" t="str">
        <f>IFERROR(__xludf.DUMMYFUNCTION("""COMPUTED_VALUE"""),"Pass")</f>
        <v>Pass</v>
      </c>
    </row>
    <row r="123" ht="15.75" customHeight="1">
      <c r="A123" s="1" t="str">
        <f>IFERROR(__xludf.DUMMYFUNCTION("""COMPUTED_VALUE"""),"STD-1429")</f>
        <v>STD-1429</v>
      </c>
      <c r="B123" s="1" t="str">
        <f>IFERROR(__xludf.DUMMYFUNCTION("""COMPUTED_VALUE"""),"Tanvi Gupta")</f>
        <v>Tanvi Gupta</v>
      </c>
      <c r="C123" s="1" t="str">
        <f>IFERROR(__xludf.DUMMYFUNCTION("""COMPUTED_VALUE"""),"Male")</f>
        <v>Male</v>
      </c>
      <c r="D123" s="1" t="str">
        <f>IFERROR(__xludf.DUMMYFUNCTION("""COMPUTED_VALUE"""),"9")</f>
        <v>9</v>
      </c>
      <c r="E123" s="1" t="str">
        <f>IFERROR(__xludf.DUMMYFUNCTION("""COMPUTED_VALUE"""),"B")</f>
        <v>B</v>
      </c>
      <c r="F123" s="1" t="str">
        <f>IFERROR(__xludf.DUMMYFUNCTION("""COMPUTED_VALUE"""),"Lucknow")</f>
        <v>Lucknow</v>
      </c>
      <c r="G123" s="1">
        <f>IFERROR(__xludf.DUMMYFUNCTION("""COMPUTED_VALUE"""),48.0)</f>
        <v>48</v>
      </c>
      <c r="H123" s="1">
        <f>IFERROR(__xludf.DUMMYFUNCTION("""COMPUTED_VALUE"""),72.0)</f>
        <v>72</v>
      </c>
      <c r="I123" s="1">
        <f>IFERROR(__xludf.DUMMYFUNCTION("""COMPUTED_VALUE"""),87.0)</f>
        <v>87</v>
      </c>
      <c r="J123" s="1">
        <f>IFERROR(__xludf.DUMMYFUNCTION("""COMPUTED_VALUE"""),78.0)</f>
        <v>78</v>
      </c>
      <c r="K123" s="1">
        <f>IFERROR(__xludf.DUMMYFUNCTION("""COMPUTED_VALUE"""),47.0)</f>
        <v>47</v>
      </c>
      <c r="L123" s="1">
        <f>IFERROR(__xludf.DUMMYFUNCTION("""COMPUTED_VALUE"""),332.0)</f>
        <v>332</v>
      </c>
      <c r="M123" s="1">
        <f>IFERROR(__xludf.DUMMYFUNCTION("""COMPUTED_VALUE"""),66.4)</f>
        <v>66.4</v>
      </c>
      <c r="N123" s="1">
        <f>IFERROR(__xludf.DUMMYFUNCTION("""COMPUTED_VALUE"""),99.0)</f>
        <v>99</v>
      </c>
      <c r="O123" s="1" t="str">
        <f>IFERROR(__xludf.DUMMYFUNCTION("""COMPUTED_VALUE"""),"Pass")</f>
        <v>Pass</v>
      </c>
    </row>
    <row r="124" ht="15.75" customHeight="1">
      <c r="A124" s="1" t="str">
        <f>IFERROR(__xludf.DUMMYFUNCTION("""COMPUTED_VALUE"""),"STD-1434")</f>
        <v>STD-1434</v>
      </c>
      <c r="B124" s="1" t="str">
        <f>IFERROR(__xludf.DUMMYFUNCTION("""COMPUTED_VALUE"""),"Sai Iyer")</f>
        <v>Sai Iyer</v>
      </c>
      <c r="C124" s="1" t="str">
        <f>IFERROR(__xludf.DUMMYFUNCTION("""COMPUTED_VALUE"""),"Female")</f>
        <v>Female</v>
      </c>
      <c r="D124" s="1" t="str">
        <f>IFERROR(__xludf.DUMMYFUNCTION("""COMPUTED_VALUE"""),"10")</f>
        <v>10</v>
      </c>
      <c r="E124" s="1" t="str">
        <f>IFERROR(__xludf.DUMMYFUNCTION("""COMPUTED_VALUE"""),"B")</f>
        <v>B</v>
      </c>
      <c r="F124" s="1" t="str">
        <f>IFERROR(__xludf.DUMMYFUNCTION("""COMPUTED_VALUE"""),"Patna")</f>
        <v>Patna</v>
      </c>
      <c r="G124" s="1">
        <f>IFERROR(__xludf.DUMMYFUNCTION("""COMPUTED_VALUE"""),63.0)</f>
        <v>63</v>
      </c>
      <c r="H124" s="1">
        <f>IFERROR(__xludf.DUMMYFUNCTION("""COMPUTED_VALUE"""),75.0)</f>
        <v>75</v>
      </c>
      <c r="I124" s="1">
        <f>IFERROR(__xludf.DUMMYFUNCTION("""COMPUTED_VALUE"""),77.0)</f>
        <v>77</v>
      </c>
      <c r="J124" s="1">
        <f>IFERROR(__xludf.DUMMYFUNCTION("""COMPUTED_VALUE"""),67.0)</f>
        <v>67</v>
      </c>
      <c r="K124" s="1">
        <f>IFERROR(__xludf.DUMMYFUNCTION("""COMPUTED_VALUE"""),47.0)</f>
        <v>47</v>
      </c>
      <c r="L124" s="1">
        <f>IFERROR(__xludf.DUMMYFUNCTION("""COMPUTED_VALUE"""),329.0)</f>
        <v>329</v>
      </c>
      <c r="M124" s="1">
        <f>IFERROR(__xludf.DUMMYFUNCTION("""COMPUTED_VALUE"""),65.8)</f>
        <v>65.8</v>
      </c>
      <c r="N124" s="1">
        <f>IFERROR(__xludf.DUMMYFUNCTION("""COMPUTED_VALUE"""),95.0)</f>
        <v>95</v>
      </c>
      <c r="O124" s="1" t="str">
        <f>IFERROR(__xludf.DUMMYFUNCTION("""COMPUTED_VALUE"""),"Pass")</f>
        <v>Pass</v>
      </c>
    </row>
    <row r="125" ht="15.75" customHeight="1">
      <c r="A125" s="1" t="str">
        <f>IFERROR(__xludf.DUMMYFUNCTION("""COMPUTED_VALUE"""),"STD-1435")</f>
        <v>STD-1435</v>
      </c>
      <c r="B125" s="1" t="str">
        <f>IFERROR(__xludf.DUMMYFUNCTION("""COMPUTED_VALUE"""),"Sneha Singh")</f>
        <v>Sneha Singh</v>
      </c>
      <c r="C125" s="1" t="str">
        <f>IFERROR(__xludf.DUMMYFUNCTION("""COMPUTED_VALUE"""),"Female")</f>
        <v>Female</v>
      </c>
      <c r="D125" s="1" t="str">
        <f>IFERROR(__xludf.DUMMYFUNCTION("""COMPUTED_VALUE"""),"10")</f>
        <v>10</v>
      </c>
      <c r="E125" s="1" t="str">
        <f>IFERROR(__xludf.DUMMYFUNCTION("""COMPUTED_VALUE"""),"B")</f>
        <v>B</v>
      </c>
      <c r="F125" s="1" t="str">
        <f>IFERROR(__xludf.DUMMYFUNCTION("""COMPUTED_VALUE"""),"Delhi")</f>
        <v>Delhi</v>
      </c>
      <c r="G125" s="1">
        <f>IFERROR(__xludf.DUMMYFUNCTION("""COMPUTED_VALUE"""),69.0)</f>
        <v>69</v>
      </c>
      <c r="H125" s="1">
        <f>IFERROR(__xludf.DUMMYFUNCTION("""COMPUTED_VALUE"""),59.0)</f>
        <v>59</v>
      </c>
      <c r="I125" s="1">
        <f>IFERROR(__xludf.DUMMYFUNCTION("""COMPUTED_VALUE"""),48.0)</f>
        <v>48</v>
      </c>
      <c r="J125" s="1">
        <f>IFERROR(__xludf.DUMMYFUNCTION("""COMPUTED_VALUE"""),97.0)</f>
        <v>97</v>
      </c>
      <c r="K125" s="1">
        <f>IFERROR(__xludf.DUMMYFUNCTION("""COMPUTED_VALUE"""),67.0)</f>
        <v>67</v>
      </c>
      <c r="L125" s="1">
        <f>IFERROR(__xludf.DUMMYFUNCTION("""COMPUTED_VALUE"""),340.0)</f>
        <v>340</v>
      </c>
      <c r="M125" s="1">
        <f>IFERROR(__xludf.DUMMYFUNCTION("""COMPUTED_VALUE"""),68.0)</f>
        <v>68</v>
      </c>
      <c r="N125" s="1">
        <f>IFERROR(__xludf.DUMMYFUNCTION("""COMPUTED_VALUE"""),96.0)</f>
        <v>96</v>
      </c>
      <c r="O125" s="1" t="str">
        <f>IFERROR(__xludf.DUMMYFUNCTION("""COMPUTED_VALUE"""),"Pass")</f>
        <v>Pass</v>
      </c>
    </row>
    <row r="126" ht="15.75" customHeight="1">
      <c r="A126" s="1" t="str">
        <f>IFERROR(__xludf.DUMMYFUNCTION("""COMPUTED_VALUE"""),"STD-1441")</f>
        <v>STD-1441</v>
      </c>
      <c r="B126" s="1" t="str">
        <f>IFERROR(__xludf.DUMMYFUNCTION("""COMPUTED_VALUE"""),"Arjun Choudhary")</f>
        <v>Arjun Choudhary</v>
      </c>
      <c r="C126" s="1" t="str">
        <f>IFERROR(__xludf.DUMMYFUNCTION("""COMPUTED_VALUE"""),"Male")</f>
        <v>Male</v>
      </c>
      <c r="D126" s="1" t="str">
        <f>IFERROR(__xludf.DUMMYFUNCTION("""COMPUTED_VALUE"""),"7")</f>
        <v>7</v>
      </c>
      <c r="E126" s="1" t="str">
        <f>IFERROR(__xludf.DUMMYFUNCTION("""COMPUTED_VALUE"""),"C")</f>
        <v>C</v>
      </c>
      <c r="F126" s="1" t="str">
        <f>IFERROR(__xludf.DUMMYFUNCTION("""COMPUTED_VALUE"""),"Kolkata")</f>
        <v>Kolkata</v>
      </c>
      <c r="G126" s="1">
        <f>IFERROR(__xludf.DUMMYFUNCTION("""COMPUTED_VALUE"""),88.0)</f>
        <v>88</v>
      </c>
      <c r="H126" s="1">
        <f>IFERROR(__xludf.DUMMYFUNCTION("""COMPUTED_VALUE"""),59.0)</f>
        <v>59</v>
      </c>
      <c r="I126" s="1">
        <f>IFERROR(__xludf.DUMMYFUNCTION("""COMPUTED_VALUE"""),57.0)</f>
        <v>57</v>
      </c>
      <c r="J126" s="1">
        <f>IFERROR(__xludf.DUMMYFUNCTION("""COMPUTED_VALUE"""),52.0)</f>
        <v>52</v>
      </c>
      <c r="K126" s="1">
        <f>IFERROR(__xludf.DUMMYFUNCTION("""COMPUTED_VALUE"""),48.0)</f>
        <v>48</v>
      </c>
      <c r="L126" s="1">
        <f>IFERROR(__xludf.DUMMYFUNCTION("""COMPUTED_VALUE"""),304.0)</f>
        <v>304</v>
      </c>
      <c r="M126" s="1">
        <f>IFERROR(__xludf.DUMMYFUNCTION("""COMPUTED_VALUE"""),60.8)</f>
        <v>60.8</v>
      </c>
      <c r="N126" s="1">
        <f>IFERROR(__xludf.DUMMYFUNCTION("""COMPUTED_VALUE"""),92.0)</f>
        <v>92</v>
      </c>
      <c r="O126" s="1" t="str">
        <f>IFERROR(__xludf.DUMMYFUNCTION("""COMPUTED_VALUE"""),"Pass")</f>
        <v>Pass</v>
      </c>
    </row>
    <row r="127" ht="15.75" customHeight="1">
      <c r="A127" s="1" t="str">
        <f>IFERROR(__xludf.DUMMYFUNCTION("""COMPUTED_VALUE"""),"STD-1446")</f>
        <v>STD-1446</v>
      </c>
      <c r="B127" s="1" t="str">
        <f>IFERROR(__xludf.DUMMYFUNCTION("""COMPUTED_VALUE"""),"Rohan Banerjee")</f>
        <v>Rohan Banerjee</v>
      </c>
      <c r="C127" s="1" t="str">
        <f>IFERROR(__xludf.DUMMYFUNCTION("""COMPUTED_VALUE"""),"Female")</f>
        <v>Female</v>
      </c>
      <c r="D127" s="1" t="str">
        <f>IFERROR(__xludf.DUMMYFUNCTION("""COMPUTED_VALUE"""),"6")</f>
        <v>6</v>
      </c>
      <c r="E127" s="1" t="str">
        <f>IFERROR(__xludf.DUMMYFUNCTION("""COMPUTED_VALUE"""),"C")</f>
        <v>C</v>
      </c>
      <c r="F127" s="1" t="str">
        <f>IFERROR(__xludf.DUMMYFUNCTION("""COMPUTED_VALUE"""),"Patna")</f>
        <v>Patna</v>
      </c>
      <c r="G127" s="1">
        <f>IFERROR(__xludf.DUMMYFUNCTION("""COMPUTED_VALUE"""),65.0)</f>
        <v>65</v>
      </c>
      <c r="H127" s="1">
        <f>IFERROR(__xludf.DUMMYFUNCTION("""COMPUTED_VALUE"""),69.0)</f>
        <v>69</v>
      </c>
      <c r="I127" s="1">
        <f>IFERROR(__xludf.DUMMYFUNCTION("""COMPUTED_VALUE"""),40.0)</f>
        <v>40</v>
      </c>
      <c r="J127" s="1">
        <f>IFERROR(__xludf.DUMMYFUNCTION("""COMPUTED_VALUE"""),69.0)</f>
        <v>69</v>
      </c>
      <c r="K127" s="1">
        <f>IFERROR(__xludf.DUMMYFUNCTION("""COMPUTED_VALUE"""),62.0)</f>
        <v>62</v>
      </c>
      <c r="L127" s="1">
        <f>IFERROR(__xludf.DUMMYFUNCTION("""COMPUTED_VALUE"""),305.0)</f>
        <v>305</v>
      </c>
      <c r="M127" s="1">
        <f>IFERROR(__xludf.DUMMYFUNCTION("""COMPUTED_VALUE"""),61.0)</f>
        <v>61</v>
      </c>
      <c r="N127" s="1">
        <f>IFERROR(__xludf.DUMMYFUNCTION("""COMPUTED_VALUE"""),93.0)</f>
        <v>93</v>
      </c>
      <c r="O127" s="1" t="str">
        <f>IFERROR(__xludf.DUMMYFUNCTION("""COMPUTED_VALUE"""),"Pass")</f>
        <v>Pass</v>
      </c>
    </row>
    <row r="128" ht="15.75" customHeight="1">
      <c r="A128" s="1" t="str">
        <f>IFERROR(__xludf.DUMMYFUNCTION("""COMPUTED_VALUE"""),"STD-1453")</f>
        <v>STD-1453</v>
      </c>
      <c r="B128" s="1" t="str">
        <f>IFERROR(__xludf.DUMMYFUNCTION("""COMPUTED_VALUE"""),"Rahul Das")</f>
        <v>Rahul Das</v>
      </c>
      <c r="C128" s="1" t="str">
        <f>IFERROR(__xludf.DUMMYFUNCTION("""COMPUTED_VALUE"""),"Female")</f>
        <v>Female</v>
      </c>
      <c r="D128" s="1" t="str">
        <f>IFERROR(__xludf.DUMMYFUNCTION("""COMPUTED_VALUE"""),"9")</f>
        <v>9</v>
      </c>
      <c r="E128" s="1" t="str">
        <f>IFERROR(__xludf.DUMMYFUNCTION("""COMPUTED_VALUE"""),"B")</f>
        <v>B</v>
      </c>
      <c r="F128" s="1" t="str">
        <f>IFERROR(__xludf.DUMMYFUNCTION("""COMPUTED_VALUE"""),"Kolkata")</f>
        <v>Kolkata</v>
      </c>
      <c r="G128" s="1">
        <f>IFERROR(__xludf.DUMMYFUNCTION("""COMPUTED_VALUE"""),69.0)</f>
        <v>69</v>
      </c>
      <c r="H128" s="1">
        <f>IFERROR(__xludf.DUMMYFUNCTION("""COMPUTED_VALUE"""),46.0)</f>
        <v>46</v>
      </c>
      <c r="I128" s="1">
        <f>IFERROR(__xludf.DUMMYFUNCTION("""COMPUTED_VALUE"""),46.0)</f>
        <v>46</v>
      </c>
      <c r="J128" s="1">
        <f>IFERROR(__xludf.DUMMYFUNCTION("""COMPUTED_VALUE"""),67.0)</f>
        <v>67</v>
      </c>
      <c r="K128" s="1">
        <f>IFERROR(__xludf.DUMMYFUNCTION("""COMPUTED_VALUE"""),81.0)</f>
        <v>81</v>
      </c>
      <c r="L128" s="1">
        <f>IFERROR(__xludf.DUMMYFUNCTION("""COMPUTED_VALUE"""),309.0)</f>
        <v>309</v>
      </c>
      <c r="M128" s="1">
        <f>IFERROR(__xludf.DUMMYFUNCTION("""COMPUTED_VALUE"""),61.8)</f>
        <v>61.8</v>
      </c>
      <c r="N128" s="1">
        <f>IFERROR(__xludf.DUMMYFUNCTION("""COMPUTED_VALUE"""),98.0)</f>
        <v>98</v>
      </c>
      <c r="O128" s="1" t="str">
        <f>IFERROR(__xludf.DUMMYFUNCTION("""COMPUTED_VALUE"""),"Pass")</f>
        <v>Pass</v>
      </c>
    </row>
    <row r="129" ht="15.75" customHeight="1">
      <c r="A129" s="1" t="str">
        <f>IFERROR(__xludf.DUMMYFUNCTION("""COMPUTED_VALUE"""),"STD-1455")</f>
        <v>STD-1455</v>
      </c>
      <c r="B129" s="1" t="str">
        <f>IFERROR(__xludf.DUMMYFUNCTION("""COMPUTED_VALUE"""),"Ritika Singh")</f>
        <v>Ritika Singh</v>
      </c>
      <c r="C129" s="1" t="str">
        <f>IFERROR(__xludf.DUMMYFUNCTION("""COMPUTED_VALUE"""),"Female")</f>
        <v>Female</v>
      </c>
      <c r="D129" s="1" t="str">
        <f>IFERROR(__xludf.DUMMYFUNCTION("""COMPUTED_VALUE"""),"7")</f>
        <v>7</v>
      </c>
      <c r="E129" s="1" t="str">
        <f>IFERROR(__xludf.DUMMYFUNCTION("""COMPUTED_VALUE"""),"A")</f>
        <v>A</v>
      </c>
      <c r="F129" s="1" t="str">
        <f>IFERROR(__xludf.DUMMYFUNCTION("""COMPUTED_VALUE"""),"Chandigarh")</f>
        <v>Chandigarh</v>
      </c>
      <c r="G129" s="1">
        <f>IFERROR(__xludf.DUMMYFUNCTION("""COMPUTED_VALUE"""),63.0)</f>
        <v>63</v>
      </c>
      <c r="H129" s="1">
        <f>IFERROR(__xludf.DUMMYFUNCTION("""COMPUTED_VALUE"""),61.0)</f>
        <v>61</v>
      </c>
      <c r="I129" s="1">
        <f>IFERROR(__xludf.DUMMYFUNCTION("""COMPUTED_VALUE"""),62.0)</f>
        <v>62</v>
      </c>
      <c r="J129" s="1">
        <f>IFERROR(__xludf.DUMMYFUNCTION("""COMPUTED_VALUE"""),52.0)</f>
        <v>52</v>
      </c>
      <c r="K129" s="1">
        <f>IFERROR(__xludf.DUMMYFUNCTION("""COMPUTED_VALUE"""),72.0)</f>
        <v>72</v>
      </c>
      <c r="L129" s="1">
        <f>IFERROR(__xludf.DUMMYFUNCTION("""COMPUTED_VALUE"""),310.0)</f>
        <v>310</v>
      </c>
      <c r="M129" s="1">
        <f>IFERROR(__xludf.DUMMYFUNCTION("""COMPUTED_VALUE"""),62.0)</f>
        <v>62</v>
      </c>
      <c r="N129" s="1">
        <f>IFERROR(__xludf.DUMMYFUNCTION("""COMPUTED_VALUE"""),94.0)</f>
        <v>94</v>
      </c>
      <c r="O129" s="1" t="str">
        <f>IFERROR(__xludf.DUMMYFUNCTION("""COMPUTED_VALUE"""),"Pass")</f>
        <v>Pass</v>
      </c>
    </row>
    <row r="130" ht="15.75" customHeight="1">
      <c r="A130" s="1" t="str">
        <f>IFERROR(__xludf.DUMMYFUNCTION("""COMPUTED_VALUE"""),"STD-1467")</f>
        <v>STD-1467</v>
      </c>
      <c r="B130" s="1" t="str">
        <f>IFERROR(__xludf.DUMMYFUNCTION("""COMPUTED_VALUE"""),"Rahul Kulkarni")</f>
        <v>Rahul Kulkarni</v>
      </c>
      <c r="C130" s="1" t="str">
        <f>IFERROR(__xludf.DUMMYFUNCTION("""COMPUTED_VALUE"""),"Male")</f>
        <v>Male</v>
      </c>
      <c r="D130" s="1" t="str">
        <f>IFERROR(__xludf.DUMMYFUNCTION("""COMPUTED_VALUE"""),"9")</f>
        <v>9</v>
      </c>
      <c r="E130" s="1" t="str">
        <f>IFERROR(__xludf.DUMMYFUNCTION("""COMPUTED_VALUE"""),"A")</f>
        <v>A</v>
      </c>
      <c r="F130" s="1" t="str">
        <f>IFERROR(__xludf.DUMMYFUNCTION("""COMPUTED_VALUE"""),"Kolkata")</f>
        <v>Kolkata</v>
      </c>
      <c r="G130" s="1">
        <f>IFERROR(__xludf.DUMMYFUNCTION("""COMPUTED_VALUE"""),45.0)</f>
        <v>45</v>
      </c>
      <c r="H130" s="1">
        <f>IFERROR(__xludf.DUMMYFUNCTION("""COMPUTED_VALUE"""),78.0)</f>
        <v>78</v>
      </c>
      <c r="I130" s="1">
        <f>IFERROR(__xludf.DUMMYFUNCTION("""COMPUTED_VALUE"""),40.0)</f>
        <v>40</v>
      </c>
      <c r="J130" s="1">
        <f>IFERROR(__xludf.DUMMYFUNCTION("""COMPUTED_VALUE"""),40.0)</f>
        <v>40</v>
      </c>
      <c r="K130" s="1">
        <f>IFERROR(__xludf.DUMMYFUNCTION("""COMPUTED_VALUE"""),84.0)</f>
        <v>84</v>
      </c>
      <c r="L130" s="1">
        <f>IFERROR(__xludf.DUMMYFUNCTION("""COMPUTED_VALUE"""),287.0)</f>
        <v>287</v>
      </c>
      <c r="M130" s="1">
        <f>IFERROR(__xludf.DUMMYFUNCTION("""COMPUTED_VALUE"""),57.4)</f>
        <v>57.4</v>
      </c>
      <c r="N130" s="1">
        <f>IFERROR(__xludf.DUMMYFUNCTION("""COMPUTED_VALUE"""),94.0)</f>
        <v>94</v>
      </c>
      <c r="O130" s="1" t="str">
        <f>IFERROR(__xludf.DUMMYFUNCTION("""COMPUTED_VALUE"""),"Pass")</f>
        <v>Pass</v>
      </c>
    </row>
    <row r="131" ht="15.75" customHeight="1">
      <c r="A131" s="1" t="str">
        <f>IFERROR(__xludf.DUMMYFUNCTION("""COMPUTED_VALUE"""),"STD-1469")</f>
        <v>STD-1469</v>
      </c>
      <c r="B131" s="1" t="str">
        <f>IFERROR(__xludf.DUMMYFUNCTION("""COMPUTED_VALUE"""),"Rohan Kaur")</f>
        <v>Rohan Kaur</v>
      </c>
      <c r="C131" s="1" t="str">
        <f>IFERROR(__xludf.DUMMYFUNCTION("""COMPUTED_VALUE"""),"Male")</f>
        <v>Male</v>
      </c>
      <c r="D131" s="1" t="str">
        <f>IFERROR(__xludf.DUMMYFUNCTION("""COMPUTED_VALUE"""),"6")</f>
        <v>6</v>
      </c>
      <c r="E131" s="1" t="str">
        <f>IFERROR(__xludf.DUMMYFUNCTION("""COMPUTED_VALUE"""),"A")</f>
        <v>A</v>
      </c>
      <c r="F131" s="1" t="str">
        <f>IFERROR(__xludf.DUMMYFUNCTION("""COMPUTED_VALUE"""),"Mumbai")</f>
        <v>Mumbai</v>
      </c>
      <c r="G131" s="1">
        <f>IFERROR(__xludf.DUMMYFUNCTION("""COMPUTED_VALUE"""),50.0)</f>
        <v>50</v>
      </c>
      <c r="H131" s="1">
        <f>IFERROR(__xludf.DUMMYFUNCTION("""COMPUTED_VALUE"""),61.0)</f>
        <v>61</v>
      </c>
      <c r="I131" s="1">
        <f>IFERROR(__xludf.DUMMYFUNCTION("""COMPUTED_VALUE"""),97.0)</f>
        <v>97</v>
      </c>
      <c r="J131" s="1">
        <f>IFERROR(__xludf.DUMMYFUNCTION("""COMPUTED_VALUE"""),85.0)</f>
        <v>85</v>
      </c>
      <c r="K131" s="1">
        <f>IFERROR(__xludf.DUMMYFUNCTION("""COMPUTED_VALUE"""),94.0)</f>
        <v>94</v>
      </c>
      <c r="L131" s="1">
        <f>IFERROR(__xludf.DUMMYFUNCTION("""COMPUTED_VALUE"""),387.0)</f>
        <v>387</v>
      </c>
      <c r="M131" s="1">
        <f>IFERROR(__xludf.DUMMYFUNCTION("""COMPUTED_VALUE"""),77.4)</f>
        <v>77.4</v>
      </c>
      <c r="N131" s="1">
        <f>IFERROR(__xludf.DUMMYFUNCTION("""COMPUTED_VALUE"""),98.0)</f>
        <v>98</v>
      </c>
      <c r="O131" s="1" t="str">
        <f>IFERROR(__xludf.DUMMYFUNCTION("""COMPUTED_VALUE"""),"Pass")</f>
        <v>Pass</v>
      </c>
    </row>
    <row r="132" ht="15.75" customHeight="1">
      <c r="A132" s="1" t="str">
        <f>IFERROR(__xludf.DUMMYFUNCTION("""COMPUTED_VALUE"""),"STD-1470")</f>
        <v>STD-1470</v>
      </c>
      <c r="B132" s="1" t="str">
        <f>IFERROR(__xludf.DUMMYFUNCTION("""COMPUTED_VALUE"""),"Simran Reddy")</f>
        <v>Simran Reddy</v>
      </c>
      <c r="C132" s="1" t="str">
        <f>IFERROR(__xludf.DUMMYFUNCTION("""COMPUTED_VALUE"""),"Male")</f>
        <v>Male</v>
      </c>
      <c r="D132" s="1" t="str">
        <f>IFERROR(__xludf.DUMMYFUNCTION("""COMPUTED_VALUE"""),"6")</f>
        <v>6</v>
      </c>
      <c r="E132" s="1" t="str">
        <f>IFERROR(__xludf.DUMMYFUNCTION("""COMPUTED_VALUE"""),"A")</f>
        <v>A</v>
      </c>
      <c r="F132" s="1" t="str">
        <f>IFERROR(__xludf.DUMMYFUNCTION("""COMPUTED_VALUE"""),"Chandigarh")</f>
        <v>Chandigarh</v>
      </c>
      <c r="G132" s="1">
        <f>IFERROR(__xludf.DUMMYFUNCTION("""COMPUTED_VALUE"""),98.0)</f>
        <v>98</v>
      </c>
      <c r="H132" s="1">
        <f>IFERROR(__xludf.DUMMYFUNCTION("""COMPUTED_VALUE"""),54.0)</f>
        <v>54</v>
      </c>
      <c r="I132" s="1">
        <f>IFERROR(__xludf.DUMMYFUNCTION("""COMPUTED_VALUE"""),41.0)</f>
        <v>41</v>
      </c>
      <c r="J132" s="1">
        <f>IFERROR(__xludf.DUMMYFUNCTION("""COMPUTED_VALUE"""),92.0)</f>
        <v>92</v>
      </c>
      <c r="K132" s="1">
        <f>IFERROR(__xludf.DUMMYFUNCTION("""COMPUTED_VALUE"""),100.0)</f>
        <v>100</v>
      </c>
      <c r="L132" s="1">
        <f>IFERROR(__xludf.DUMMYFUNCTION("""COMPUTED_VALUE"""),385.0)</f>
        <v>385</v>
      </c>
      <c r="M132" s="1">
        <f>IFERROR(__xludf.DUMMYFUNCTION("""COMPUTED_VALUE"""),77.0)</f>
        <v>77</v>
      </c>
      <c r="N132" s="1">
        <f>IFERROR(__xludf.DUMMYFUNCTION("""COMPUTED_VALUE"""),99.0)</f>
        <v>99</v>
      </c>
      <c r="O132" s="1" t="str">
        <f>IFERROR(__xludf.DUMMYFUNCTION("""COMPUTED_VALUE"""),"Pass")</f>
        <v>Pass</v>
      </c>
    </row>
    <row r="133" ht="15.75" customHeight="1">
      <c r="A133" s="1" t="str">
        <f>IFERROR(__xludf.DUMMYFUNCTION("""COMPUTED_VALUE"""),"STD-1477")</f>
        <v>STD-1477</v>
      </c>
      <c r="B133" s="1" t="str">
        <f>IFERROR(__xludf.DUMMYFUNCTION("""COMPUTED_VALUE"""),"Kavya Singh")</f>
        <v>Kavya Singh</v>
      </c>
      <c r="C133" s="1" t="str">
        <f>IFERROR(__xludf.DUMMYFUNCTION("""COMPUTED_VALUE"""),"Female")</f>
        <v>Female</v>
      </c>
      <c r="D133" s="1" t="str">
        <f>IFERROR(__xludf.DUMMYFUNCTION("""COMPUTED_VALUE"""),"8")</f>
        <v>8</v>
      </c>
      <c r="E133" s="1" t="str">
        <f>IFERROR(__xludf.DUMMYFUNCTION("""COMPUTED_VALUE"""),"A")</f>
        <v>A</v>
      </c>
      <c r="F133" s="1" t="str">
        <f>IFERROR(__xludf.DUMMYFUNCTION("""COMPUTED_VALUE"""),"Chandigarh")</f>
        <v>Chandigarh</v>
      </c>
      <c r="G133" s="1">
        <f>IFERROR(__xludf.DUMMYFUNCTION("""COMPUTED_VALUE"""),74.0)</f>
        <v>74</v>
      </c>
      <c r="H133" s="1">
        <f>IFERROR(__xludf.DUMMYFUNCTION("""COMPUTED_VALUE"""),58.0)</f>
        <v>58</v>
      </c>
      <c r="I133" s="1">
        <f>IFERROR(__xludf.DUMMYFUNCTION("""COMPUTED_VALUE"""),61.0)</f>
        <v>61</v>
      </c>
      <c r="J133" s="1">
        <f>IFERROR(__xludf.DUMMYFUNCTION("""COMPUTED_VALUE"""),56.0)</f>
        <v>56</v>
      </c>
      <c r="K133" s="1">
        <f>IFERROR(__xludf.DUMMYFUNCTION("""COMPUTED_VALUE"""),74.0)</f>
        <v>74</v>
      </c>
      <c r="L133" s="1">
        <f>IFERROR(__xludf.DUMMYFUNCTION("""COMPUTED_VALUE"""),323.0)</f>
        <v>323</v>
      </c>
      <c r="M133" s="1">
        <f>IFERROR(__xludf.DUMMYFUNCTION("""COMPUTED_VALUE"""),64.6)</f>
        <v>64.6</v>
      </c>
      <c r="N133" s="1">
        <f>IFERROR(__xludf.DUMMYFUNCTION("""COMPUTED_VALUE"""),92.0)</f>
        <v>92</v>
      </c>
      <c r="O133" s="1" t="str">
        <f>IFERROR(__xludf.DUMMYFUNCTION("""COMPUTED_VALUE"""),"Pass")</f>
        <v>Pass</v>
      </c>
    </row>
    <row r="134" ht="15.75" customHeight="1">
      <c r="A134" s="1" t="str">
        <f>IFERROR(__xludf.DUMMYFUNCTION("""COMPUTED_VALUE"""),"STD-1478")</f>
        <v>STD-1478</v>
      </c>
      <c r="B134" s="1" t="str">
        <f>IFERROR(__xludf.DUMMYFUNCTION("""COMPUTED_VALUE"""),"Vivaan Nair")</f>
        <v>Vivaan Nair</v>
      </c>
      <c r="C134" s="1" t="str">
        <f>IFERROR(__xludf.DUMMYFUNCTION("""COMPUTED_VALUE"""),"Male")</f>
        <v>Male</v>
      </c>
      <c r="D134" s="1" t="str">
        <f>IFERROR(__xludf.DUMMYFUNCTION("""COMPUTED_VALUE"""),"10")</f>
        <v>10</v>
      </c>
      <c r="E134" s="1" t="str">
        <f>IFERROR(__xludf.DUMMYFUNCTION("""COMPUTED_VALUE"""),"A")</f>
        <v>A</v>
      </c>
      <c r="F134" s="1" t="str">
        <f>IFERROR(__xludf.DUMMYFUNCTION("""COMPUTED_VALUE"""),"Chandigarh")</f>
        <v>Chandigarh</v>
      </c>
      <c r="G134" s="1">
        <f>IFERROR(__xludf.DUMMYFUNCTION("""COMPUTED_VALUE"""),60.0)</f>
        <v>60</v>
      </c>
      <c r="H134" s="1">
        <f>IFERROR(__xludf.DUMMYFUNCTION("""COMPUTED_VALUE"""),65.0)</f>
        <v>65</v>
      </c>
      <c r="I134" s="1">
        <f>IFERROR(__xludf.DUMMYFUNCTION("""COMPUTED_VALUE"""),59.0)</f>
        <v>59</v>
      </c>
      <c r="J134" s="1">
        <f>IFERROR(__xludf.DUMMYFUNCTION("""COMPUTED_VALUE"""),78.0)</f>
        <v>78</v>
      </c>
      <c r="K134" s="1">
        <f>IFERROR(__xludf.DUMMYFUNCTION("""COMPUTED_VALUE"""),48.0)</f>
        <v>48</v>
      </c>
      <c r="L134" s="1">
        <f>IFERROR(__xludf.DUMMYFUNCTION("""COMPUTED_VALUE"""),310.0)</f>
        <v>310</v>
      </c>
      <c r="M134" s="1">
        <f>IFERROR(__xludf.DUMMYFUNCTION("""COMPUTED_VALUE"""),62.0)</f>
        <v>62</v>
      </c>
      <c r="N134" s="1">
        <f>IFERROR(__xludf.DUMMYFUNCTION("""COMPUTED_VALUE"""),94.0)</f>
        <v>94</v>
      </c>
      <c r="O134" s="1" t="str">
        <f>IFERROR(__xludf.DUMMYFUNCTION("""COMPUTED_VALUE"""),"Pass")</f>
        <v>Pass</v>
      </c>
    </row>
    <row r="135" ht="15.75" customHeight="1">
      <c r="A135" s="1" t="str">
        <f>IFERROR(__xludf.DUMMYFUNCTION("""COMPUTED_VALUE"""),"STD-1484")</f>
        <v>STD-1484</v>
      </c>
      <c r="B135" s="1" t="str">
        <f>IFERROR(__xludf.DUMMYFUNCTION("""COMPUTED_VALUE"""),"Shreya Reddy")</f>
        <v>Shreya Reddy</v>
      </c>
      <c r="C135" s="1" t="str">
        <f>IFERROR(__xludf.DUMMYFUNCTION("""COMPUTED_VALUE"""),"Female")</f>
        <v>Female</v>
      </c>
      <c r="D135" s="1" t="str">
        <f>IFERROR(__xludf.DUMMYFUNCTION("""COMPUTED_VALUE"""),"8")</f>
        <v>8</v>
      </c>
      <c r="E135" s="1" t="str">
        <f>IFERROR(__xludf.DUMMYFUNCTION("""COMPUTED_VALUE"""),"B")</f>
        <v>B</v>
      </c>
      <c r="F135" s="1" t="str">
        <f>IFERROR(__xludf.DUMMYFUNCTION("""COMPUTED_VALUE"""),"Patna")</f>
        <v>Patna</v>
      </c>
      <c r="G135" s="1">
        <f>IFERROR(__xludf.DUMMYFUNCTION("""COMPUTED_VALUE"""),45.0)</f>
        <v>45</v>
      </c>
      <c r="H135" s="1">
        <f>IFERROR(__xludf.DUMMYFUNCTION("""COMPUTED_VALUE"""),86.0)</f>
        <v>86</v>
      </c>
      <c r="I135" s="1">
        <f>IFERROR(__xludf.DUMMYFUNCTION("""COMPUTED_VALUE"""),64.0)</f>
        <v>64</v>
      </c>
      <c r="J135" s="1">
        <f>IFERROR(__xludf.DUMMYFUNCTION("""COMPUTED_VALUE"""),99.0)</f>
        <v>99</v>
      </c>
      <c r="K135" s="1">
        <f>IFERROR(__xludf.DUMMYFUNCTION("""COMPUTED_VALUE"""),81.0)</f>
        <v>81</v>
      </c>
      <c r="L135" s="1">
        <f>IFERROR(__xludf.DUMMYFUNCTION("""COMPUTED_VALUE"""),375.0)</f>
        <v>375</v>
      </c>
      <c r="M135" s="1">
        <f>IFERROR(__xludf.DUMMYFUNCTION("""COMPUTED_VALUE"""),75.0)</f>
        <v>75</v>
      </c>
      <c r="N135" s="1">
        <f>IFERROR(__xludf.DUMMYFUNCTION("""COMPUTED_VALUE"""),98.0)</f>
        <v>98</v>
      </c>
      <c r="O135" s="1" t="str">
        <f>IFERROR(__xludf.DUMMYFUNCTION("""COMPUTED_VALUE"""),"Pass")</f>
        <v>Pass</v>
      </c>
    </row>
    <row r="136" ht="15.75" customHeight="1">
      <c r="A136" s="1" t="str">
        <f>IFERROR(__xludf.DUMMYFUNCTION("""COMPUTED_VALUE"""),"STD-1486")</f>
        <v>STD-1486</v>
      </c>
      <c r="B136" s="1" t="str">
        <f>IFERROR(__xludf.DUMMYFUNCTION("""COMPUTED_VALUE"""),"Ritika Choudhary")</f>
        <v>Ritika Choudhary</v>
      </c>
      <c r="C136" s="1" t="str">
        <f>IFERROR(__xludf.DUMMYFUNCTION("""COMPUTED_VALUE"""),"Male")</f>
        <v>Male</v>
      </c>
      <c r="D136" s="1" t="str">
        <f>IFERROR(__xludf.DUMMYFUNCTION("""COMPUTED_VALUE"""),"9")</f>
        <v>9</v>
      </c>
      <c r="E136" s="1" t="str">
        <f>IFERROR(__xludf.DUMMYFUNCTION("""COMPUTED_VALUE"""),"A")</f>
        <v>A</v>
      </c>
      <c r="F136" s="1" t="str">
        <f>IFERROR(__xludf.DUMMYFUNCTION("""COMPUTED_VALUE"""),"Mumbai")</f>
        <v>Mumbai</v>
      </c>
      <c r="G136" s="1">
        <f>IFERROR(__xludf.DUMMYFUNCTION("""COMPUTED_VALUE"""),98.0)</f>
        <v>98</v>
      </c>
      <c r="H136" s="1">
        <f>IFERROR(__xludf.DUMMYFUNCTION("""COMPUTED_VALUE"""),88.0)</f>
        <v>88</v>
      </c>
      <c r="I136" s="1">
        <f>IFERROR(__xludf.DUMMYFUNCTION("""COMPUTED_VALUE"""),63.0)</f>
        <v>63</v>
      </c>
      <c r="J136" s="1">
        <f>IFERROR(__xludf.DUMMYFUNCTION("""COMPUTED_VALUE"""),64.0)</f>
        <v>64</v>
      </c>
      <c r="K136" s="1">
        <f>IFERROR(__xludf.DUMMYFUNCTION("""COMPUTED_VALUE"""),49.0)</f>
        <v>49</v>
      </c>
      <c r="L136" s="1">
        <f>IFERROR(__xludf.DUMMYFUNCTION("""COMPUTED_VALUE"""),362.0)</f>
        <v>362</v>
      </c>
      <c r="M136" s="1">
        <f>IFERROR(__xludf.DUMMYFUNCTION("""COMPUTED_VALUE"""),72.4)</f>
        <v>72.4</v>
      </c>
      <c r="N136" s="1">
        <f>IFERROR(__xludf.DUMMYFUNCTION("""COMPUTED_VALUE"""),92.0)</f>
        <v>92</v>
      </c>
      <c r="O136" s="1" t="str">
        <f>IFERROR(__xludf.DUMMYFUNCTION("""COMPUTED_VALUE"""),"Pass")</f>
        <v>Pass</v>
      </c>
    </row>
    <row r="137" ht="15.75" customHeight="1">
      <c r="A137" s="1" t="str">
        <f>IFERROR(__xludf.DUMMYFUNCTION("""COMPUTED_VALUE"""),"STD-1495")</f>
        <v>STD-1495</v>
      </c>
      <c r="B137" s="1" t="str">
        <f>IFERROR(__xludf.DUMMYFUNCTION("""COMPUTED_VALUE"""),"Sneha Yadav")</f>
        <v>Sneha Yadav</v>
      </c>
      <c r="C137" s="1" t="str">
        <f>IFERROR(__xludf.DUMMYFUNCTION("""COMPUTED_VALUE"""),"Male")</f>
        <v>Male</v>
      </c>
      <c r="D137" s="1" t="str">
        <f>IFERROR(__xludf.DUMMYFUNCTION("""COMPUTED_VALUE"""),"9")</f>
        <v>9</v>
      </c>
      <c r="E137" s="1" t="str">
        <f>IFERROR(__xludf.DUMMYFUNCTION("""COMPUTED_VALUE"""),"B")</f>
        <v>B</v>
      </c>
      <c r="F137" s="1" t="str">
        <f>IFERROR(__xludf.DUMMYFUNCTION("""COMPUTED_VALUE"""),"Jaipur")</f>
        <v>Jaipur</v>
      </c>
      <c r="G137" s="1">
        <f>IFERROR(__xludf.DUMMYFUNCTION("""COMPUTED_VALUE"""),92.0)</f>
        <v>92</v>
      </c>
      <c r="H137" s="1">
        <f>IFERROR(__xludf.DUMMYFUNCTION("""COMPUTED_VALUE"""),80.0)</f>
        <v>80</v>
      </c>
      <c r="I137" s="1">
        <f>IFERROR(__xludf.DUMMYFUNCTION("""COMPUTED_VALUE"""),71.0)</f>
        <v>71</v>
      </c>
      <c r="J137" s="1">
        <f>IFERROR(__xludf.DUMMYFUNCTION("""COMPUTED_VALUE"""),85.0)</f>
        <v>85</v>
      </c>
      <c r="K137" s="1">
        <f>IFERROR(__xludf.DUMMYFUNCTION("""COMPUTED_VALUE"""),46.0)</f>
        <v>46</v>
      </c>
      <c r="L137" s="1">
        <f>IFERROR(__xludf.DUMMYFUNCTION("""COMPUTED_VALUE"""),374.0)</f>
        <v>374</v>
      </c>
      <c r="M137" s="1">
        <f>IFERROR(__xludf.DUMMYFUNCTION("""COMPUTED_VALUE"""),74.8)</f>
        <v>74.8</v>
      </c>
      <c r="N137" s="1">
        <f>IFERROR(__xludf.DUMMYFUNCTION("""COMPUTED_VALUE"""),98.0)</f>
        <v>98</v>
      </c>
      <c r="O137" s="1" t="str">
        <f>IFERROR(__xludf.DUMMYFUNCTION("""COMPUTED_VALUE"""),"Pass")</f>
        <v>Pass</v>
      </c>
    </row>
    <row r="138" ht="15.75" customHeight="1">
      <c r="A138" s="1" t="str">
        <f>IFERROR(__xludf.DUMMYFUNCTION("""COMPUTED_VALUE"""),"STD-1496")</f>
        <v>STD-1496</v>
      </c>
      <c r="B138" s="1" t="str">
        <f>IFERROR(__xludf.DUMMYFUNCTION("""COMPUTED_VALUE"""),"Ritika Gupta")</f>
        <v>Ritika Gupta</v>
      </c>
      <c r="C138" s="1" t="str">
        <f>IFERROR(__xludf.DUMMYFUNCTION("""COMPUTED_VALUE"""),"Male")</f>
        <v>Male</v>
      </c>
      <c r="D138" s="1" t="str">
        <f>IFERROR(__xludf.DUMMYFUNCTION("""COMPUTED_VALUE"""),"7")</f>
        <v>7</v>
      </c>
      <c r="E138" s="1" t="str">
        <f>IFERROR(__xludf.DUMMYFUNCTION("""COMPUTED_VALUE"""),"A")</f>
        <v>A</v>
      </c>
      <c r="F138" s="1" t="str">
        <f>IFERROR(__xludf.DUMMYFUNCTION("""COMPUTED_VALUE"""),"Patna")</f>
        <v>Patna</v>
      </c>
      <c r="G138" s="1">
        <f>IFERROR(__xludf.DUMMYFUNCTION("""COMPUTED_VALUE"""),69.0)</f>
        <v>69</v>
      </c>
      <c r="H138" s="1">
        <f>IFERROR(__xludf.DUMMYFUNCTION("""COMPUTED_VALUE"""),80.0)</f>
        <v>80</v>
      </c>
      <c r="I138" s="1">
        <f>IFERROR(__xludf.DUMMYFUNCTION("""COMPUTED_VALUE"""),96.0)</f>
        <v>96</v>
      </c>
      <c r="J138" s="1">
        <f>IFERROR(__xludf.DUMMYFUNCTION("""COMPUTED_VALUE"""),76.0)</f>
        <v>76</v>
      </c>
      <c r="K138" s="1">
        <f>IFERROR(__xludf.DUMMYFUNCTION("""COMPUTED_VALUE"""),50.0)</f>
        <v>50</v>
      </c>
      <c r="L138" s="1">
        <f>IFERROR(__xludf.DUMMYFUNCTION("""COMPUTED_VALUE"""),371.0)</f>
        <v>371</v>
      </c>
      <c r="M138" s="1">
        <f>IFERROR(__xludf.DUMMYFUNCTION("""COMPUTED_VALUE"""),74.2)</f>
        <v>74.2</v>
      </c>
      <c r="N138" s="1">
        <f>IFERROR(__xludf.DUMMYFUNCTION("""COMPUTED_VALUE"""),92.0)</f>
        <v>92</v>
      </c>
      <c r="O138" s="1" t="str">
        <f>IFERROR(__xludf.DUMMYFUNCTION("""COMPUTED_VALUE"""),"Pass")</f>
        <v>Pass</v>
      </c>
    </row>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6" width="14.43"/>
  </cols>
  <sheetData>
    <row r="1">
      <c r="A1" s="2" t="str">
        <f t="array" ref="A1">'Questions Answers'!A7</f>
        <v>6. Count students who are Female and studying in Class 10.</v>
      </c>
      <c r="B1" s="2"/>
      <c r="C1" s="2"/>
      <c r="D1" s="2"/>
      <c r="E1" s="2"/>
    </row>
    <row r="3">
      <c r="A3" s="1" t="s">
        <v>809</v>
      </c>
      <c r="B3" s="1">
        <f>COUNTIFS(Student_Data!C:C, "Female", Student_Data!D:D, 10)</f>
        <v>59</v>
      </c>
    </row>
    <row r="4">
      <c r="A4" s="1" t="s">
        <v>0</v>
      </c>
      <c r="B4" s="1" t="s">
        <v>1</v>
      </c>
      <c r="C4" s="1" t="s">
        <v>2</v>
      </c>
      <c r="D4" s="1" t="s">
        <v>3</v>
      </c>
      <c r="E4" s="1" t="s">
        <v>4</v>
      </c>
      <c r="F4" s="1" t="s">
        <v>5</v>
      </c>
      <c r="G4" s="1" t="s">
        <v>6</v>
      </c>
      <c r="H4" s="1" t="s">
        <v>7</v>
      </c>
      <c r="I4" s="1" t="s">
        <v>8</v>
      </c>
      <c r="J4" s="1" t="s">
        <v>9</v>
      </c>
      <c r="K4" s="1" t="s">
        <v>10</v>
      </c>
      <c r="L4" s="1" t="s">
        <v>11</v>
      </c>
      <c r="M4" s="1" t="s">
        <v>12</v>
      </c>
      <c r="N4" s="1" t="s">
        <v>13</v>
      </c>
      <c r="O4" s="1" t="s">
        <v>14</v>
      </c>
    </row>
    <row r="5">
      <c r="A5" s="1" t="str">
        <f>IFERROR(__xludf.DUMMYFUNCTION("IFERROR(FILTER(Student_Data!A2:O1000, Student_Data!C2:C1000=""Female"", Student_Data!D2:D1000&amp;""""=""10""), ""No Data Found"")"),"STD-1010")</f>
        <v>STD-1010</v>
      </c>
      <c r="B5" s="1" t="str">
        <f>IFERROR(__xludf.DUMMYFUNCTION("""COMPUTED_VALUE"""),"Ananya Banerjee")</f>
        <v>Ananya Banerjee</v>
      </c>
      <c r="C5" s="1" t="str">
        <f>IFERROR(__xludf.DUMMYFUNCTION("""COMPUTED_VALUE"""),"Female")</f>
        <v>Female</v>
      </c>
      <c r="D5" s="1" t="str">
        <f>IFERROR(__xludf.DUMMYFUNCTION("""COMPUTED_VALUE"""),"10")</f>
        <v>10</v>
      </c>
      <c r="E5" s="1" t="str">
        <f>IFERROR(__xludf.DUMMYFUNCTION("""COMPUTED_VALUE"""),"A")</f>
        <v>A</v>
      </c>
      <c r="F5" s="1" t="str">
        <f>IFERROR(__xludf.DUMMYFUNCTION("""COMPUTED_VALUE"""),"Kolkata")</f>
        <v>Kolkata</v>
      </c>
      <c r="G5" s="1">
        <f>IFERROR(__xludf.DUMMYFUNCTION("""COMPUTED_VALUE"""),74.0)</f>
        <v>74</v>
      </c>
      <c r="H5" s="1">
        <f>IFERROR(__xludf.DUMMYFUNCTION("""COMPUTED_VALUE"""),63.0)</f>
        <v>63</v>
      </c>
      <c r="I5" s="1">
        <f>IFERROR(__xludf.DUMMYFUNCTION("""COMPUTED_VALUE"""),66.0)</f>
        <v>66</v>
      </c>
      <c r="J5" s="1">
        <f>IFERROR(__xludf.DUMMYFUNCTION("""COMPUTED_VALUE"""),60.0)</f>
        <v>60</v>
      </c>
      <c r="K5" s="1">
        <f>IFERROR(__xludf.DUMMYFUNCTION("""COMPUTED_VALUE"""),90.0)</f>
        <v>90</v>
      </c>
      <c r="L5" s="1">
        <f>IFERROR(__xludf.DUMMYFUNCTION("""COMPUTED_VALUE"""),353.0)</f>
        <v>353</v>
      </c>
      <c r="M5" s="1">
        <f>IFERROR(__xludf.DUMMYFUNCTION("""COMPUTED_VALUE"""),70.6)</f>
        <v>70.6</v>
      </c>
      <c r="N5" s="1">
        <f>IFERROR(__xludf.DUMMYFUNCTION("""COMPUTED_VALUE"""),88.0)</f>
        <v>88</v>
      </c>
      <c r="O5" s="1" t="str">
        <f>IFERROR(__xludf.DUMMYFUNCTION("""COMPUTED_VALUE"""),"Pass")</f>
        <v>Pass</v>
      </c>
    </row>
    <row r="6">
      <c r="A6" s="1" t="str">
        <f>IFERROR(__xludf.DUMMYFUNCTION("""COMPUTED_VALUE"""),"STD-1035")</f>
        <v>STD-1035</v>
      </c>
      <c r="B6" s="1" t="str">
        <f>IFERROR(__xludf.DUMMYFUNCTION("""COMPUTED_VALUE"""),"Kavya Kulkarni")</f>
        <v>Kavya Kulkarni</v>
      </c>
      <c r="C6" s="1" t="str">
        <f>IFERROR(__xludf.DUMMYFUNCTION("""COMPUTED_VALUE"""),"Female")</f>
        <v>Female</v>
      </c>
      <c r="D6" s="1" t="str">
        <f>IFERROR(__xludf.DUMMYFUNCTION("""COMPUTED_VALUE"""),"10")</f>
        <v>10</v>
      </c>
      <c r="E6" s="1" t="str">
        <f>IFERROR(__xludf.DUMMYFUNCTION("""COMPUTED_VALUE"""),"B")</f>
        <v>B</v>
      </c>
      <c r="F6" s="1" t="str">
        <f>IFERROR(__xludf.DUMMYFUNCTION("""COMPUTED_VALUE"""),"Lucknow")</f>
        <v>Lucknow</v>
      </c>
      <c r="G6" s="1">
        <f>IFERROR(__xludf.DUMMYFUNCTION("""COMPUTED_VALUE"""),54.0)</f>
        <v>54</v>
      </c>
      <c r="H6" s="1">
        <f>IFERROR(__xludf.DUMMYFUNCTION("""COMPUTED_VALUE"""),58.0)</f>
        <v>58</v>
      </c>
      <c r="I6" s="1">
        <f>IFERROR(__xludf.DUMMYFUNCTION("""COMPUTED_VALUE"""),43.0)</f>
        <v>43</v>
      </c>
      <c r="J6" s="1">
        <f>IFERROR(__xludf.DUMMYFUNCTION("""COMPUTED_VALUE"""),100.0)</f>
        <v>100</v>
      </c>
      <c r="K6" s="1">
        <f>IFERROR(__xludf.DUMMYFUNCTION("""COMPUTED_VALUE"""),48.0)</f>
        <v>48</v>
      </c>
      <c r="L6" s="1">
        <f>IFERROR(__xludf.DUMMYFUNCTION("""COMPUTED_VALUE"""),303.0)</f>
        <v>303</v>
      </c>
      <c r="M6" s="1">
        <f>IFERROR(__xludf.DUMMYFUNCTION("""COMPUTED_VALUE"""),60.6)</f>
        <v>60.6</v>
      </c>
      <c r="N6" s="1">
        <f>IFERROR(__xludf.DUMMYFUNCTION("""COMPUTED_VALUE"""),66.0)</f>
        <v>66</v>
      </c>
      <c r="O6" s="1" t="str">
        <f>IFERROR(__xludf.DUMMYFUNCTION("""COMPUTED_VALUE"""),"Pass")</f>
        <v>Pass</v>
      </c>
    </row>
    <row r="7">
      <c r="A7" s="1" t="str">
        <f>IFERROR(__xludf.DUMMYFUNCTION("""COMPUTED_VALUE"""),"STD-1036")</f>
        <v>STD-1036</v>
      </c>
      <c r="B7" s="1" t="str">
        <f>IFERROR(__xludf.DUMMYFUNCTION("""COMPUTED_VALUE"""),"Aditya Reddy")</f>
        <v>Aditya Reddy</v>
      </c>
      <c r="C7" s="1" t="str">
        <f>IFERROR(__xludf.DUMMYFUNCTION("""COMPUTED_VALUE"""),"Female")</f>
        <v>Female</v>
      </c>
      <c r="D7" s="1" t="str">
        <f>IFERROR(__xludf.DUMMYFUNCTION("""COMPUTED_VALUE"""),"10")</f>
        <v>10</v>
      </c>
      <c r="E7" s="1" t="str">
        <f>IFERROR(__xludf.DUMMYFUNCTION("""COMPUTED_VALUE"""),"B")</f>
        <v>B</v>
      </c>
      <c r="F7" s="1" t="str">
        <f>IFERROR(__xludf.DUMMYFUNCTION("""COMPUTED_VALUE"""),"Chandigarh")</f>
        <v>Chandigarh</v>
      </c>
      <c r="G7" s="1">
        <f>IFERROR(__xludf.DUMMYFUNCTION("""COMPUTED_VALUE"""),64.0)</f>
        <v>64</v>
      </c>
      <c r="H7" s="1">
        <f>IFERROR(__xludf.DUMMYFUNCTION("""COMPUTED_VALUE"""),84.0)</f>
        <v>84</v>
      </c>
      <c r="I7" s="1">
        <f>IFERROR(__xludf.DUMMYFUNCTION("""COMPUTED_VALUE"""),48.0)</f>
        <v>48</v>
      </c>
      <c r="J7" s="1">
        <f>IFERROR(__xludf.DUMMYFUNCTION("""COMPUTED_VALUE"""),70.0)</f>
        <v>70</v>
      </c>
      <c r="K7" s="1">
        <f>IFERROR(__xludf.DUMMYFUNCTION("""COMPUTED_VALUE"""),100.0)</f>
        <v>100</v>
      </c>
      <c r="L7" s="1">
        <f>IFERROR(__xludf.DUMMYFUNCTION("""COMPUTED_VALUE"""),366.0)</f>
        <v>366</v>
      </c>
      <c r="M7" s="1">
        <f>IFERROR(__xludf.DUMMYFUNCTION("""COMPUTED_VALUE"""),73.2)</f>
        <v>73.2</v>
      </c>
      <c r="N7" s="1">
        <f>IFERROR(__xludf.DUMMYFUNCTION("""COMPUTED_VALUE"""),77.0)</f>
        <v>77</v>
      </c>
      <c r="O7" s="1" t="str">
        <f>IFERROR(__xludf.DUMMYFUNCTION("""COMPUTED_VALUE"""),"Pass")</f>
        <v>Pass</v>
      </c>
    </row>
    <row r="8">
      <c r="A8" s="1" t="str">
        <f>IFERROR(__xludf.DUMMYFUNCTION("""COMPUTED_VALUE"""),"STD-1066")</f>
        <v>STD-1066</v>
      </c>
      <c r="B8" s="1" t="str">
        <f>IFERROR(__xludf.DUMMYFUNCTION("""COMPUTED_VALUE"""),"Kavya Yadav")</f>
        <v>Kavya Yadav</v>
      </c>
      <c r="C8" s="1" t="str">
        <f>IFERROR(__xludf.DUMMYFUNCTION("""COMPUTED_VALUE"""),"Female")</f>
        <v>Female</v>
      </c>
      <c r="D8" s="1" t="str">
        <f>IFERROR(__xludf.DUMMYFUNCTION("""COMPUTED_VALUE"""),"10")</f>
        <v>10</v>
      </c>
      <c r="E8" s="1" t="str">
        <f>IFERROR(__xludf.DUMMYFUNCTION("""COMPUTED_VALUE"""),"B")</f>
        <v>B</v>
      </c>
      <c r="F8" s="1" t="str">
        <f>IFERROR(__xludf.DUMMYFUNCTION("""COMPUTED_VALUE"""),"Jaipur")</f>
        <v>Jaipur</v>
      </c>
      <c r="G8" s="1">
        <f>IFERROR(__xludf.DUMMYFUNCTION("""COMPUTED_VALUE"""),88.0)</f>
        <v>88</v>
      </c>
      <c r="H8" s="1">
        <f>IFERROR(__xludf.DUMMYFUNCTION("""COMPUTED_VALUE"""),75.0)</f>
        <v>75</v>
      </c>
      <c r="I8" s="1">
        <f>IFERROR(__xludf.DUMMYFUNCTION("""COMPUTED_VALUE"""),77.0)</f>
        <v>77</v>
      </c>
      <c r="J8" s="1">
        <f>IFERROR(__xludf.DUMMYFUNCTION("""COMPUTED_VALUE"""),41.0)</f>
        <v>41</v>
      </c>
      <c r="K8" s="1">
        <f>IFERROR(__xludf.DUMMYFUNCTION("""COMPUTED_VALUE"""),84.0)</f>
        <v>84</v>
      </c>
      <c r="L8" s="1">
        <f>IFERROR(__xludf.DUMMYFUNCTION("""COMPUTED_VALUE"""),365.0)</f>
        <v>365</v>
      </c>
      <c r="M8" s="1">
        <f>IFERROR(__xludf.DUMMYFUNCTION("""COMPUTED_VALUE"""),73.0)</f>
        <v>73</v>
      </c>
      <c r="N8" s="1">
        <f>IFERROR(__xludf.DUMMYFUNCTION("""COMPUTED_VALUE"""),61.0)</f>
        <v>61</v>
      </c>
      <c r="O8" s="1" t="str">
        <f>IFERROR(__xludf.DUMMYFUNCTION("""COMPUTED_VALUE"""),"Pass")</f>
        <v>Pass</v>
      </c>
    </row>
    <row r="9">
      <c r="A9" s="1" t="str">
        <f>IFERROR(__xludf.DUMMYFUNCTION("""COMPUTED_VALUE"""),"STD-1072")</f>
        <v>STD-1072</v>
      </c>
      <c r="B9" s="1" t="str">
        <f>IFERROR(__xludf.DUMMYFUNCTION("""COMPUTED_VALUE"""),"Arjun Iyer")</f>
        <v>Arjun Iyer</v>
      </c>
      <c r="C9" s="1" t="str">
        <f>IFERROR(__xludf.DUMMYFUNCTION("""COMPUTED_VALUE"""),"Female")</f>
        <v>Female</v>
      </c>
      <c r="D9" s="1" t="str">
        <f>IFERROR(__xludf.DUMMYFUNCTION("""COMPUTED_VALUE"""),"10")</f>
        <v>10</v>
      </c>
      <c r="E9" s="1" t="str">
        <f>IFERROR(__xludf.DUMMYFUNCTION("""COMPUTED_VALUE"""),"B")</f>
        <v>B</v>
      </c>
      <c r="F9" s="1" t="str">
        <f>IFERROR(__xludf.DUMMYFUNCTION("""COMPUTED_VALUE"""),"Delhi")</f>
        <v>Delhi</v>
      </c>
      <c r="G9" s="1">
        <f>IFERROR(__xludf.DUMMYFUNCTION("""COMPUTED_VALUE"""),73.0)</f>
        <v>73</v>
      </c>
      <c r="H9" s="1">
        <f>IFERROR(__xludf.DUMMYFUNCTION("""COMPUTED_VALUE"""),87.0)</f>
        <v>87</v>
      </c>
      <c r="I9" s="1">
        <f>IFERROR(__xludf.DUMMYFUNCTION("""COMPUTED_VALUE"""),70.0)</f>
        <v>70</v>
      </c>
      <c r="J9" s="1">
        <f>IFERROR(__xludf.DUMMYFUNCTION("""COMPUTED_VALUE"""),71.0)</f>
        <v>71</v>
      </c>
      <c r="K9" s="1">
        <f>IFERROR(__xludf.DUMMYFUNCTION("""COMPUTED_VALUE"""),42.0)</f>
        <v>42</v>
      </c>
      <c r="L9" s="1">
        <f>IFERROR(__xludf.DUMMYFUNCTION("""COMPUTED_VALUE"""),343.0)</f>
        <v>343</v>
      </c>
      <c r="M9" s="1">
        <f>IFERROR(__xludf.DUMMYFUNCTION("""COMPUTED_VALUE"""),68.6)</f>
        <v>68.6</v>
      </c>
      <c r="N9" s="1">
        <f>IFERROR(__xludf.DUMMYFUNCTION("""COMPUTED_VALUE"""),73.0)</f>
        <v>73</v>
      </c>
      <c r="O9" s="1" t="str">
        <f>IFERROR(__xludf.DUMMYFUNCTION("""COMPUTED_VALUE"""),"Pass")</f>
        <v>Pass</v>
      </c>
    </row>
    <row r="10">
      <c r="A10" s="1" t="str">
        <f>IFERROR(__xludf.DUMMYFUNCTION("""COMPUTED_VALUE"""),"STD-1073")</f>
        <v>STD-1073</v>
      </c>
      <c r="B10" s="1" t="str">
        <f>IFERROR(__xludf.DUMMYFUNCTION("""COMPUTED_VALUE"""),"Neha Patel")</f>
        <v>Neha Patel</v>
      </c>
      <c r="C10" s="1" t="str">
        <f>IFERROR(__xludf.DUMMYFUNCTION("""COMPUTED_VALUE"""),"Female")</f>
        <v>Female</v>
      </c>
      <c r="D10" s="1" t="str">
        <f>IFERROR(__xludf.DUMMYFUNCTION("""COMPUTED_VALUE"""),"10")</f>
        <v>10</v>
      </c>
      <c r="E10" s="1" t="str">
        <f>IFERROR(__xludf.DUMMYFUNCTION("""COMPUTED_VALUE"""),"C")</f>
        <v>C</v>
      </c>
      <c r="F10" s="1" t="str">
        <f>IFERROR(__xludf.DUMMYFUNCTION("""COMPUTED_VALUE"""),"Mumbai")</f>
        <v>Mumbai</v>
      </c>
      <c r="G10" s="1">
        <f>IFERROR(__xludf.DUMMYFUNCTION("""COMPUTED_VALUE"""),87.0)</f>
        <v>87</v>
      </c>
      <c r="H10" s="1">
        <f>IFERROR(__xludf.DUMMYFUNCTION("""COMPUTED_VALUE"""),60.0)</f>
        <v>60</v>
      </c>
      <c r="I10" s="1">
        <f>IFERROR(__xludf.DUMMYFUNCTION("""COMPUTED_VALUE"""),71.0)</f>
        <v>71</v>
      </c>
      <c r="J10" s="1">
        <f>IFERROR(__xludf.DUMMYFUNCTION("""COMPUTED_VALUE"""),91.0)</f>
        <v>91</v>
      </c>
      <c r="K10" s="1">
        <f>IFERROR(__xludf.DUMMYFUNCTION("""COMPUTED_VALUE"""),42.0)</f>
        <v>42</v>
      </c>
      <c r="L10" s="1">
        <f>IFERROR(__xludf.DUMMYFUNCTION("""COMPUTED_VALUE"""),351.0)</f>
        <v>351</v>
      </c>
      <c r="M10" s="1">
        <f>IFERROR(__xludf.DUMMYFUNCTION("""COMPUTED_VALUE"""),70.2)</f>
        <v>70.2</v>
      </c>
      <c r="N10" s="1">
        <f>IFERROR(__xludf.DUMMYFUNCTION("""COMPUTED_VALUE"""),79.0)</f>
        <v>79</v>
      </c>
      <c r="O10" s="1" t="str">
        <f>IFERROR(__xludf.DUMMYFUNCTION("""COMPUTED_VALUE"""),"Pass")</f>
        <v>Pass</v>
      </c>
    </row>
    <row r="11">
      <c r="A11" s="1" t="str">
        <f>IFERROR(__xludf.DUMMYFUNCTION("""COMPUTED_VALUE"""),"STD-1078")</f>
        <v>STD-1078</v>
      </c>
      <c r="B11" s="1" t="str">
        <f>IFERROR(__xludf.DUMMYFUNCTION("""COMPUTED_VALUE"""),"Kavya Reddy")</f>
        <v>Kavya Reddy</v>
      </c>
      <c r="C11" s="1" t="str">
        <f>IFERROR(__xludf.DUMMYFUNCTION("""COMPUTED_VALUE"""),"Female")</f>
        <v>Female</v>
      </c>
      <c r="D11" s="1" t="str">
        <f>IFERROR(__xludf.DUMMYFUNCTION("""COMPUTED_VALUE"""),"10")</f>
        <v>10</v>
      </c>
      <c r="E11" s="1" t="str">
        <f>IFERROR(__xludf.DUMMYFUNCTION("""COMPUTED_VALUE"""),"A")</f>
        <v>A</v>
      </c>
      <c r="F11" s="1" t="str">
        <f>IFERROR(__xludf.DUMMYFUNCTION("""COMPUTED_VALUE"""),"Lucknow")</f>
        <v>Lucknow</v>
      </c>
      <c r="G11" s="1">
        <f>IFERROR(__xludf.DUMMYFUNCTION("""COMPUTED_VALUE"""),84.0)</f>
        <v>84</v>
      </c>
      <c r="H11" s="1">
        <f>IFERROR(__xludf.DUMMYFUNCTION("""COMPUTED_VALUE"""),91.0)</f>
        <v>91</v>
      </c>
      <c r="I11" s="1">
        <f>IFERROR(__xludf.DUMMYFUNCTION("""COMPUTED_VALUE"""),96.0)</f>
        <v>96</v>
      </c>
      <c r="J11" s="1">
        <f>IFERROR(__xludf.DUMMYFUNCTION("""COMPUTED_VALUE"""),54.0)</f>
        <v>54</v>
      </c>
      <c r="K11" s="1">
        <f>IFERROR(__xludf.DUMMYFUNCTION("""COMPUTED_VALUE"""),89.0)</f>
        <v>89</v>
      </c>
      <c r="L11" s="1">
        <f>IFERROR(__xludf.DUMMYFUNCTION("""COMPUTED_VALUE"""),414.0)</f>
        <v>414</v>
      </c>
      <c r="M11" s="1">
        <f>IFERROR(__xludf.DUMMYFUNCTION("""COMPUTED_VALUE"""),82.8)</f>
        <v>82.8</v>
      </c>
      <c r="N11" s="1">
        <f>IFERROR(__xludf.DUMMYFUNCTION("""COMPUTED_VALUE"""),71.0)</f>
        <v>71</v>
      </c>
      <c r="O11" s="1" t="str">
        <f>IFERROR(__xludf.DUMMYFUNCTION("""COMPUTED_VALUE"""),"Pass")</f>
        <v>Pass</v>
      </c>
    </row>
    <row r="12">
      <c r="A12" s="1" t="str">
        <f>IFERROR(__xludf.DUMMYFUNCTION("""COMPUTED_VALUE"""),"STD-1094")</f>
        <v>STD-1094</v>
      </c>
      <c r="B12" s="1" t="str">
        <f>IFERROR(__xludf.DUMMYFUNCTION("""COMPUTED_VALUE"""),"Rohan Nair")</f>
        <v>Rohan Nair</v>
      </c>
      <c r="C12" s="1" t="str">
        <f>IFERROR(__xludf.DUMMYFUNCTION("""COMPUTED_VALUE"""),"Female")</f>
        <v>Female</v>
      </c>
      <c r="D12" s="1" t="str">
        <f>IFERROR(__xludf.DUMMYFUNCTION("""COMPUTED_VALUE"""),"10")</f>
        <v>10</v>
      </c>
      <c r="E12" s="1" t="str">
        <f>IFERROR(__xludf.DUMMYFUNCTION("""COMPUTED_VALUE"""),"A")</f>
        <v>A</v>
      </c>
      <c r="F12" s="1" t="str">
        <f>IFERROR(__xludf.DUMMYFUNCTION("""COMPUTED_VALUE"""),"Patna")</f>
        <v>Patna</v>
      </c>
      <c r="G12" s="1">
        <f>IFERROR(__xludf.DUMMYFUNCTION("""COMPUTED_VALUE"""),47.0)</f>
        <v>47</v>
      </c>
      <c r="H12" s="1">
        <f>IFERROR(__xludf.DUMMYFUNCTION("""COMPUTED_VALUE"""),68.0)</f>
        <v>68</v>
      </c>
      <c r="I12" s="1">
        <f>IFERROR(__xludf.DUMMYFUNCTION("""COMPUTED_VALUE"""),100.0)</f>
        <v>100</v>
      </c>
      <c r="J12" s="1">
        <f>IFERROR(__xludf.DUMMYFUNCTION("""COMPUTED_VALUE"""),91.0)</f>
        <v>91</v>
      </c>
      <c r="K12" s="1">
        <f>IFERROR(__xludf.DUMMYFUNCTION("""COMPUTED_VALUE"""),43.0)</f>
        <v>43</v>
      </c>
      <c r="L12" s="1">
        <f>IFERROR(__xludf.DUMMYFUNCTION("""COMPUTED_VALUE"""),349.0)</f>
        <v>349</v>
      </c>
      <c r="M12" s="1">
        <f>IFERROR(__xludf.DUMMYFUNCTION("""COMPUTED_VALUE"""),69.8)</f>
        <v>69.8</v>
      </c>
      <c r="N12" s="1">
        <f>IFERROR(__xludf.DUMMYFUNCTION("""COMPUTED_VALUE"""),93.0)</f>
        <v>93</v>
      </c>
      <c r="O12" s="1" t="str">
        <f>IFERROR(__xludf.DUMMYFUNCTION("""COMPUTED_VALUE"""),"Pass")</f>
        <v>Pass</v>
      </c>
    </row>
    <row r="13">
      <c r="A13" s="1" t="str">
        <f>IFERROR(__xludf.DUMMYFUNCTION("""COMPUTED_VALUE"""),"STD-1107")</f>
        <v>STD-1107</v>
      </c>
      <c r="B13" s="1" t="str">
        <f>IFERROR(__xludf.DUMMYFUNCTION("""COMPUTED_VALUE"""),"Vivaan Reddy")</f>
        <v>Vivaan Reddy</v>
      </c>
      <c r="C13" s="1" t="str">
        <f>IFERROR(__xludf.DUMMYFUNCTION("""COMPUTED_VALUE"""),"Female")</f>
        <v>Female</v>
      </c>
      <c r="D13" s="1" t="str">
        <f>IFERROR(__xludf.DUMMYFUNCTION("""COMPUTED_VALUE"""),"10")</f>
        <v>10</v>
      </c>
      <c r="E13" s="1" t="str">
        <f>IFERROR(__xludf.DUMMYFUNCTION("""COMPUTED_VALUE"""),"B")</f>
        <v>B</v>
      </c>
      <c r="F13" s="1" t="str">
        <f>IFERROR(__xludf.DUMMYFUNCTION("""COMPUTED_VALUE"""),"Chandigarh")</f>
        <v>Chandigarh</v>
      </c>
      <c r="G13" s="1">
        <f>IFERROR(__xludf.DUMMYFUNCTION("""COMPUTED_VALUE"""),93.0)</f>
        <v>93</v>
      </c>
      <c r="H13" s="1">
        <f>IFERROR(__xludf.DUMMYFUNCTION("""COMPUTED_VALUE"""),68.0)</f>
        <v>68</v>
      </c>
      <c r="I13" s="1">
        <f>IFERROR(__xludf.DUMMYFUNCTION("""COMPUTED_VALUE"""),70.0)</f>
        <v>70</v>
      </c>
      <c r="J13" s="1">
        <f>IFERROR(__xludf.DUMMYFUNCTION("""COMPUTED_VALUE"""),67.0)</f>
        <v>67</v>
      </c>
      <c r="K13" s="1">
        <f>IFERROR(__xludf.DUMMYFUNCTION("""COMPUTED_VALUE"""),96.0)</f>
        <v>96</v>
      </c>
      <c r="L13" s="1">
        <f>IFERROR(__xludf.DUMMYFUNCTION("""COMPUTED_VALUE"""),394.0)</f>
        <v>394</v>
      </c>
      <c r="M13" s="1">
        <f>IFERROR(__xludf.DUMMYFUNCTION("""COMPUTED_VALUE"""),78.8)</f>
        <v>78.8</v>
      </c>
      <c r="N13" s="1">
        <f>IFERROR(__xludf.DUMMYFUNCTION("""COMPUTED_VALUE"""),71.0)</f>
        <v>71</v>
      </c>
      <c r="O13" s="1" t="str">
        <f>IFERROR(__xludf.DUMMYFUNCTION("""COMPUTED_VALUE"""),"Pass")</f>
        <v>Pass</v>
      </c>
    </row>
    <row r="14">
      <c r="A14" s="1" t="str">
        <f>IFERROR(__xludf.DUMMYFUNCTION("""COMPUTED_VALUE"""),"STD-1123")</f>
        <v>STD-1123</v>
      </c>
      <c r="B14" s="1" t="str">
        <f>IFERROR(__xludf.DUMMYFUNCTION("""COMPUTED_VALUE"""),"Arjun Kaur")</f>
        <v>Arjun Kaur</v>
      </c>
      <c r="C14" s="1" t="str">
        <f>IFERROR(__xludf.DUMMYFUNCTION("""COMPUTED_VALUE"""),"Female")</f>
        <v>Female</v>
      </c>
      <c r="D14" s="1" t="str">
        <f>IFERROR(__xludf.DUMMYFUNCTION("""COMPUTED_VALUE"""),"10")</f>
        <v>10</v>
      </c>
      <c r="E14" s="1" t="str">
        <f>IFERROR(__xludf.DUMMYFUNCTION("""COMPUTED_VALUE"""),"B")</f>
        <v>B</v>
      </c>
      <c r="F14" s="1" t="str">
        <f>IFERROR(__xludf.DUMMYFUNCTION("""COMPUTED_VALUE"""),"Bhopal")</f>
        <v>Bhopal</v>
      </c>
      <c r="G14" s="1">
        <f>IFERROR(__xludf.DUMMYFUNCTION("""COMPUTED_VALUE"""),71.0)</f>
        <v>71</v>
      </c>
      <c r="H14" s="1">
        <f>IFERROR(__xludf.DUMMYFUNCTION("""COMPUTED_VALUE"""),91.0)</f>
        <v>91</v>
      </c>
      <c r="I14" s="1">
        <f>IFERROR(__xludf.DUMMYFUNCTION("""COMPUTED_VALUE"""),58.0)</f>
        <v>58</v>
      </c>
      <c r="J14" s="1">
        <f>IFERROR(__xludf.DUMMYFUNCTION("""COMPUTED_VALUE"""),91.0)</f>
        <v>91</v>
      </c>
      <c r="K14" s="1">
        <f>IFERROR(__xludf.DUMMYFUNCTION("""COMPUTED_VALUE"""),40.0)</f>
        <v>40</v>
      </c>
      <c r="L14" s="1">
        <f>IFERROR(__xludf.DUMMYFUNCTION("""COMPUTED_VALUE"""),351.0)</f>
        <v>351</v>
      </c>
      <c r="M14" s="1">
        <f>IFERROR(__xludf.DUMMYFUNCTION("""COMPUTED_VALUE"""),70.2)</f>
        <v>70.2</v>
      </c>
      <c r="N14" s="1">
        <f>IFERROR(__xludf.DUMMYFUNCTION("""COMPUTED_VALUE"""),89.0)</f>
        <v>89</v>
      </c>
      <c r="O14" s="1" t="str">
        <f>IFERROR(__xludf.DUMMYFUNCTION("""COMPUTED_VALUE"""),"Pass")</f>
        <v>Pass</v>
      </c>
    </row>
    <row r="15">
      <c r="A15" s="1" t="str">
        <f>IFERROR(__xludf.DUMMYFUNCTION("""COMPUTED_VALUE"""),"STD-1133")</f>
        <v>STD-1133</v>
      </c>
      <c r="B15" s="1" t="str">
        <f>IFERROR(__xludf.DUMMYFUNCTION("""COMPUTED_VALUE"""),"Ananya Yadav")</f>
        <v>Ananya Yadav</v>
      </c>
      <c r="C15" s="1" t="str">
        <f>IFERROR(__xludf.DUMMYFUNCTION("""COMPUTED_VALUE"""),"Female")</f>
        <v>Female</v>
      </c>
      <c r="D15" s="1" t="str">
        <f>IFERROR(__xludf.DUMMYFUNCTION("""COMPUTED_VALUE"""),"10")</f>
        <v>10</v>
      </c>
      <c r="E15" s="1" t="str">
        <f>IFERROR(__xludf.DUMMYFUNCTION("""COMPUTED_VALUE"""),"B")</f>
        <v>B</v>
      </c>
      <c r="F15" s="1" t="str">
        <f>IFERROR(__xludf.DUMMYFUNCTION("""COMPUTED_VALUE"""),"Kolkata")</f>
        <v>Kolkata</v>
      </c>
      <c r="G15" s="1">
        <f>IFERROR(__xludf.DUMMYFUNCTION("""COMPUTED_VALUE"""),85.0)</f>
        <v>85</v>
      </c>
      <c r="H15" s="1">
        <f>IFERROR(__xludf.DUMMYFUNCTION("""COMPUTED_VALUE"""),83.0)</f>
        <v>83</v>
      </c>
      <c r="I15" s="1">
        <f>IFERROR(__xludf.DUMMYFUNCTION("""COMPUTED_VALUE"""),67.0)</f>
        <v>67</v>
      </c>
      <c r="J15" s="1">
        <f>IFERROR(__xludf.DUMMYFUNCTION("""COMPUTED_VALUE"""),87.0)</f>
        <v>87</v>
      </c>
      <c r="K15" s="1">
        <f>IFERROR(__xludf.DUMMYFUNCTION("""COMPUTED_VALUE"""),71.0)</f>
        <v>71</v>
      </c>
      <c r="L15" s="1">
        <f>IFERROR(__xludf.DUMMYFUNCTION("""COMPUTED_VALUE"""),393.0)</f>
        <v>393</v>
      </c>
      <c r="M15" s="1">
        <f>IFERROR(__xludf.DUMMYFUNCTION("""COMPUTED_VALUE"""),78.6)</f>
        <v>78.6</v>
      </c>
      <c r="N15" s="1">
        <f>IFERROR(__xludf.DUMMYFUNCTION("""COMPUTED_VALUE"""),66.0)</f>
        <v>66</v>
      </c>
      <c r="O15" s="1" t="str">
        <f>IFERROR(__xludf.DUMMYFUNCTION("""COMPUTED_VALUE"""),"Pass")</f>
        <v>Pass</v>
      </c>
    </row>
    <row r="16">
      <c r="A16" s="1" t="str">
        <f>IFERROR(__xludf.DUMMYFUNCTION("""COMPUTED_VALUE"""),"STD-1135")</f>
        <v>STD-1135</v>
      </c>
      <c r="B16" s="1" t="str">
        <f>IFERROR(__xludf.DUMMYFUNCTION("""COMPUTED_VALUE"""),"Aditya Choudhary")</f>
        <v>Aditya Choudhary</v>
      </c>
      <c r="C16" s="1" t="str">
        <f>IFERROR(__xludf.DUMMYFUNCTION("""COMPUTED_VALUE"""),"Female")</f>
        <v>Female</v>
      </c>
      <c r="D16" s="1" t="str">
        <f>IFERROR(__xludf.DUMMYFUNCTION("""COMPUTED_VALUE"""),"10")</f>
        <v>10</v>
      </c>
      <c r="E16" s="1" t="str">
        <f>IFERROR(__xludf.DUMMYFUNCTION("""COMPUTED_VALUE"""),"B")</f>
        <v>B</v>
      </c>
      <c r="F16" s="1" t="str">
        <f>IFERROR(__xludf.DUMMYFUNCTION("""COMPUTED_VALUE"""),"Jaipur")</f>
        <v>Jaipur</v>
      </c>
      <c r="G16" s="1">
        <f>IFERROR(__xludf.DUMMYFUNCTION("""COMPUTED_VALUE"""),49.0)</f>
        <v>49</v>
      </c>
      <c r="H16" s="1">
        <f>IFERROR(__xludf.DUMMYFUNCTION("""COMPUTED_VALUE"""),97.0)</f>
        <v>97</v>
      </c>
      <c r="I16" s="1">
        <f>IFERROR(__xludf.DUMMYFUNCTION("""COMPUTED_VALUE"""),63.0)</f>
        <v>63</v>
      </c>
      <c r="J16" s="1">
        <f>IFERROR(__xludf.DUMMYFUNCTION("""COMPUTED_VALUE"""),55.0)</f>
        <v>55</v>
      </c>
      <c r="K16" s="1">
        <f>IFERROR(__xludf.DUMMYFUNCTION("""COMPUTED_VALUE"""),92.0)</f>
        <v>92</v>
      </c>
      <c r="L16" s="1">
        <f>IFERROR(__xludf.DUMMYFUNCTION("""COMPUTED_VALUE"""),356.0)</f>
        <v>356</v>
      </c>
      <c r="M16" s="1">
        <f>IFERROR(__xludf.DUMMYFUNCTION("""COMPUTED_VALUE"""),71.2)</f>
        <v>71.2</v>
      </c>
      <c r="N16" s="1">
        <f>IFERROR(__xludf.DUMMYFUNCTION("""COMPUTED_VALUE"""),61.0)</f>
        <v>61</v>
      </c>
      <c r="O16" s="1" t="str">
        <f>IFERROR(__xludf.DUMMYFUNCTION("""COMPUTED_VALUE"""),"Pass")</f>
        <v>Pass</v>
      </c>
    </row>
    <row r="17">
      <c r="A17" s="1" t="str">
        <f>IFERROR(__xludf.DUMMYFUNCTION("""COMPUTED_VALUE"""),"STD-1147")</f>
        <v>STD-1147</v>
      </c>
      <c r="B17" s="1" t="str">
        <f>IFERROR(__xludf.DUMMYFUNCTION("""COMPUTED_VALUE"""),"Priya Das")</f>
        <v>Priya Das</v>
      </c>
      <c r="C17" s="1" t="str">
        <f>IFERROR(__xludf.DUMMYFUNCTION("""COMPUTED_VALUE"""),"Female")</f>
        <v>Female</v>
      </c>
      <c r="D17" s="1" t="str">
        <f>IFERROR(__xludf.DUMMYFUNCTION("""COMPUTED_VALUE"""),"10")</f>
        <v>10</v>
      </c>
      <c r="E17" s="1" t="str">
        <f>IFERROR(__xludf.DUMMYFUNCTION("""COMPUTED_VALUE"""),"B")</f>
        <v>B</v>
      </c>
      <c r="F17" s="1" t="str">
        <f>IFERROR(__xludf.DUMMYFUNCTION("""COMPUTED_VALUE"""),"Patna")</f>
        <v>Patna</v>
      </c>
      <c r="G17" s="1">
        <f>IFERROR(__xludf.DUMMYFUNCTION("""COMPUTED_VALUE"""),62.0)</f>
        <v>62</v>
      </c>
      <c r="H17" s="1">
        <f>IFERROR(__xludf.DUMMYFUNCTION("""COMPUTED_VALUE"""),64.0)</f>
        <v>64</v>
      </c>
      <c r="I17" s="1">
        <f>IFERROR(__xludf.DUMMYFUNCTION("""COMPUTED_VALUE"""),83.0)</f>
        <v>83</v>
      </c>
      <c r="J17" s="1">
        <f>IFERROR(__xludf.DUMMYFUNCTION("""COMPUTED_VALUE"""),75.0)</f>
        <v>75</v>
      </c>
      <c r="K17" s="1">
        <f>IFERROR(__xludf.DUMMYFUNCTION("""COMPUTED_VALUE"""),57.0)</f>
        <v>57</v>
      </c>
      <c r="L17" s="1">
        <f>IFERROR(__xludf.DUMMYFUNCTION("""COMPUTED_VALUE"""),341.0)</f>
        <v>341</v>
      </c>
      <c r="M17" s="1">
        <f>IFERROR(__xludf.DUMMYFUNCTION("""COMPUTED_VALUE"""),68.2)</f>
        <v>68.2</v>
      </c>
      <c r="N17" s="1">
        <f>IFERROR(__xludf.DUMMYFUNCTION("""COMPUTED_VALUE"""),97.0)</f>
        <v>97</v>
      </c>
      <c r="O17" s="1" t="str">
        <f>IFERROR(__xludf.DUMMYFUNCTION("""COMPUTED_VALUE"""),"Pass")</f>
        <v>Pass</v>
      </c>
    </row>
    <row r="18">
      <c r="A18" s="1" t="str">
        <f>IFERROR(__xludf.DUMMYFUNCTION("""COMPUTED_VALUE"""),"STD-1155")</f>
        <v>STD-1155</v>
      </c>
      <c r="B18" s="1" t="str">
        <f>IFERROR(__xludf.DUMMYFUNCTION("""COMPUTED_VALUE"""),"Tanvi Verma")</f>
        <v>Tanvi Verma</v>
      </c>
      <c r="C18" s="1" t="str">
        <f>IFERROR(__xludf.DUMMYFUNCTION("""COMPUTED_VALUE"""),"Female")</f>
        <v>Female</v>
      </c>
      <c r="D18" s="1" t="str">
        <f>IFERROR(__xludf.DUMMYFUNCTION("""COMPUTED_VALUE"""),"10")</f>
        <v>10</v>
      </c>
      <c r="E18" s="1" t="str">
        <f>IFERROR(__xludf.DUMMYFUNCTION("""COMPUTED_VALUE"""),"C")</f>
        <v>C</v>
      </c>
      <c r="F18" s="1" t="str">
        <f>IFERROR(__xludf.DUMMYFUNCTION("""COMPUTED_VALUE"""),"Lucknow")</f>
        <v>Lucknow</v>
      </c>
      <c r="G18" s="1">
        <f>IFERROR(__xludf.DUMMYFUNCTION("""COMPUTED_VALUE"""),76.0)</f>
        <v>76</v>
      </c>
      <c r="H18" s="1">
        <f>IFERROR(__xludf.DUMMYFUNCTION("""COMPUTED_VALUE"""),57.0)</f>
        <v>57</v>
      </c>
      <c r="I18" s="1">
        <f>IFERROR(__xludf.DUMMYFUNCTION("""COMPUTED_VALUE"""),85.0)</f>
        <v>85</v>
      </c>
      <c r="J18" s="1">
        <f>IFERROR(__xludf.DUMMYFUNCTION("""COMPUTED_VALUE"""),46.0)</f>
        <v>46</v>
      </c>
      <c r="K18" s="1">
        <f>IFERROR(__xludf.DUMMYFUNCTION("""COMPUTED_VALUE"""),84.0)</f>
        <v>84</v>
      </c>
      <c r="L18" s="1">
        <f>IFERROR(__xludf.DUMMYFUNCTION("""COMPUTED_VALUE"""),348.0)</f>
        <v>348</v>
      </c>
      <c r="M18" s="1">
        <f>IFERROR(__xludf.DUMMYFUNCTION("""COMPUTED_VALUE"""),69.6)</f>
        <v>69.6</v>
      </c>
      <c r="N18" s="1">
        <f>IFERROR(__xludf.DUMMYFUNCTION("""COMPUTED_VALUE"""),60.0)</f>
        <v>60</v>
      </c>
      <c r="O18" s="1" t="str">
        <f>IFERROR(__xludf.DUMMYFUNCTION("""COMPUTED_VALUE"""),"Pass")</f>
        <v>Pass</v>
      </c>
    </row>
    <row r="19">
      <c r="A19" s="1" t="str">
        <f>IFERROR(__xludf.DUMMYFUNCTION("""COMPUTED_VALUE"""),"STD-1168")</f>
        <v>STD-1168</v>
      </c>
      <c r="B19" s="1" t="str">
        <f>IFERROR(__xludf.DUMMYFUNCTION("""COMPUTED_VALUE"""),"Aditya Kulkarni")</f>
        <v>Aditya Kulkarni</v>
      </c>
      <c r="C19" s="1" t="str">
        <f>IFERROR(__xludf.DUMMYFUNCTION("""COMPUTED_VALUE"""),"Female")</f>
        <v>Female</v>
      </c>
      <c r="D19" s="1" t="str">
        <f>IFERROR(__xludf.DUMMYFUNCTION("""COMPUTED_VALUE"""),"10")</f>
        <v>10</v>
      </c>
      <c r="E19" s="1" t="str">
        <f>IFERROR(__xludf.DUMMYFUNCTION("""COMPUTED_VALUE"""),"B")</f>
        <v>B</v>
      </c>
      <c r="F19" s="1" t="str">
        <f>IFERROR(__xludf.DUMMYFUNCTION("""COMPUTED_VALUE"""),"Kolkata")</f>
        <v>Kolkata</v>
      </c>
      <c r="G19" s="1">
        <f>IFERROR(__xludf.DUMMYFUNCTION("""COMPUTED_VALUE"""),83.0)</f>
        <v>83</v>
      </c>
      <c r="H19" s="1">
        <f>IFERROR(__xludf.DUMMYFUNCTION("""COMPUTED_VALUE"""),51.0)</f>
        <v>51</v>
      </c>
      <c r="I19" s="1">
        <f>IFERROR(__xludf.DUMMYFUNCTION("""COMPUTED_VALUE"""),71.0)</f>
        <v>71</v>
      </c>
      <c r="J19" s="1">
        <f>IFERROR(__xludf.DUMMYFUNCTION("""COMPUTED_VALUE"""),61.0)</f>
        <v>61</v>
      </c>
      <c r="K19" s="1">
        <f>IFERROR(__xludf.DUMMYFUNCTION("""COMPUTED_VALUE"""),68.0)</f>
        <v>68</v>
      </c>
      <c r="L19" s="1">
        <f>IFERROR(__xludf.DUMMYFUNCTION("""COMPUTED_VALUE"""),334.0)</f>
        <v>334</v>
      </c>
      <c r="M19" s="1">
        <f>IFERROR(__xludf.DUMMYFUNCTION("""COMPUTED_VALUE"""),66.8)</f>
        <v>66.8</v>
      </c>
      <c r="N19" s="1">
        <f>IFERROR(__xludf.DUMMYFUNCTION("""COMPUTED_VALUE"""),92.0)</f>
        <v>92</v>
      </c>
      <c r="O19" s="1" t="str">
        <f>IFERROR(__xludf.DUMMYFUNCTION("""COMPUTED_VALUE"""),"Pass")</f>
        <v>Pass</v>
      </c>
    </row>
    <row r="20">
      <c r="A20" s="1" t="str">
        <f>IFERROR(__xludf.DUMMYFUNCTION("""COMPUTED_VALUE"""),"STD-1171")</f>
        <v>STD-1171</v>
      </c>
      <c r="B20" s="1" t="str">
        <f>IFERROR(__xludf.DUMMYFUNCTION("""COMPUTED_VALUE"""),"Vivaan Das")</f>
        <v>Vivaan Das</v>
      </c>
      <c r="C20" s="1" t="str">
        <f>IFERROR(__xludf.DUMMYFUNCTION("""COMPUTED_VALUE"""),"Female")</f>
        <v>Female</v>
      </c>
      <c r="D20" s="1" t="str">
        <f>IFERROR(__xludf.DUMMYFUNCTION("""COMPUTED_VALUE"""),"10")</f>
        <v>10</v>
      </c>
      <c r="E20" s="1" t="str">
        <f>IFERROR(__xludf.DUMMYFUNCTION("""COMPUTED_VALUE"""),"B")</f>
        <v>B</v>
      </c>
      <c r="F20" s="1" t="str">
        <f>IFERROR(__xludf.DUMMYFUNCTION("""COMPUTED_VALUE"""),"Patna")</f>
        <v>Patna</v>
      </c>
      <c r="G20" s="1">
        <f>IFERROR(__xludf.DUMMYFUNCTION("""COMPUTED_VALUE"""),56.0)</f>
        <v>56</v>
      </c>
      <c r="H20" s="1">
        <f>IFERROR(__xludf.DUMMYFUNCTION("""COMPUTED_VALUE"""),86.0)</f>
        <v>86</v>
      </c>
      <c r="I20" s="1">
        <f>IFERROR(__xludf.DUMMYFUNCTION("""COMPUTED_VALUE"""),51.0)</f>
        <v>51</v>
      </c>
      <c r="J20" s="1">
        <f>IFERROR(__xludf.DUMMYFUNCTION("""COMPUTED_VALUE"""),64.0)</f>
        <v>64</v>
      </c>
      <c r="K20" s="1">
        <f>IFERROR(__xludf.DUMMYFUNCTION("""COMPUTED_VALUE"""),92.0)</f>
        <v>92</v>
      </c>
      <c r="L20" s="1">
        <f>IFERROR(__xludf.DUMMYFUNCTION("""COMPUTED_VALUE"""),349.0)</f>
        <v>349</v>
      </c>
      <c r="M20" s="1">
        <f>IFERROR(__xludf.DUMMYFUNCTION("""COMPUTED_VALUE"""),69.8)</f>
        <v>69.8</v>
      </c>
      <c r="N20" s="1">
        <f>IFERROR(__xludf.DUMMYFUNCTION("""COMPUTED_VALUE"""),82.0)</f>
        <v>82</v>
      </c>
      <c r="O20" s="1" t="str">
        <f>IFERROR(__xludf.DUMMYFUNCTION("""COMPUTED_VALUE"""),"Pass")</f>
        <v>Pass</v>
      </c>
    </row>
    <row r="21" ht="15.75" customHeight="1">
      <c r="A21" s="1" t="str">
        <f>IFERROR(__xludf.DUMMYFUNCTION("""COMPUTED_VALUE"""),"STD-1175")</f>
        <v>STD-1175</v>
      </c>
      <c r="B21" s="1" t="str">
        <f>IFERROR(__xludf.DUMMYFUNCTION("""COMPUTED_VALUE"""),"Rahul Sharma")</f>
        <v>Rahul Sharma</v>
      </c>
      <c r="C21" s="1" t="str">
        <f>IFERROR(__xludf.DUMMYFUNCTION("""COMPUTED_VALUE"""),"Female")</f>
        <v>Female</v>
      </c>
      <c r="D21" s="1" t="str">
        <f>IFERROR(__xludf.DUMMYFUNCTION("""COMPUTED_VALUE"""),"10")</f>
        <v>10</v>
      </c>
      <c r="E21" s="1" t="str">
        <f>IFERROR(__xludf.DUMMYFUNCTION("""COMPUTED_VALUE"""),"C")</f>
        <v>C</v>
      </c>
      <c r="F21" s="1" t="str">
        <f>IFERROR(__xludf.DUMMYFUNCTION("""COMPUTED_VALUE"""),"Lucknow")</f>
        <v>Lucknow</v>
      </c>
      <c r="G21" s="1">
        <f>IFERROR(__xludf.DUMMYFUNCTION("""COMPUTED_VALUE"""),88.0)</f>
        <v>88</v>
      </c>
      <c r="H21" s="1">
        <f>IFERROR(__xludf.DUMMYFUNCTION("""COMPUTED_VALUE"""),77.0)</f>
        <v>77</v>
      </c>
      <c r="I21" s="1">
        <f>IFERROR(__xludf.DUMMYFUNCTION("""COMPUTED_VALUE"""),88.0)</f>
        <v>88</v>
      </c>
      <c r="J21" s="1">
        <f>IFERROR(__xludf.DUMMYFUNCTION("""COMPUTED_VALUE"""),46.0)</f>
        <v>46</v>
      </c>
      <c r="K21" s="1">
        <f>IFERROR(__xludf.DUMMYFUNCTION("""COMPUTED_VALUE"""),53.0)</f>
        <v>53</v>
      </c>
      <c r="L21" s="1">
        <f>IFERROR(__xludf.DUMMYFUNCTION("""COMPUTED_VALUE"""),352.0)</f>
        <v>352</v>
      </c>
      <c r="M21" s="1">
        <f>IFERROR(__xludf.DUMMYFUNCTION("""COMPUTED_VALUE"""),70.4)</f>
        <v>70.4</v>
      </c>
      <c r="N21" s="1">
        <f>IFERROR(__xludf.DUMMYFUNCTION("""COMPUTED_VALUE"""),68.0)</f>
        <v>68</v>
      </c>
      <c r="O21" s="1" t="str">
        <f>IFERROR(__xludf.DUMMYFUNCTION("""COMPUTED_VALUE"""),"Pass")</f>
        <v>Pass</v>
      </c>
    </row>
    <row r="22" ht="15.75" customHeight="1">
      <c r="A22" s="1" t="str">
        <f>IFERROR(__xludf.DUMMYFUNCTION("""COMPUTED_VALUE"""),"STD-1189")</f>
        <v>STD-1189</v>
      </c>
      <c r="B22" s="1" t="str">
        <f>IFERROR(__xludf.DUMMYFUNCTION("""COMPUTED_VALUE"""),"Kavya Patel")</f>
        <v>Kavya Patel</v>
      </c>
      <c r="C22" s="1" t="str">
        <f>IFERROR(__xludf.DUMMYFUNCTION("""COMPUTED_VALUE"""),"Female")</f>
        <v>Female</v>
      </c>
      <c r="D22" s="1" t="str">
        <f>IFERROR(__xludf.DUMMYFUNCTION("""COMPUTED_VALUE"""),"10")</f>
        <v>10</v>
      </c>
      <c r="E22" s="1" t="str">
        <f>IFERROR(__xludf.DUMMYFUNCTION("""COMPUTED_VALUE"""),"A")</f>
        <v>A</v>
      </c>
      <c r="F22" s="1" t="str">
        <f>IFERROR(__xludf.DUMMYFUNCTION("""COMPUTED_VALUE"""),"Kolkata")</f>
        <v>Kolkata</v>
      </c>
      <c r="G22" s="1">
        <f>IFERROR(__xludf.DUMMYFUNCTION("""COMPUTED_VALUE"""),63.0)</f>
        <v>63</v>
      </c>
      <c r="H22" s="1">
        <f>IFERROR(__xludf.DUMMYFUNCTION("""COMPUTED_VALUE"""),94.0)</f>
        <v>94</v>
      </c>
      <c r="I22" s="1">
        <f>IFERROR(__xludf.DUMMYFUNCTION("""COMPUTED_VALUE"""),46.0)</f>
        <v>46</v>
      </c>
      <c r="J22" s="1">
        <f>IFERROR(__xludf.DUMMYFUNCTION("""COMPUTED_VALUE"""),75.0)</f>
        <v>75</v>
      </c>
      <c r="K22" s="1">
        <f>IFERROR(__xludf.DUMMYFUNCTION("""COMPUTED_VALUE"""),86.0)</f>
        <v>86</v>
      </c>
      <c r="L22" s="1">
        <f>IFERROR(__xludf.DUMMYFUNCTION("""COMPUTED_VALUE"""),364.0)</f>
        <v>364</v>
      </c>
      <c r="M22" s="1">
        <f>IFERROR(__xludf.DUMMYFUNCTION("""COMPUTED_VALUE"""),72.8)</f>
        <v>72.8</v>
      </c>
      <c r="N22" s="1">
        <f>IFERROR(__xludf.DUMMYFUNCTION("""COMPUTED_VALUE"""),65.0)</f>
        <v>65</v>
      </c>
      <c r="O22" s="1" t="str">
        <f>IFERROR(__xludf.DUMMYFUNCTION("""COMPUTED_VALUE"""),"Pass")</f>
        <v>Pass</v>
      </c>
    </row>
    <row r="23" ht="15.75" customHeight="1">
      <c r="A23" s="1" t="str">
        <f>IFERROR(__xludf.DUMMYFUNCTION("""COMPUTED_VALUE"""),"STD-1199")</f>
        <v>STD-1199</v>
      </c>
      <c r="B23" s="1" t="str">
        <f>IFERROR(__xludf.DUMMYFUNCTION("""COMPUTED_VALUE"""),"Ritika Das")</f>
        <v>Ritika Das</v>
      </c>
      <c r="C23" s="1" t="str">
        <f>IFERROR(__xludf.DUMMYFUNCTION("""COMPUTED_VALUE"""),"Female")</f>
        <v>Female</v>
      </c>
      <c r="D23" s="1" t="str">
        <f>IFERROR(__xludf.DUMMYFUNCTION("""COMPUTED_VALUE"""),"10")</f>
        <v>10</v>
      </c>
      <c r="E23" s="1" t="str">
        <f>IFERROR(__xludf.DUMMYFUNCTION("""COMPUTED_VALUE"""),"A")</f>
        <v>A</v>
      </c>
      <c r="F23" s="1" t="str">
        <f>IFERROR(__xludf.DUMMYFUNCTION("""COMPUTED_VALUE"""),"Mumbai")</f>
        <v>Mumbai</v>
      </c>
      <c r="G23" s="1">
        <f>IFERROR(__xludf.DUMMYFUNCTION("""COMPUTED_VALUE"""),82.0)</f>
        <v>82</v>
      </c>
      <c r="H23" s="1">
        <f>IFERROR(__xludf.DUMMYFUNCTION("""COMPUTED_VALUE"""),89.0)</f>
        <v>89</v>
      </c>
      <c r="I23" s="1">
        <f>IFERROR(__xludf.DUMMYFUNCTION("""COMPUTED_VALUE"""),48.0)</f>
        <v>48</v>
      </c>
      <c r="J23" s="1">
        <f>IFERROR(__xludf.DUMMYFUNCTION("""COMPUTED_VALUE"""),60.0)</f>
        <v>60</v>
      </c>
      <c r="K23" s="1">
        <f>IFERROR(__xludf.DUMMYFUNCTION("""COMPUTED_VALUE"""),59.0)</f>
        <v>59</v>
      </c>
      <c r="L23" s="1">
        <f>IFERROR(__xludf.DUMMYFUNCTION("""COMPUTED_VALUE"""),338.0)</f>
        <v>338</v>
      </c>
      <c r="M23" s="1">
        <f>IFERROR(__xludf.DUMMYFUNCTION("""COMPUTED_VALUE"""),67.6)</f>
        <v>67.6</v>
      </c>
      <c r="N23" s="1">
        <f>IFERROR(__xludf.DUMMYFUNCTION("""COMPUTED_VALUE"""),60.0)</f>
        <v>60</v>
      </c>
      <c r="O23" s="1" t="str">
        <f>IFERROR(__xludf.DUMMYFUNCTION("""COMPUTED_VALUE"""),"Pass")</f>
        <v>Pass</v>
      </c>
    </row>
    <row r="24" ht="15.75" customHeight="1">
      <c r="A24" s="1" t="str">
        <f>IFERROR(__xludf.DUMMYFUNCTION("""COMPUTED_VALUE"""),"STD-1208")</f>
        <v>STD-1208</v>
      </c>
      <c r="B24" s="1" t="str">
        <f>IFERROR(__xludf.DUMMYFUNCTION("""COMPUTED_VALUE"""),"Aditya Sharma")</f>
        <v>Aditya Sharma</v>
      </c>
      <c r="C24" s="1" t="str">
        <f>IFERROR(__xludf.DUMMYFUNCTION("""COMPUTED_VALUE"""),"Female")</f>
        <v>Female</v>
      </c>
      <c r="D24" s="1" t="str">
        <f>IFERROR(__xludf.DUMMYFUNCTION("""COMPUTED_VALUE"""),"10")</f>
        <v>10</v>
      </c>
      <c r="E24" s="1" t="str">
        <f>IFERROR(__xludf.DUMMYFUNCTION("""COMPUTED_VALUE"""),"C")</f>
        <v>C</v>
      </c>
      <c r="F24" s="1" t="str">
        <f>IFERROR(__xludf.DUMMYFUNCTION("""COMPUTED_VALUE"""),"Patna")</f>
        <v>Patna</v>
      </c>
      <c r="G24" s="1">
        <f>IFERROR(__xludf.DUMMYFUNCTION("""COMPUTED_VALUE"""),77.0)</f>
        <v>77</v>
      </c>
      <c r="H24" s="1">
        <f>IFERROR(__xludf.DUMMYFUNCTION("""COMPUTED_VALUE"""),55.0)</f>
        <v>55</v>
      </c>
      <c r="I24" s="1">
        <f>IFERROR(__xludf.DUMMYFUNCTION("""COMPUTED_VALUE"""),79.0)</f>
        <v>79</v>
      </c>
      <c r="J24" s="1">
        <f>IFERROR(__xludf.DUMMYFUNCTION("""COMPUTED_VALUE"""),93.0)</f>
        <v>93</v>
      </c>
      <c r="K24" s="1">
        <f>IFERROR(__xludf.DUMMYFUNCTION("""COMPUTED_VALUE"""),68.0)</f>
        <v>68</v>
      </c>
      <c r="L24" s="1">
        <f>IFERROR(__xludf.DUMMYFUNCTION("""COMPUTED_VALUE"""),372.0)</f>
        <v>372</v>
      </c>
      <c r="M24" s="1">
        <f>IFERROR(__xludf.DUMMYFUNCTION("""COMPUTED_VALUE"""),74.4)</f>
        <v>74.4</v>
      </c>
      <c r="N24" s="1">
        <f>IFERROR(__xludf.DUMMYFUNCTION("""COMPUTED_VALUE"""),61.0)</f>
        <v>61</v>
      </c>
      <c r="O24" s="1" t="str">
        <f>IFERROR(__xludf.DUMMYFUNCTION("""COMPUTED_VALUE"""),"Pass")</f>
        <v>Pass</v>
      </c>
    </row>
    <row r="25" ht="15.75" customHeight="1">
      <c r="A25" s="1" t="str">
        <f>IFERROR(__xludf.DUMMYFUNCTION("""COMPUTED_VALUE"""),"STD-1215")</f>
        <v>STD-1215</v>
      </c>
      <c r="B25" s="1" t="str">
        <f>IFERROR(__xludf.DUMMYFUNCTION("""COMPUTED_VALUE"""),"Priya Reddy")</f>
        <v>Priya Reddy</v>
      </c>
      <c r="C25" s="1" t="str">
        <f>IFERROR(__xludf.DUMMYFUNCTION("""COMPUTED_VALUE"""),"Female")</f>
        <v>Female</v>
      </c>
      <c r="D25" s="1" t="str">
        <f>IFERROR(__xludf.DUMMYFUNCTION("""COMPUTED_VALUE"""),"10")</f>
        <v>10</v>
      </c>
      <c r="E25" s="1" t="str">
        <f>IFERROR(__xludf.DUMMYFUNCTION("""COMPUTED_VALUE"""),"C")</f>
        <v>C</v>
      </c>
      <c r="F25" s="1" t="str">
        <f>IFERROR(__xludf.DUMMYFUNCTION("""COMPUTED_VALUE"""),"Chandigarh")</f>
        <v>Chandigarh</v>
      </c>
      <c r="G25" s="1">
        <f>IFERROR(__xludf.DUMMYFUNCTION("""COMPUTED_VALUE"""),50.0)</f>
        <v>50</v>
      </c>
      <c r="H25" s="1">
        <f>IFERROR(__xludf.DUMMYFUNCTION("""COMPUTED_VALUE"""),68.0)</f>
        <v>68</v>
      </c>
      <c r="I25" s="1">
        <f>IFERROR(__xludf.DUMMYFUNCTION("""COMPUTED_VALUE"""),69.0)</f>
        <v>69</v>
      </c>
      <c r="J25" s="1">
        <f>IFERROR(__xludf.DUMMYFUNCTION("""COMPUTED_VALUE"""),62.0)</f>
        <v>62</v>
      </c>
      <c r="K25" s="1">
        <f>IFERROR(__xludf.DUMMYFUNCTION("""COMPUTED_VALUE"""),42.0)</f>
        <v>42</v>
      </c>
      <c r="L25" s="1">
        <f>IFERROR(__xludf.DUMMYFUNCTION("""COMPUTED_VALUE"""),291.0)</f>
        <v>291</v>
      </c>
      <c r="M25" s="1">
        <f>IFERROR(__xludf.DUMMYFUNCTION("""COMPUTED_VALUE"""),58.2)</f>
        <v>58.2</v>
      </c>
      <c r="N25" s="1">
        <f>IFERROR(__xludf.DUMMYFUNCTION("""COMPUTED_VALUE"""),69.0)</f>
        <v>69</v>
      </c>
      <c r="O25" s="1" t="str">
        <f>IFERROR(__xludf.DUMMYFUNCTION("""COMPUTED_VALUE"""),"Pass")</f>
        <v>Pass</v>
      </c>
    </row>
    <row r="26" ht="15.75" customHeight="1">
      <c r="A26" s="1" t="str">
        <f>IFERROR(__xludf.DUMMYFUNCTION("""COMPUTED_VALUE"""),"STD-1217")</f>
        <v>STD-1217</v>
      </c>
      <c r="B26" s="1" t="str">
        <f>IFERROR(__xludf.DUMMYFUNCTION("""COMPUTED_VALUE"""),"Aditya Choudhary")</f>
        <v>Aditya Choudhary</v>
      </c>
      <c r="C26" s="1" t="str">
        <f>IFERROR(__xludf.DUMMYFUNCTION("""COMPUTED_VALUE"""),"Female")</f>
        <v>Female</v>
      </c>
      <c r="D26" s="1" t="str">
        <f>IFERROR(__xludf.DUMMYFUNCTION("""COMPUTED_VALUE"""),"10")</f>
        <v>10</v>
      </c>
      <c r="E26" s="1" t="str">
        <f>IFERROR(__xludf.DUMMYFUNCTION("""COMPUTED_VALUE"""),"B")</f>
        <v>B</v>
      </c>
      <c r="F26" s="1" t="str">
        <f>IFERROR(__xludf.DUMMYFUNCTION("""COMPUTED_VALUE"""),"Kolkata")</f>
        <v>Kolkata</v>
      </c>
      <c r="G26" s="1">
        <f>IFERROR(__xludf.DUMMYFUNCTION("""COMPUTED_VALUE"""),96.0)</f>
        <v>96</v>
      </c>
      <c r="H26" s="1">
        <f>IFERROR(__xludf.DUMMYFUNCTION("""COMPUTED_VALUE"""),46.0)</f>
        <v>46</v>
      </c>
      <c r="I26" s="1">
        <f>IFERROR(__xludf.DUMMYFUNCTION("""COMPUTED_VALUE"""),58.0)</f>
        <v>58</v>
      </c>
      <c r="J26" s="1">
        <f>IFERROR(__xludf.DUMMYFUNCTION("""COMPUTED_VALUE"""),56.0)</f>
        <v>56</v>
      </c>
      <c r="K26" s="1">
        <f>IFERROR(__xludf.DUMMYFUNCTION("""COMPUTED_VALUE"""),50.0)</f>
        <v>50</v>
      </c>
      <c r="L26" s="1">
        <f>IFERROR(__xludf.DUMMYFUNCTION("""COMPUTED_VALUE"""),306.0)</f>
        <v>306</v>
      </c>
      <c r="M26" s="1">
        <f>IFERROR(__xludf.DUMMYFUNCTION("""COMPUTED_VALUE"""),61.2)</f>
        <v>61.2</v>
      </c>
      <c r="N26" s="1">
        <f>IFERROR(__xludf.DUMMYFUNCTION("""COMPUTED_VALUE"""),94.0)</f>
        <v>94</v>
      </c>
      <c r="O26" s="1" t="str">
        <f>IFERROR(__xludf.DUMMYFUNCTION("""COMPUTED_VALUE"""),"Pass")</f>
        <v>Pass</v>
      </c>
    </row>
    <row r="27" ht="15.75" customHeight="1">
      <c r="A27" s="1" t="str">
        <f>IFERROR(__xludf.DUMMYFUNCTION("""COMPUTED_VALUE"""),"STD-1227")</f>
        <v>STD-1227</v>
      </c>
      <c r="B27" s="1" t="str">
        <f>IFERROR(__xludf.DUMMYFUNCTION("""COMPUTED_VALUE"""),"Sneha Nair")</f>
        <v>Sneha Nair</v>
      </c>
      <c r="C27" s="1" t="str">
        <f>IFERROR(__xludf.DUMMYFUNCTION("""COMPUTED_VALUE"""),"Female")</f>
        <v>Female</v>
      </c>
      <c r="D27" s="1" t="str">
        <f>IFERROR(__xludf.DUMMYFUNCTION("""COMPUTED_VALUE"""),"10")</f>
        <v>10</v>
      </c>
      <c r="E27" s="1" t="str">
        <f>IFERROR(__xludf.DUMMYFUNCTION("""COMPUTED_VALUE"""),"A")</f>
        <v>A</v>
      </c>
      <c r="F27" s="1" t="str">
        <f>IFERROR(__xludf.DUMMYFUNCTION("""COMPUTED_VALUE"""),"Kolkata")</f>
        <v>Kolkata</v>
      </c>
      <c r="G27" s="1">
        <f>IFERROR(__xludf.DUMMYFUNCTION("""COMPUTED_VALUE"""),99.0)</f>
        <v>99</v>
      </c>
      <c r="H27" s="1">
        <f>IFERROR(__xludf.DUMMYFUNCTION("""COMPUTED_VALUE"""),52.0)</f>
        <v>52</v>
      </c>
      <c r="I27" s="1">
        <f>IFERROR(__xludf.DUMMYFUNCTION("""COMPUTED_VALUE"""),89.0)</f>
        <v>89</v>
      </c>
      <c r="J27" s="1">
        <f>IFERROR(__xludf.DUMMYFUNCTION("""COMPUTED_VALUE"""),80.0)</f>
        <v>80</v>
      </c>
      <c r="K27" s="1">
        <f>IFERROR(__xludf.DUMMYFUNCTION("""COMPUTED_VALUE"""),82.0)</f>
        <v>82</v>
      </c>
      <c r="L27" s="1">
        <f>IFERROR(__xludf.DUMMYFUNCTION("""COMPUTED_VALUE"""),402.0)</f>
        <v>402</v>
      </c>
      <c r="M27" s="1">
        <f>IFERROR(__xludf.DUMMYFUNCTION("""COMPUTED_VALUE"""),80.4)</f>
        <v>80.4</v>
      </c>
      <c r="N27" s="1">
        <f>IFERROR(__xludf.DUMMYFUNCTION("""COMPUTED_VALUE"""),66.0)</f>
        <v>66</v>
      </c>
      <c r="O27" s="1" t="str">
        <f>IFERROR(__xludf.DUMMYFUNCTION("""COMPUTED_VALUE"""),"Pass")</f>
        <v>Pass</v>
      </c>
    </row>
    <row r="28" ht="15.75" customHeight="1">
      <c r="A28" s="1" t="str">
        <f>IFERROR(__xludf.DUMMYFUNCTION("""COMPUTED_VALUE"""),"STD-1251")</f>
        <v>STD-1251</v>
      </c>
      <c r="B28" s="1" t="str">
        <f>IFERROR(__xludf.DUMMYFUNCTION("""COMPUTED_VALUE"""),"Shreya Choudhary")</f>
        <v>Shreya Choudhary</v>
      </c>
      <c r="C28" s="1" t="str">
        <f>IFERROR(__xludf.DUMMYFUNCTION("""COMPUTED_VALUE"""),"Female")</f>
        <v>Female</v>
      </c>
      <c r="D28" s="1" t="str">
        <f>IFERROR(__xludf.DUMMYFUNCTION("""COMPUTED_VALUE"""),"10")</f>
        <v>10</v>
      </c>
      <c r="E28" s="1" t="str">
        <f>IFERROR(__xludf.DUMMYFUNCTION("""COMPUTED_VALUE"""),"B")</f>
        <v>B</v>
      </c>
      <c r="F28" s="1" t="str">
        <f>IFERROR(__xludf.DUMMYFUNCTION("""COMPUTED_VALUE"""),"Lucknow")</f>
        <v>Lucknow</v>
      </c>
      <c r="G28" s="1">
        <f>IFERROR(__xludf.DUMMYFUNCTION("""COMPUTED_VALUE"""),92.0)</f>
        <v>92</v>
      </c>
      <c r="H28" s="1">
        <f>IFERROR(__xludf.DUMMYFUNCTION("""COMPUTED_VALUE"""),92.0)</f>
        <v>92</v>
      </c>
      <c r="I28" s="1">
        <f>IFERROR(__xludf.DUMMYFUNCTION("""COMPUTED_VALUE"""),94.0)</f>
        <v>94</v>
      </c>
      <c r="J28" s="1">
        <f>IFERROR(__xludf.DUMMYFUNCTION("""COMPUTED_VALUE"""),52.0)</f>
        <v>52</v>
      </c>
      <c r="K28" s="1">
        <f>IFERROR(__xludf.DUMMYFUNCTION("""COMPUTED_VALUE"""),68.0)</f>
        <v>68</v>
      </c>
      <c r="L28" s="1">
        <f>IFERROR(__xludf.DUMMYFUNCTION("""COMPUTED_VALUE"""),398.0)</f>
        <v>398</v>
      </c>
      <c r="M28" s="1">
        <f>IFERROR(__xludf.DUMMYFUNCTION("""COMPUTED_VALUE"""),79.6)</f>
        <v>79.6</v>
      </c>
      <c r="N28" s="1">
        <f>IFERROR(__xludf.DUMMYFUNCTION("""COMPUTED_VALUE"""),67.0)</f>
        <v>67</v>
      </c>
      <c r="O28" s="1" t="str">
        <f>IFERROR(__xludf.DUMMYFUNCTION("""COMPUTED_VALUE"""),"Pass")</f>
        <v>Pass</v>
      </c>
    </row>
    <row r="29" ht="15.75" customHeight="1">
      <c r="A29" s="1" t="str">
        <f>IFERROR(__xludf.DUMMYFUNCTION("""COMPUTED_VALUE"""),"STD-1253")</f>
        <v>STD-1253</v>
      </c>
      <c r="B29" s="1" t="str">
        <f>IFERROR(__xludf.DUMMYFUNCTION("""COMPUTED_VALUE"""),"Ishita Singh")</f>
        <v>Ishita Singh</v>
      </c>
      <c r="C29" s="1" t="str">
        <f>IFERROR(__xludf.DUMMYFUNCTION("""COMPUTED_VALUE"""),"Female")</f>
        <v>Female</v>
      </c>
      <c r="D29" s="1" t="str">
        <f>IFERROR(__xludf.DUMMYFUNCTION("""COMPUTED_VALUE"""),"10")</f>
        <v>10</v>
      </c>
      <c r="E29" s="1" t="str">
        <f>IFERROR(__xludf.DUMMYFUNCTION("""COMPUTED_VALUE"""),"C")</f>
        <v>C</v>
      </c>
      <c r="F29" s="1" t="str">
        <f>IFERROR(__xludf.DUMMYFUNCTION("""COMPUTED_VALUE"""),"Lucknow")</f>
        <v>Lucknow</v>
      </c>
      <c r="G29" s="1">
        <f>IFERROR(__xludf.DUMMYFUNCTION("""COMPUTED_VALUE"""),96.0)</f>
        <v>96</v>
      </c>
      <c r="H29" s="1">
        <f>IFERROR(__xludf.DUMMYFUNCTION("""COMPUTED_VALUE"""),95.0)</f>
        <v>95</v>
      </c>
      <c r="I29" s="1">
        <f>IFERROR(__xludf.DUMMYFUNCTION("""COMPUTED_VALUE"""),64.0)</f>
        <v>64</v>
      </c>
      <c r="J29" s="1">
        <f>IFERROR(__xludf.DUMMYFUNCTION("""COMPUTED_VALUE"""),90.0)</f>
        <v>90</v>
      </c>
      <c r="K29" s="1">
        <f>IFERROR(__xludf.DUMMYFUNCTION("""COMPUTED_VALUE"""),50.0)</f>
        <v>50</v>
      </c>
      <c r="L29" s="1">
        <f>IFERROR(__xludf.DUMMYFUNCTION("""COMPUTED_VALUE"""),395.0)</f>
        <v>395</v>
      </c>
      <c r="M29" s="1">
        <f>IFERROR(__xludf.DUMMYFUNCTION("""COMPUTED_VALUE"""),79.0)</f>
        <v>79</v>
      </c>
      <c r="N29" s="1">
        <f>IFERROR(__xludf.DUMMYFUNCTION("""COMPUTED_VALUE"""),75.0)</f>
        <v>75</v>
      </c>
      <c r="O29" s="1" t="str">
        <f>IFERROR(__xludf.DUMMYFUNCTION("""COMPUTED_VALUE"""),"Pass")</f>
        <v>Pass</v>
      </c>
    </row>
    <row r="30" ht="15.75" customHeight="1">
      <c r="A30" s="1" t="str">
        <f>IFERROR(__xludf.DUMMYFUNCTION("""COMPUTED_VALUE"""),"STD-1254")</f>
        <v>STD-1254</v>
      </c>
      <c r="B30" s="1" t="str">
        <f>IFERROR(__xludf.DUMMYFUNCTION("""COMPUTED_VALUE"""),"Aarav Singh")</f>
        <v>Aarav Singh</v>
      </c>
      <c r="C30" s="1" t="str">
        <f>IFERROR(__xludf.DUMMYFUNCTION("""COMPUTED_VALUE"""),"Female")</f>
        <v>Female</v>
      </c>
      <c r="D30" s="1" t="str">
        <f>IFERROR(__xludf.DUMMYFUNCTION("""COMPUTED_VALUE"""),"10")</f>
        <v>10</v>
      </c>
      <c r="E30" s="1" t="str">
        <f>IFERROR(__xludf.DUMMYFUNCTION("""COMPUTED_VALUE"""),"C")</f>
        <v>C</v>
      </c>
      <c r="F30" s="1" t="str">
        <f>IFERROR(__xludf.DUMMYFUNCTION("""COMPUTED_VALUE"""),"Kolkata")</f>
        <v>Kolkata</v>
      </c>
      <c r="G30" s="1">
        <f>IFERROR(__xludf.DUMMYFUNCTION("""COMPUTED_VALUE"""),76.0)</f>
        <v>76</v>
      </c>
      <c r="H30" s="1">
        <f>IFERROR(__xludf.DUMMYFUNCTION("""COMPUTED_VALUE"""),52.0)</f>
        <v>52</v>
      </c>
      <c r="I30" s="1">
        <f>IFERROR(__xludf.DUMMYFUNCTION("""COMPUTED_VALUE"""),64.0)</f>
        <v>64</v>
      </c>
      <c r="J30" s="1">
        <f>IFERROR(__xludf.DUMMYFUNCTION("""COMPUTED_VALUE"""),82.0)</f>
        <v>82</v>
      </c>
      <c r="K30" s="1">
        <f>IFERROR(__xludf.DUMMYFUNCTION("""COMPUTED_VALUE"""),100.0)</f>
        <v>100</v>
      </c>
      <c r="L30" s="1">
        <f>IFERROR(__xludf.DUMMYFUNCTION("""COMPUTED_VALUE"""),374.0)</f>
        <v>374</v>
      </c>
      <c r="M30" s="1">
        <f>IFERROR(__xludf.DUMMYFUNCTION("""COMPUTED_VALUE"""),74.8)</f>
        <v>74.8</v>
      </c>
      <c r="N30" s="1">
        <f>IFERROR(__xludf.DUMMYFUNCTION("""COMPUTED_VALUE"""),75.0)</f>
        <v>75</v>
      </c>
      <c r="O30" s="1" t="str">
        <f>IFERROR(__xludf.DUMMYFUNCTION("""COMPUTED_VALUE"""),"Pass")</f>
        <v>Pass</v>
      </c>
    </row>
    <row r="31" ht="15.75" customHeight="1">
      <c r="A31" s="1" t="str">
        <f>IFERROR(__xludf.DUMMYFUNCTION("""COMPUTED_VALUE"""),"STD-1271")</f>
        <v>STD-1271</v>
      </c>
      <c r="B31" s="1" t="str">
        <f>IFERROR(__xludf.DUMMYFUNCTION("""COMPUTED_VALUE"""),"Ishita Nair")</f>
        <v>Ishita Nair</v>
      </c>
      <c r="C31" s="1" t="str">
        <f>IFERROR(__xludf.DUMMYFUNCTION("""COMPUTED_VALUE"""),"Female")</f>
        <v>Female</v>
      </c>
      <c r="D31" s="1" t="str">
        <f>IFERROR(__xludf.DUMMYFUNCTION("""COMPUTED_VALUE"""),"10")</f>
        <v>10</v>
      </c>
      <c r="E31" s="1" t="str">
        <f>IFERROR(__xludf.DUMMYFUNCTION("""COMPUTED_VALUE"""),"B")</f>
        <v>B</v>
      </c>
      <c r="F31" s="1" t="str">
        <f>IFERROR(__xludf.DUMMYFUNCTION("""COMPUTED_VALUE"""),"Jaipur")</f>
        <v>Jaipur</v>
      </c>
      <c r="G31" s="1">
        <f>IFERROR(__xludf.DUMMYFUNCTION("""COMPUTED_VALUE"""),100.0)</f>
        <v>100</v>
      </c>
      <c r="H31" s="1">
        <f>IFERROR(__xludf.DUMMYFUNCTION("""COMPUTED_VALUE"""),45.0)</f>
        <v>45</v>
      </c>
      <c r="I31" s="1">
        <f>IFERROR(__xludf.DUMMYFUNCTION("""COMPUTED_VALUE"""),81.0)</f>
        <v>81</v>
      </c>
      <c r="J31" s="1">
        <f>IFERROR(__xludf.DUMMYFUNCTION("""COMPUTED_VALUE"""),98.0)</f>
        <v>98</v>
      </c>
      <c r="K31" s="1">
        <f>IFERROR(__xludf.DUMMYFUNCTION("""COMPUTED_VALUE"""),69.0)</f>
        <v>69</v>
      </c>
      <c r="L31" s="1">
        <f>IFERROR(__xludf.DUMMYFUNCTION("""COMPUTED_VALUE"""),393.0)</f>
        <v>393</v>
      </c>
      <c r="M31" s="1">
        <f>IFERROR(__xludf.DUMMYFUNCTION("""COMPUTED_VALUE"""),78.6)</f>
        <v>78.6</v>
      </c>
      <c r="N31" s="1">
        <f>IFERROR(__xludf.DUMMYFUNCTION("""COMPUTED_VALUE"""),84.0)</f>
        <v>84</v>
      </c>
      <c r="O31" s="1" t="str">
        <f>IFERROR(__xludf.DUMMYFUNCTION("""COMPUTED_VALUE"""),"Pass")</f>
        <v>Pass</v>
      </c>
    </row>
    <row r="32" ht="15.75" customHeight="1">
      <c r="A32" s="1" t="str">
        <f>IFERROR(__xludf.DUMMYFUNCTION("""COMPUTED_VALUE"""),"STD-1272")</f>
        <v>STD-1272</v>
      </c>
      <c r="B32" s="1" t="str">
        <f>IFERROR(__xludf.DUMMYFUNCTION("""COMPUTED_VALUE"""),"Rahul Verma")</f>
        <v>Rahul Verma</v>
      </c>
      <c r="C32" s="1" t="str">
        <f>IFERROR(__xludf.DUMMYFUNCTION("""COMPUTED_VALUE"""),"Female")</f>
        <v>Female</v>
      </c>
      <c r="D32" s="1" t="str">
        <f>IFERROR(__xludf.DUMMYFUNCTION("""COMPUTED_VALUE"""),"10")</f>
        <v>10</v>
      </c>
      <c r="E32" s="1" t="str">
        <f>IFERROR(__xludf.DUMMYFUNCTION("""COMPUTED_VALUE"""),"A")</f>
        <v>A</v>
      </c>
      <c r="F32" s="1" t="str">
        <f>IFERROR(__xludf.DUMMYFUNCTION("""COMPUTED_VALUE"""),"Chandigarh")</f>
        <v>Chandigarh</v>
      </c>
      <c r="G32" s="1">
        <f>IFERROR(__xludf.DUMMYFUNCTION("""COMPUTED_VALUE"""),87.0)</f>
        <v>87</v>
      </c>
      <c r="H32" s="1">
        <f>IFERROR(__xludf.DUMMYFUNCTION("""COMPUTED_VALUE"""),51.0)</f>
        <v>51</v>
      </c>
      <c r="I32" s="1">
        <f>IFERROR(__xludf.DUMMYFUNCTION("""COMPUTED_VALUE"""),80.0)</f>
        <v>80</v>
      </c>
      <c r="J32" s="1">
        <f>IFERROR(__xludf.DUMMYFUNCTION("""COMPUTED_VALUE"""),63.0)</f>
        <v>63</v>
      </c>
      <c r="K32" s="1">
        <f>IFERROR(__xludf.DUMMYFUNCTION("""COMPUTED_VALUE"""),43.0)</f>
        <v>43</v>
      </c>
      <c r="L32" s="1">
        <f>IFERROR(__xludf.DUMMYFUNCTION("""COMPUTED_VALUE"""),324.0)</f>
        <v>324</v>
      </c>
      <c r="M32" s="1">
        <f>IFERROR(__xludf.DUMMYFUNCTION("""COMPUTED_VALUE"""),64.8)</f>
        <v>64.8</v>
      </c>
      <c r="N32" s="1">
        <f>IFERROR(__xludf.DUMMYFUNCTION("""COMPUTED_VALUE"""),84.0)</f>
        <v>84</v>
      </c>
      <c r="O32" s="1" t="str">
        <f>IFERROR(__xludf.DUMMYFUNCTION("""COMPUTED_VALUE"""),"Pass")</f>
        <v>Pass</v>
      </c>
    </row>
    <row r="33" ht="15.75" customHeight="1">
      <c r="A33" s="1" t="str">
        <f>IFERROR(__xludf.DUMMYFUNCTION("""COMPUTED_VALUE"""),"STD-1282")</f>
        <v>STD-1282</v>
      </c>
      <c r="B33" s="1" t="str">
        <f>IFERROR(__xludf.DUMMYFUNCTION("""COMPUTED_VALUE"""),"Arjun Jain")</f>
        <v>Arjun Jain</v>
      </c>
      <c r="C33" s="1" t="str">
        <f>IFERROR(__xludf.DUMMYFUNCTION("""COMPUTED_VALUE"""),"Female")</f>
        <v>Female</v>
      </c>
      <c r="D33" s="1" t="str">
        <f>IFERROR(__xludf.DUMMYFUNCTION("""COMPUTED_VALUE"""),"10")</f>
        <v>10</v>
      </c>
      <c r="E33" s="1" t="str">
        <f>IFERROR(__xludf.DUMMYFUNCTION("""COMPUTED_VALUE"""),"A")</f>
        <v>A</v>
      </c>
      <c r="F33" s="1" t="str">
        <f>IFERROR(__xludf.DUMMYFUNCTION("""COMPUTED_VALUE"""),"Lucknow")</f>
        <v>Lucknow</v>
      </c>
      <c r="G33" s="1">
        <f>IFERROR(__xludf.DUMMYFUNCTION("""COMPUTED_VALUE"""),53.0)</f>
        <v>53</v>
      </c>
      <c r="H33" s="1">
        <f>IFERROR(__xludf.DUMMYFUNCTION("""COMPUTED_VALUE"""),86.0)</f>
        <v>86</v>
      </c>
      <c r="I33" s="1">
        <f>IFERROR(__xludf.DUMMYFUNCTION("""COMPUTED_VALUE"""),84.0)</f>
        <v>84</v>
      </c>
      <c r="J33" s="1">
        <f>IFERROR(__xludf.DUMMYFUNCTION("""COMPUTED_VALUE"""),54.0)</f>
        <v>54</v>
      </c>
      <c r="K33" s="1">
        <f>IFERROR(__xludf.DUMMYFUNCTION("""COMPUTED_VALUE"""),73.0)</f>
        <v>73</v>
      </c>
      <c r="L33" s="1">
        <f>IFERROR(__xludf.DUMMYFUNCTION("""COMPUTED_VALUE"""),350.0)</f>
        <v>350</v>
      </c>
      <c r="M33" s="1">
        <f>IFERROR(__xludf.DUMMYFUNCTION("""COMPUTED_VALUE"""),70.0)</f>
        <v>70</v>
      </c>
      <c r="N33" s="1">
        <f>IFERROR(__xludf.DUMMYFUNCTION("""COMPUTED_VALUE"""),72.0)</f>
        <v>72</v>
      </c>
      <c r="O33" s="1" t="str">
        <f>IFERROR(__xludf.DUMMYFUNCTION("""COMPUTED_VALUE"""),"Pass")</f>
        <v>Pass</v>
      </c>
    </row>
    <row r="34" ht="15.75" customHeight="1">
      <c r="A34" s="1" t="str">
        <f>IFERROR(__xludf.DUMMYFUNCTION("""COMPUTED_VALUE"""),"STD-1287")</f>
        <v>STD-1287</v>
      </c>
      <c r="B34" s="1" t="str">
        <f>IFERROR(__xludf.DUMMYFUNCTION("""COMPUTED_VALUE"""),"Simran Jain")</f>
        <v>Simran Jain</v>
      </c>
      <c r="C34" s="1" t="str">
        <f>IFERROR(__xludf.DUMMYFUNCTION("""COMPUTED_VALUE"""),"Female")</f>
        <v>Female</v>
      </c>
      <c r="D34" s="1" t="str">
        <f>IFERROR(__xludf.DUMMYFUNCTION("""COMPUTED_VALUE"""),"10")</f>
        <v>10</v>
      </c>
      <c r="E34" s="1" t="str">
        <f>IFERROR(__xludf.DUMMYFUNCTION("""COMPUTED_VALUE"""),"A")</f>
        <v>A</v>
      </c>
      <c r="F34" s="1" t="str">
        <f>IFERROR(__xludf.DUMMYFUNCTION("""COMPUTED_VALUE"""),"Patna")</f>
        <v>Patna</v>
      </c>
      <c r="G34" s="1">
        <f>IFERROR(__xludf.DUMMYFUNCTION("""COMPUTED_VALUE"""),48.0)</f>
        <v>48</v>
      </c>
      <c r="H34" s="1">
        <f>IFERROR(__xludf.DUMMYFUNCTION("""COMPUTED_VALUE"""),99.0)</f>
        <v>99</v>
      </c>
      <c r="I34" s="1">
        <f>IFERROR(__xludf.DUMMYFUNCTION("""COMPUTED_VALUE"""),78.0)</f>
        <v>78</v>
      </c>
      <c r="J34" s="1">
        <f>IFERROR(__xludf.DUMMYFUNCTION("""COMPUTED_VALUE"""),83.0)</f>
        <v>83</v>
      </c>
      <c r="K34" s="1">
        <f>IFERROR(__xludf.DUMMYFUNCTION("""COMPUTED_VALUE"""),52.0)</f>
        <v>52</v>
      </c>
      <c r="L34" s="1">
        <f>IFERROR(__xludf.DUMMYFUNCTION("""COMPUTED_VALUE"""),360.0)</f>
        <v>360</v>
      </c>
      <c r="M34" s="1">
        <f>IFERROR(__xludf.DUMMYFUNCTION("""COMPUTED_VALUE"""),72.0)</f>
        <v>72</v>
      </c>
      <c r="N34" s="1">
        <f>IFERROR(__xludf.DUMMYFUNCTION("""COMPUTED_VALUE"""),72.0)</f>
        <v>72</v>
      </c>
      <c r="O34" s="1" t="str">
        <f>IFERROR(__xludf.DUMMYFUNCTION("""COMPUTED_VALUE"""),"Pass")</f>
        <v>Pass</v>
      </c>
    </row>
    <row r="35" ht="15.75" customHeight="1">
      <c r="A35" s="1" t="str">
        <f>IFERROR(__xludf.DUMMYFUNCTION("""COMPUTED_VALUE"""),"STD-1300")</f>
        <v>STD-1300</v>
      </c>
      <c r="B35" s="1" t="str">
        <f>IFERROR(__xludf.DUMMYFUNCTION("""COMPUTED_VALUE"""),"Rohan Kaur")</f>
        <v>Rohan Kaur</v>
      </c>
      <c r="C35" s="1" t="str">
        <f>IFERROR(__xludf.DUMMYFUNCTION("""COMPUTED_VALUE"""),"Female")</f>
        <v>Female</v>
      </c>
      <c r="D35" s="1" t="str">
        <f>IFERROR(__xludf.DUMMYFUNCTION("""COMPUTED_VALUE"""),"10")</f>
        <v>10</v>
      </c>
      <c r="E35" s="1" t="str">
        <f>IFERROR(__xludf.DUMMYFUNCTION("""COMPUTED_VALUE"""),"A")</f>
        <v>A</v>
      </c>
      <c r="F35" s="1" t="str">
        <f>IFERROR(__xludf.DUMMYFUNCTION("""COMPUTED_VALUE"""),"Kolkata")</f>
        <v>Kolkata</v>
      </c>
      <c r="G35" s="1">
        <f>IFERROR(__xludf.DUMMYFUNCTION("""COMPUTED_VALUE"""),52.0)</f>
        <v>52</v>
      </c>
      <c r="H35" s="1">
        <f>IFERROR(__xludf.DUMMYFUNCTION("""COMPUTED_VALUE"""),96.0)</f>
        <v>96</v>
      </c>
      <c r="I35" s="1">
        <f>IFERROR(__xludf.DUMMYFUNCTION("""COMPUTED_VALUE"""),47.0)</f>
        <v>47</v>
      </c>
      <c r="J35" s="1">
        <f>IFERROR(__xludf.DUMMYFUNCTION("""COMPUTED_VALUE"""),80.0)</f>
        <v>80</v>
      </c>
      <c r="K35" s="1">
        <f>IFERROR(__xludf.DUMMYFUNCTION("""COMPUTED_VALUE"""),64.0)</f>
        <v>64</v>
      </c>
      <c r="L35" s="1">
        <f>IFERROR(__xludf.DUMMYFUNCTION("""COMPUTED_VALUE"""),339.0)</f>
        <v>339</v>
      </c>
      <c r="M35" s="1">
        <f>IFERROR(__xludf.DUMMYFUNCTION("""COMPUTED_VALUE"""),67.8)</f>
        <v>67.8</v>
      </c>
      <c r="N35" s="1">
        <f>IFERROR(__xludf.DUMMYFUNCTION("""COMPUTED_VALUE"""),95.0)</f>
        <v>95</v>
      </c>
      <c r="O35" s="1" t="str">
        <f>IFERROR(__xludf.DUMMYFUNCTION("""COMPUTED_VALUE"""),"Pass")</f>
        <v>Pass</v>
      </c>
    </row>
    <row r="36" ht="15.75" customHeight="1">
      <c r="A36" s="1" t="str">
        <f>IFERROR(__xludf.DUMMYFUNCTION("""COMPUTED_VALUE"""),"STD-1304")</f>
        <v>STD-1304</v>
      </c>
      <c r="B36" s="1" t="str">
        <f>IFERROR(__xludf.DUMMYFUNCTION("""COMPUTED_VALUE"""),"Rohan Das")</f>
        <v>Rohan Das</v>
      </c>
      <c r="C36" s="1" t="str">
        <f>IFERROR(__xludf.DUMMYFUNCTION("""COMPUTED_VALUE"""),"Female")</f>
        <v>Female</v>
      </c>
      <c r="D36" s="1" t="str">
        <f>IFERROR(__xludf.DUMMYFUNCTION("""COMPUTED_VALUE"""),"10")</f>
        <v>10</v>
      </c>
      <c r="E36" s="1" t="str">
        <f>IFERROR(__xludf.DUMMYFUNCTION("""COMPUTED_VALUE"""),"A")</f>
        <v>A</v>
      </c>
      <c r="F36" s="1" t="str">
        <f>IFERROR(__xludf.DUMMYFUNCTION("""COMPUTED_VALUE"""),"Jaipur")</f>
        <v>Jaipur</v>
      </c>
      <c r="G36" s="1">
        <f>IFERROR(__xludf.DUMMYFUNCTION("""COMPUTED_VALUE"""),53.0)</f>
        <v>53</v>
      </c>
      <c r="H36" s="1">
        <f>IFERROR(__xludf.DUMMYFUNCTION("""COMPUTED_VALUE"""),90.0)</f>
        <v>90</v>
      </c>
      <c r="I36" s="1">
        <f>IFERROR(__xludf.DUMMYFUNCTION("""COMPUTED_VALUE"""),91.0)</f>
        <v>91</v>
      </c>
      <c r="J36" s="1">
        <f>IFERROR(__xludf.DUMMYFUNCTION("""COMPUTED_VALUE"""),94.0)</f>
        <v>94</v>
      </c>
      <c r="K36" s="1">
        <f>IFERROR(__xludf.DUMMYFUNCTION("""COMPUTED_VALUE"""),80.0)</f>
        <v>80</v>
      </c>
      <c r="L36" s="1">
        <f>IFERROR(__xludf.DUMMYFUNCTION("""COMPUTED_VALUE"""),408.0)</f>
        <v>408</v>
      </c>
      <c r="M36" s="1">
        <f>IFERROR(__xludf.DUMMYFUNCTION("""COMPUTED_VALUE"""),81.6)</f>
        <v>81.6</v>
      </c>
      <c r="N36" s="1">
        <f>IFERROR(__xludf.DUMMYFUNCTION("""COMPUTED_VALUE"""),86.0)</f>
        <v>86</v>
      </c>
      <c r="O36" s="1" t="str">
        <f>IFERROR(__xludf.DUMMYFUNCTION("""COMPUTED_VALUE"""),"Pass")</f>
        <v>Pass</v>
      </c>
    </row>
    <row r="37" ht="15.75" customHeight="1">
      <c r="A37" s="1" t="str">
        <f>IFERROR(__xludf.DUMMYFUNCTION("""COMPUTED_VALUE"""),"STD-1314")</f>
        <v>STD-1314</v>
      </c>
      <c r="B37" s="1" t="str">
        <f>IFERROR(__xludf.DUMMYFUNCTION("""COMPUTED_VALUE"""),"Sai Das")</f>
        <v>Sai Das</v>
      </c>
      <c r="C37" s="1" t="str">
        <f>IFERROR(__xludf.DUMMYFUNCTION("""COMPUTED_VALUE"""),"Female")</f>
        <v>Female</v>
      </c>
      <c r="D37" s="1" t="str">
        <f>IFERROR(__xludf.DUMMYFUNCTION("""COMPUTED_VALUE"""),"10")</f>
        <v>10</v>
      </c>
      <c r="E37" s="1" t="str">
        <f>IFERROR(__xludf.DUMMYFUNCTION("""COMPUTED_VALUE"""),"C")</f>
        <v>C</v>
      </c>
      <c r="F37" s="1" t="str">
        <f>IFERROR(__xludf.DUMMYFUNCTION("""COMPUTED_VALUE"""),"Bhopal")</f>
        <v>Bhopal</v>
      </c>
      <c r="G37" s="1">
        <f>IFERROR(__xludf.DUMMYFUNCTION("""COMPUTED_VALUE"""),80.0)</f>
        <v>80</v>
      </c>
      <c r="H37" s="1">
        <f>IFERROR(__xludf.DUMMYFUNCTION("""COMPUTED_VALUE"""),96.0)</f>
        <v>96</v>
      </c>
      <c r="I37" s="1">
        <f>IFERROR(__xludf.DUMMYFUNCTION("""COMPUTED_VALUE"""),49.0)</f>
        <v>49</v>
      </c>
      <c r="J37" s="1">
        <f>IFERROR(__xludf.DUMMYFUNCTION("""COMPUTED_VALUE"""),98.0)</f>
        <v>98</v>
      </c>
      <c r="K37" s="1">
        <f>IFERROR(__xludf.DUMMYFUNCTION("""COMPUTED_VALUE"""),97.0)</f>
        <v>97</v>
      </c>
      <c r="L37" s="1">
        <f>IFERROR(__xludf.DUMMYFUNCTION("""COMPUTED_VALUE"""),420.0)</f>
        <v>420</v>
      </c>
      <c r="M37" s="1">
        <f>IFERROR(__xludf.DUMMYFUNCTION("""COMPUTED_VALUE"""),84.0)</f>
        <v>84</v>
      </c>
      <c r="N37" s="1">
        <f>IFERROR(__xludf.DUMMYFUNCTION("""COMPUTED_VALUE"""),85.0)</f>
        <v>85</v>
      </c>
      <c r="O37" s="1" t="str">
        <f>IFERROR(__xludf.DUMMYFUNCTION("""COMPUTED_VALUE"""),"Pass")</f>
        <v>Pass</v>
      </c>
    </row>
    <row r="38" ht="15.75" customHeight="1">
      <c r="A38" s="1" t="str">
        <f>IFERROR(__xludf.DUMMYFUNCTION("""COMPUTED_VALUE"""),"STD-1318")</f>
        <v>STD-1318</v>
      </c>
      <c r="B38" s="1" t="str">
        <f>IFERROR(__xludf.DUMMYFUNCTION("""COMPUTED_VALUE"""),"Vivaan Yadav")</f>
        <v>Vivaan Yadav</v>
      </c>
      <c r="C38" s="1" t="str">
        <f>IFERROR(__xludf.DUMMYFUNCTION("""COMPUTED_VALUE"""),"Female")</f>
        <v>Female</v>
      </c>
      <c r="D38" s="1" t="str">
        <f>IFERROR(__xludf.DUMMYFUNCTION("""COMPUTED_VALUE"""),"10")</f>
        <v>10</v>
      </c>
      <c r="E38" s="1" t="str">
        <f>IFERROR(__xludf.DUMMYFUNCTION("""COMPUTED_VALUE"""),"A")</f>
        <v>A</v>
      </c>
      <c r="F38" s="1" t="str">
        <f>IFERROR(__xludf.DUMMYFUNCTION("""COMPUTED_VALUE"""),"Chandigarh")</f>
        <v>Chandigarh</v>
      </c>
      <c r="G38" s="1">
        <f>IFERROR(__xludf.DUMMYFUNCTION("""COMPUTED_VALUE"""),71.0)</f>
        <v>71</v>
      </c>
      <c r="H38" s="1">
        <f>IFERROR(__xludf.DUMMYFUNCTION("""COMPUTED_VALUE"""),71.0)</f>
        <v>71</v>
      </c>
      <c r="I38" s="1">
        <f>IFERROR(__xludf.DUMMYFUNCTION("""COMPUTED_VALUE"""),83.0)</f>
        <v>83</v>
      </c>
      <c r="J38" s="1">
        <f>IFERROR(__xludf.DUMMYFUNCTION("""COMPUTED_VALUE"""),61.0)</f>
        <v>61</v>
      </c>
      <c r="K38" s="1">
        <f>IFERROR(__xludf.DUMMYFUNCTION("""COMPUTED_VALUE"""),52.0)</f>
        <v>52</v>
      </c>
      <c r="L38" s="1">
        <f>IFERROR(__xludf.DUMMYFUNCTION("""COMPUTED_VALUE"""),338.0)</f>
        <v>338</v>
      </c>
      <c r="M38" s="1">
        <f>IFERROR(__xludf.DUMMYFUNCTION("""COMPUTED_VALUE"""),67.6)</f>
        <v>67.6</v>
      </c>
      <c r="N38" s="1">
        <f>IFERROR(__xludf.DUMMYFUNCTION("""COMPUTED_VALUE"""),82.0)</f>
        <v>82</v>
      </c>
      <c r="O38" s="1" t="str">
        <f>IFERROR(__xludf.DUMMYFUNCTION("""COMPUTED_VALUE"""),"Pass")</f>
        <v>Pass</v>
      </c>
    </row>
    <row r="39" ht="15.75" customHeight="1">
      <c r="A39" s="1" t="str">
        <f>IFERROR(__xludf.DUMMYFUNCTION("""COMPUTED_VALUE"""),"STD-1319")</f>
        <v>STD-1319</v>
      </c>
      <c r="B39" s="1" t="str">
        <f>IFERROR(__xludf.DUMMYFUNCTION("""COMPUTED_VALUE"""),"Ritika Choudhary")</f>
        <v>Ritika Choudhary</v>
      </c>
      <c r="C39" s="1" t="str">
        <f>IFERROR(__xludf.DUMMYFUNCTION("""COMPUTED_VALUE"""),"Female")</f>
        <v>Female</v>
      </c>
      <c r="D39" s="1" t="str">
        <f>IFERROR(__xludf.DUMMYFUNCTION("""COMPUTED_VALUE"""),"10")</f>
        <v>10</v>
      </c>
      <c r="E39" s="1" t="str">
        <f>IFERROR(__xludf.DUMMYFUNCTION("""COMPUTED_VALUE"""),"C")</f>
        <v>C</v>
      </c>
      <c r="F39" s="1" t="str">
        <f>IFERROR(__xludf.DUMMYFUNCTION("""COMPUTED_VALUE"""),"Chandigarh")</f>
        <v>Chandigarh</v>
      </c>
      <c r="G39" s="1">
        <f>IFERROR(__xludf.DUMMYFUNCTION("""COMPUTED_VALUE"""),43.0)</f>
        <v>43</v>
      </c>
      <c r="H39" s="1">
        <f>IFERROR(__xludf.DUMMYFUNCTION("""COMPUTED_VALUE"""),91.0)</f>
        <v>91</v>
      </c>
      <c r="I39" s="1">
        <f>IFERROR(__xludf.DUMMYFUNCTION("""COMPUTED_VALUE"""),70.0)</f>
        <v>70</v>
      </c>
      <c r="J39" s="1">
        <f>IFERROR(__xludf.DUMMYFUNCTION("""COMPUTED_VALUE"""),69.0)</f>
        <v>69</v>
      </c>
      <c r="K39" s="1">
        <f>IFERROR(__xludf.DUMMYFUNCTION("""COMPUTED_VALUE"""),93.0)</f>
        <v>93</v>
      </c>
      <c r="L39" s="1">
        <f>IFERROR(__xludf.DUMMYFUNCTION("""COMPUTED_VALUE"""),366.0)</f>
        <v>366</v>
      </c>
      <c r="M39" s="1">
        <f>IFERROR(__xludf.DUMMYFUNCTION("""COMPUTED_VALUE"""),73.2)</f>
        <v>73.2</v>
      </c>
      <c r="N39" s="1">
        <f>IFERROR(__xludf.DUMMYFUNCTION("""COMPUTED_VALUE"""),90.0)</f>
        <v>90</v>
      </c>
      <c r="O39" s="1" t="str">
        <f>IFERROR(__xludf.DUMMYFUNCTION("""COMPUTED_VALUE"""),"Pass")</f>
        <v>Pass</v>
      </c>
    </row>
    <row r="40" ht="15.75" customHeight="1">
      <c r="A40" s="1" t="str">
        <f>IFERROR(__xludf.DUMMYFUNCTION("""COMPUTED_VALUE"""),"STD-1331")</f>
        <v>STD-1331</v>
      </c>
      <c r="B40" s="1" t="str">
        <f>IFERROR(__xludf.DUMMYFUNCTION("""COMPUTED_VALUE"""),"Arjun Verma")</f>
        <v>Arjun Verma</v>
      </c>
      <c r="C40" s="1" t="str">
        <f>IFERROR(__xludf.DUMMYFUNCTION("""COMPUTED_VALUE"""),"Female")</f>
        <v>Female</v>
      </c>
      <c r="D40" s="1" t="str">
        <f>IFERROR(__xludf.DUMMYFUNCTION("""COMPUTED_VALUE"""),"10")</f>
        <v>10</v>
      </c>
      <c r="E40" s="1" t="str">
        <f>IFERROR(__xludf.DUMMYFUNCTION("""COMPUTED_VALUE"""),"C")</f>
        <v>C</v>
      </c>
      <c r="F40" s="1" t="str">
        <f>IFERROR(__xludf.DUMMYFUNCTION("""COMPUTED_VALUE"""),"Lucknow")</f>
        <v>Lucknow</v>
      </c>
      <c r="G40" s="1">
        <f>IFERROR(__xludf.DUMMYFUNCTION("""COMPUTED_VALUE"""),72.0)</f>
        <v>72</v>
      </c>
      <c r="H40" s="1">
        <f>IFERROR(__xludf.DUMMYFUNCTION("""COMPUTED_VALUE"""),58.0)</f>
        <v>58</v>
      </c>
      <c r="I40" s="1">
        <f>IFERROR(__xludf.DUMMYFUNCTION("""COMPUTED_VALUE"""),62.0)</f>
        <v>62</v>
      </c>
      <c r="J40" s="1">
        <f>IFERROR(__xludf.DUMMYFUNCTION("""COMPUTED_VALUE"""),44.0)</f>
        <v>44</v>
      </c>
      <c r="K40" s="1">
        <f>IFERROR(__xludf.DUMMYFUNCTION("""COMPUTED_VALUE"""),57.0)</f>
        <v>57</v>
      </c>
      <c r="L40" s="1">
        <f>IFERROR(__xludf.DUMMYFUNCTION("""COMPUTED_VALUE"""),293.0)</f>
        <v>293</v>
      </c>
      <c r="M40" s="1">
        <f>IFERROR(__xludf.DUMMYFUNCTION("""COMPUTED_VALUE"""),58.6)</f>
        <v>58.6</v>
      </c>
      <c r="N40" s="1">
        <f>IFERROR(__xludf.DUMMYFUNCTION("""COMPUTED_VALUE"""),80.0)</f>
        <v>80</v>
      </c>
      <c r="O40" s="1" t="str">
        <f>IFERROR(__xludf.DUMMYFUNCTION("""COMPUTED_VALUE"""),"Pass")</f>
        <v>Pass</v>
      </c>
    </row>
    <row r="41" ht="15.75" customHeight="1">
      <c r="A41" s="1" t="str">
        <f>IFERROR(__xludf.DUMMYFUNCTION("""COMPUTED_VALUE"""),"STD-1333")</f>
        <v>STD-1333</v>
      </c>
      <c r="B41" s="1" t="str">
        <f>IFERROR(__xludf.DUMMYFUNCTION("""COMPUTED_VALUE"""),"Kavya Gupta")</f>
        <v>Kavya Gupta</v>
      </c>
      <c r="C41" s="1" t="str">
        <f>IFERROR(__xludf.DUMMYFUNCTION("""COMPUTED_VALUE"""),"Female")</f>
        <v>Female</v>
      </c>
      <c r="D41" s="1" t="str">
        <f>IFERROR(__xludf.DUMMYFUNCTION("""COMPUTED_VALUE"""),"10")</f>
        <v>10</v>
      </c>
      <c r="E41" s="1" t="str">
        <f>IFERROR(__xludf.DUMMYFUNCTION("""COMPUTED_VALUE"""),"C")</f>
        <v>C</v>
      </c>
      <c r="F41" s="1" t="str">
        <f>IFERROR(__xludf.DUMMYFUNCTION("""COMPUTED_VALUE"""),"Mumbai")</f>
        <v>Mumbai</v>
      </c>
      <c r="G41" s="1">
        <f>IFERROR(__xludf.DUMMYFUNCTION("""COMPUTED_VALUE"""),45.0)</f>
        <v>45</v>
      </c>
      <c r="H41" s="1">
        <f>IFERROR(__xludf.DUMMYFUNCTION("""COMPUTED_VALUE"""),47.0)</f>
        <v>47</v>
      </c>
      <c r="I41" s="1">
        <f>IFERROR(__xludf.DUMMYFUNCTION("""COMPUTED_VALUE"""),93.0)</f>
        <v>93</v>
      </c>
      <c r="J41" s="1">
        <f>IFERROR(__xludf.DUMMYFUNCTION("""COMPUTED_VALUE"""),50.0)</f>
        <v>50</v>
      </c>
      <c r="K41" s="1">
        <f>IFERROR(__xludf.DUMMYFUNCTION("""COMPUTED_VALUE"""),82.0)</f>
        <v>82</v>
      </c>
      <c r="L41" s="1">
        <f>IFERROR(__xludf.DUMMYFUNCTION("""COMPUTED_VALUE"""),317.0)</f>
        <v>317</v>
      </c>
      <c r="M41" s="1">
        <f>IFERROR(__xludf.DUMMYFUNCTION("""COMPUTED_VALUE"""),63.4)</f>
        <v>63.4</v>
      </c>
      <c r="N41" s="1">
        <f>IFERROR(__xludf.DUMMYFUNCTION("""COMPUTED_VALUE"""),99.0)</f>
        <v>99</v>
      </c>
      <c r="O41" s="1" t="str">
        <f>IFERROR(__xludf.DUMMYFUNCTION("""COMPUTED_VALUE"""),"Pass")</f>
        <v>Pass</v>
      </c>
    </row>
    <row r="42" ht="15.75" customHeight="1">
      <c r="A42" s="1" t="str">
        <f>IFERROR(__xludf.DUMMYFUNCTION("""COMPUTED_VALUE"""),"STD-1335")</f>
        <v>STD-1335</v>
      </c>
      <c r="B42" s="1" t="str">
        <f>IFERROR(__xludf.DUMMYFUNCTION("""COMPUTED_VALUE"""),"Shreya Iyer")</f>
        <v>Shreya Iyer</v>
      </c>
      <c r="C42" s="1" t="str">
        <f>IFERROR(__xludf.DUMMYFUNCTION("""COMPUTED_VALUE"""),"Female")</f>
        <v>Female</v>
      </c>
      <c r="D42" s="1" t="str">
        <f>IFERROR(__xludf.DUMMYFUNCTION("""COMPUTED_VALUE"""),"10")</f>
        <v>10</v>
      </c>
      <c r="E42" s="1" t="str">
        <f>IFERROR(__xludf.DUMMYFUNCTION("""COMPUTED_VALUE"""),"C")</f>
        <v>C</v>
      </c>
      <c r="F42" s="1" t="str">
        <f>IFERROR(__xludf.DUMMYFUNCTION("""COMPUTED_VALUE"""),"Jaipur")</f>
        <v>Jaipur</v>
      </c>
      <c r="G42" s="1">
        <f>IFERROR(__xludf.DUMMYFUNCTION("""COMPUTED_VALUE"""),71.0)</f>
        <v>71</v>
      </c>
      <c r="H42" s="1">
        <f>IFERROR(__xludf.DUMMYFUNCTION("""COMPUTED_VALUE"""),42.0)</f>
        <v>42</v>
      </c>
      <c r="I42" s="1">
        <f>IFERROR(__xludf.DUMMYFUNCTION("""COMPUTED_VALUE"""),85.0)</f>
        <v>85</v>
      </c>
      <c r="J42" s="1">
        <f>IFERROR(__xludf.DUMMYFUNCTION("""COMPUTED_VALUE"""),81.0)</f>
        <v>81</v>
      </c>
      <c r="K42" s="1">
        <f>IFERROR(__xludf.DUMMYFUNCTION("""COMPUTED_VALUE"""),66.0)</f>
        <v>66</v>
      </c>
      <c r="L42" s="1">
        <f>IFERROR(__xludf.DUMMYFUNCTION("""COMPUTED_VALUE"""),345.0)</f>
        <v>345</v>
      </c>
      <c r="M42" s="1">
        <f>IFERROR(__xludf.DUMMYFUNCTION("""COMPUTED_VALUE"""),69.0)</f>
        <v>69</v>
      </c>
      <c r="N42" s="1">
        <f>IFERROR(__xludf.DUMMYFUNCTION("""COMPUTED_VALUE"""),100.0)</f>
        <v>100</v>
      </c>
      <c r="O42" s="1" t="str">
        <f>IFERROR(__xludf.DUMMYFUNCTION("""COMPUTED_VALUE"""),"Pass")</f>
        <v>Pass</v>
      </c>
    </row>
    <row r="43" ht="15.75" customHeight="1">
      <c r="A43" s="1" t="str">
        <f>IFERROR(__xludf.DUMMYFUNCTION("""COMPUTED_VALUE"""),"STD-1337")</f>
        <v>STD-1337</v>
      </c>
      <c r="B43" s="1" t="str">
        <f>IFERROR(__xludf.DUMMYFUNCTION("""COMPUTED_VALUE"""),"Shreya Singh")</f>
        <v>Shreya Singh</v>
      </c>
      <c r="C43" s="1" t="str">
        <f>IFERROR(__xludf.DUMMYFUNCTION("""COMPUTED_VALUE"""),"Female")</f>
        <v>Female</v>
      </c>
      <c r="D43" s="1" t="str">
        <f>IFERROR(__xludf.DUMMYFUNCTION("""COMPUTED_VALUE"""),"10")</f>
        <v>10</v>
      </c>
      <c r="E43" s="1" t="str">
        <f>IFERROR(__xludf.DUMMYFUNCTION("""COMPUTED_VALUE"""),"B")</f>
        <v>B</v>
      </c>
      <c r="F43" s="1" t="str">
        <f>IFERROR(__xludf.DUMMYFUNCTION("""COMPUTED_VALUE"""),"Chandigarh")</f>
        <v>Chandigarh</v>
      </c>
      <c r="G43" s="1">
        <f>IFERROR(__xludf.DUMMYFUNCTION("""COMPUTED_VALUE"""),77.0)</f>
        <v>77</v>
      </c>
      <c r="H43" s="1">
        <f>IFERROR(__xludf.DUMMYFUNCTION("""COMPUTED_VALUE"""),55.0)</f>
        <v>55</v>
      </c>
      <c r="I43" s="1">
        <f>IFERROR(__xludf.DUMMYFUNCTION("""COMPUTED_VALUE"""),78.0)</f>
        <v>78</v>
      </c>
      <c r="J43" s="1">
        <f>IFERROR(__xludf.DUMMYFUNCTION("""COMPUTED_VALUE"""),74.0)</f>
        <v>74</v>
      </c>
      <c r="K43" s="1">
        <f>IFERROR(__xludf.DUMMYFUNCTION("""COMPUTED_VALUE"""),90.0)</f>
        <v>90</v>
      </c>
      <c r="L43" s="1">
        <f>IFERROR(__xludf.DUMMYFUNCTION("""COMPUTED_VALUE"""),374.0)</f>
        <v>374</v>
      </c>
      <c r="M43" s="1">
        <f>IFERROR(__xludf.DUMMYFUNCTION("""COMPUTED_VALUE"""),74.8)</f>
        <v>74.8</v>
      </c>
      <c r="N43" s="1">
        <f>IFERROR(__xludf.DUMMYFUNCTION("""COMPUTED_VALUE"""),62.0)</f>
        <v>62</v>
      </c>
      <c r="O43" s="1" t="str">
        <f>IFERROR(__xludf.DUMMYFUNCTION("""COMPUTED_VALUE"""),"Pass")</f>
        <v>Pass</v>
      </c>
    </row>
    <row r="44" ht="15.75" customHeight="1">
      <c r="A44" s="1" t="str">
        <f>IFERROR(__xludf.DUMMYFUNCTION("""COMPUTED_VALUE"""),"STD-1340")</f>
        <v>STD-1340</v>
      </c>
      <c r="B44" s="1" t="str">
        <f>IFERROR(__xludf.DUMMYFUNCTION("""COMPUTED_VALUE"""),"Vivaan Patel")</f>
        <v>Vivaan Patel</v>
      </c>
      <c r="C44" s="1" t="str">
        <f>IFERROR(__xludf.DUMMYFUNCTION("""COMPUTED_VALUE"""),"Female")</f>
        <v>Female</v>
      </c>
      <c r="D44" s="1" t="str">
        <f>IFERROR(__xludf.DUMMYFUNCTION("""COMPUTED_VALUE"""),"10")</f>
        <v>10</v>
      </c>
      <c r="E44" s="1" t="str">
        <f>IFERROR(__xludf.DUMMYFUNCTION("""COMPUTED_VALUE"""),"C")</f>
        <v>C</v>
      </c>
      <c r="F44" s="1" t="str">
        <f>IFERROR(__xludf.DUMMYFUNCTION("""COMPUTED_VALUE"""),"Mumbai")</f>
        <v>Mumbai</v>
      </c>
      <c r="G44" s="1">
        <f>IFERROR(__xludf.DUMMYFUNCTION("""COMPUTED_VALUE"""),82.0)</f>
        <v>82</v>
      </c>
      <c r="H44" s="1">
        <f>IFERROR(__xludf.DUMMYFUNCTION("""COMPUTED_VALUE"""),44.0)</f>
        <v>44</v>
      </c>
      <c r="I44" s="1">
        <f>IFERROR(__xludf.DUMMYFUNCTION("""COMPUTED_VALUE"""),50.0)</f>
        <v>50</v>
      </c>
      <c r="J44" s="1">
        <f>IFERROR(__xludf.DUMMYFUNCTION("""COMPUTED_VALUE"""),48.0)</f>
        <v>48</v>
      </c>
      <c r="K44" s="1">
        <f>IFERROR(__xludf.DUMMYFUNCTION("""COMPUTED_VALUE"""),92.0)</f>
        <v>92</v>
      </c>
      <c r="L44" s="1">
        <f>IFERROR(__xludf.DUMMYFUNCTION("""COMPUTED_VALUE"""),316.0)</f>
        <v>316</v>
      </c>
      <c r="M44" s="1">
        <f>IFERROR(__xludf.DUMMYFUNCTION("""COMPUTED_VALUE"""),63.2)</f>
        <v>63.2</v>
      </c>
      <c r="N44" s="1">
        <f>IFERROR(__xludf.DUMMYFUNCTION("""COMPUTED_VALUE"""),89.0)</f>
        <v>89</v>
      </c>
      <c r="O44" s="1" t="str">
        <f>IFERROR(__xludf.DUMMYFUNCTION("""COMPUTED_VALUE"""),"Pass")</f>
        <v>Pass</v>
      </c>
    </row>
    <row r="45" ht="15.75" customHeight="1">
      <c r="A45" s="1" t="str">
        <f>IFERROR(__xludf.DUMMYFUNCTION("""COMPUTED_VALUE"""),"STD-1343")</f>
        <v>STD-1343</v>
      </c>
      <c r="B45" s="1" t="str">
        <f>IFERROR(__xludf.DUMMYFUNCTION("""COMPUTED_VALUE"""),"Simran Yadav")</f>
        <v>Simran Yadav</v>
      </c>
      <c r="C45" s="1" t="str">
        <f>IFERROR(__xludf.DUMMYFUNCTION("""COMPUTED_VALUE"""),"Female")</f>
        <v>Female</v>
      </c>
      <c r="D45" s="1" t="str">
        <f>IFERROR(__xludf.DUMMYFUNCTION("""COMPUTED_VALUE"""),"10")</f>
        <v>10</v>
      </c>
      <c r="E45" s="1" t="str">
        <f>IFERROR(__xludf.DUMMYFUNCTION("""COMPUTED_VALUE"""),"B")</f>
        <v>B</v>
      </c>
      <c r="F45" s="1" t="str">
        <f>IFERROR(__xludf.DUMMYFUNCTION("""COMPUTED_VALUE"""),"Mumbai")</f>
        <v>Mumbai</v>
      </c>
      <c r="G45" s="1">
        <f>IFERROR(__xludf.DUMMYFUNCTION("""COMPUTED_VALUE"""),79.0)</f>
        <v>79</v>
      </c>
      <c r="H45" s="1">
        <f>IFERROR(__xludf.DUMMYFUNCTION("""COMPUTED_VALUE"""),52.0)</f>
        <v>52</v>
      </c>
      <c r="I45" s="1">
        <f>IFERROR(__xludf.DUMMYFUNCTION("""COMPUTED_VALUE"""),100.0)</f>
        <v>100</v>
      </c>
      <c r="J45" s="1">
        <f>IFERROR(__xludf.DUMMYFUNCTION("""COMPUTED_VALUE"""),73.0)</f>
        <v>73</v>
      </c>
      <c r="K45" s="1">
        <f>IFERROR(__xludf.DUMMYFUNCTION("""COMPUTED_VALUE"""),49.0)</f>
        <v>49</v>
      </c>
      <c r="L45" s="1">
        <f>IFERROR(__xludf.DUMMYFUNCTION("""COMPUTED_VALUE"""),353.0)</f>
        <v>353</v>
      </c>
      <c r="M45" s="1">
        <f>IFERROR(__xludf.DUMMYFUNCTION("""COMPUTED_VALUE"""),70.6)</f>
        <v>70.6</v>
      </c>
      <c r="N45" s="1">
        <f>IFERROR(__xludf.DUMMYFUNCTION("""COMPUTED_VALUE"""),89.0)</f>
        <v>89</v>
      </c>
      <c r="O45" s="1" t="str">
        <f>IFERROR(__xludf.DUMMYFUNCTION("""COMPUTED_VALUE"""),"Pass")</f>
        <v>Pass</v>
      </c>
    </row>
    <row r="46" ht="15.75" customHeight="1">
      <c r="A46" s="1" t="str">
        <f>IFERROR(__xludf.DUMMYFUNCTION("""COMPUTED_VALUE"""),"STD-1345")</f>
        <v>STD-1345</v>
      </c>
      <c r="B46" s="1" t="str">
        <f>IFERROR(__xludf.DUMMYFUNCTION("""COMPUTED_VALUE"""),"Vivaan Gupta")</f>
        <v>Vivaan Gupta</v>
      </c>
      <c r="C46" s="1" t="str">
        <f>IFERROR(__xludf.DUMMYFUNCTION("""COMPUTED_VALUE"""),"Female")</f>
        <v>Female</v>
      </c>
      <c r="D46" s="1" t="str">
        <f>IFERROR(__xludf.DUMMYFUNCTION("""COMPUTED_VALUE"""),"10")</f>
        <v>10</v>
      </c>
      <c r="E46" s="1" t="str">
        <f>IFERROR(__xludf.DUMMYFUNCTION("""COMPUTED_VALUE"""),"B")</f>
        <v>B</v>
      </c>
      <c r="F46" s="1" t="str">
        <f>IFERROR(__xludf.DUMMYFUNCTION("""COMPUTED_VALUE"""),"Bhopal")</f>
        <v>Bhopal</v>
      </c>
      <c r="G46" s="1">
        <f>IFERROR(__xludf.DUMMYFUNCTION("""COMPUTED_VALUE"""),93.0)</f>
        <v>93</v>
      </c>
      <c r="H46" s="1">
        <f>IFERROR(__xludf.DUMMYFUNCTION("""COMPUTED_VALUE"""),45.0)</f>
        <v>45</v>
      </c>
      <c r="I46" s="1">
        <f>IFERROR(__xludf.DUMMYFUNCTION("""COMPUTED_VALUE"""),88.0)</f>
        <v>88</v>
      </c>
      <c r="J46" s="1">
        <f>IFERROR(__xludf.DUMMYFUNCTION("""COMPUTED_VALUE"""),77.0)</f>
        <v>77</v>
      </c>
      <c r="K46" s="1">
        <f>IFERROR(__xludf.DUMMYFUNCTION("""COMPUTED_VALUE"""),59.0)</f>
        <v>59</v>
      </c>
      <c r="L46" s="1">
        <f>IFERROR(__xludf.DUMMYFUNCTION("""COMPUTED_VALUE"""),362.0)</f>
        <v>362</v>
      </c>
      <c r="M46" s="1">
        <f>IFERROR(__xludf.DUMMYFUNCTION("""COMPUTED_VALUE"""),72.4)</f>
        <v>72.4</v>
      </c>
      <c r="N46" s="1">
        <f>IFERROR(__xludf.DUMMYFUNCTION("""COMPUTED_VALUE"""),75.0)</f>
        <v>75</v>
      </c>
      <c r="O46" s="1" t="str">
        <f>IFERROR(__xludf.DUMMYFUNCTION("""COMPUTED_VALUE"""),"Pass")</f>
        <v>Pass</v>
      </c>
    </row>
    <row r="47" ht="15.75" customHeight="1">
      <c r="A47" s="1" t="str">
        <f>IFERROR(__xludf.DUMMYFUNCTION("""COMPUTED_VALUE"""),"STD-1346")</f>
        <v>STD-1346</v>
      </c>
      <c r="B47" s="1" t="str">
        <f>IFERROR(__xludf.DUMMYFUNCTION("""COMPUTED_VALUE"""),"Sneha Kaur")</f>
        <v>Sneha Kaur</v>
      </c>
      <c r="C47" s="1" t="str">
        <f>IFERROR(__xludf.DUMMYFUNCTION("""COMPUTED_VALUE"""),"Female")</f>
        <v>Female</v>
      </c>
      <c r="D47" s="1" t="str">
        <f>IFERROR(__xludf.DUMMYFUNCTION("""COMPUTED_VALUE"""),"10")</f>
        <v>10</v>
      </c>
      <c r="E47" s="1" t="str">
        <f>IFERROR(__xludf.DUMMYFUNCTION("""COMPUTED_VALUE"""),"A")</f>
        <v>A</v>
      </c>
      <c r="F47" s="1" t="str">
        <f>IFERROR(__xludf.DUMMYFUNCTION("""COMPUTED_VALUE"""),"Bhopal")</f>
        <v>Bhopal</v>
      </c>
      <c r="G47" s="1">
        <f>IFERROR(__xludf.DUMMYFUNCTION("""COMPUTED_VALUE"""),50.0)</f>
        <v>50</v>
      </c>
      <c r="H47" s="1">
        <f>IFERROR(__xludf.DUMMYFUNCTION("""COMPUTED_VALUE"""),95.0)</f>
        <v>95</v>
      </c>
      <c r="I47" s="1">
        <f>IFERROR(__xludf.DUMMYFUNCTION("""COMPUTED_VALUE"""),42.0)</f>
        <v>42</v>
      </c>
      <c r="J47" s="1">
        <f>IFERROR(__xludf.DUMMYFUNCTION("""COMPUTED_VALUE"""),96.0)</f>
        <v>96</v>
      </c>
      <c r="K47" s="1">
        <f>IFERROR(__xludf.DUMMYFUNCTION("""COMPUTED_VALUE"""),43.0)</f>
        <v>43</v>
      </c>
      <c r="L47" s="1">
        <f>IFERROR(__xludf.DUMMYFUNCTION("""COMPUTED_VALUE"""),326.0)</f>
        <v>326</v>
      </c>
      <c r="M47" s="1">
        <f>IFERROR(__xludf.DUMMYFUNCTION("""COMPUTED_VALUE"""),65.2)</f>
        <v>65.2</v>
      </c>
      <c r="N47" s="1">
        <f>IFERROR(__xludf.DUMMYFUNCTION("""COMPUTED_VALUE"""),88.0)</f>
        <v>88</v>
      </c>
      <c r="O47" s="1" t="str">
        <f>IFERROR(__xludf.DUMMYFUNCTION("""COMPUTED_VALUE"""),"Pass")</f>
        <v>Pass</v>
      </c>
    </row>
    <row r="48" ht="15.75" customHeight="1">
      <c r="A48" s="1" t="str">
        <f>IFERROR(__xludf.DUMMYFUNCTION("""COMPUTED_VALUE"""),"STD-1349")</f>
        <v>STD-1349</v>
      </c>
      <c r="B48" s="1" t="str">
        <f>IFERROR(__xludf.DUMMYFUNCTION("""COMPUTED_VALUE"""),"Sneha Verma")</f>
        <v>Sneha Verma</v>
      </c>
      <c r="C48" s="1" t="str">
        <f>IFERROR(__xludf.DUMMYFUNCTION("""COMPUTED_VALUE"""),"Female")</f>
        <v>Female</v>
      </c>
      <c r="D48" s="1" t="str">
        <f>IFERROR(__xludf.DUMMYFUNCTION("""COMPUTED_VALUE"""),"10")</f>
        <v>10</v>
      </c>
      <c r="E48" s="1" t="str">
        <f>IFERROR(__xludf.DUMMYFUNCTION("""COMPUTED_VALUE"""),"C")</f>
        <v>C</v>
      </c>
      <c r="F48" s="1" t="str">
        <f>IFERROR(__xludf.DUMMYFUNCTION("""COMPUTED_VALUE"""),"Lucknow")</f>
        <v>Lucknow</v>
      </c>
      <c r="G48" s="1">
        <f>IFERROR(__xludf.DUMMYFUNCTION("""COMPUTED_VALUE"""),87.0)</f>
        <v>87</v>
      </c>
      <c r="H48" s="1">
        <f>IFERROR(__xludf.DUMMYFUNCTION("""COMPUTED_VALUE"""),70.0)</f>
        <v>70</v>
      </c>
      <c r="I48" s="1">
        <f>IFERROR(__xludf.DUMMYFUNCTION("""COMPUTED_VALUE"""),67.0)</f>
        <v>67</v>
      </c>
      <c r="J48" s="1">
        <f>IFERROR(__xludf.DUMMYFUNCTION("""COMPUTED_VALUE"""),84.0)</f>
        <v>84</v>
      </c>
      <c r="K48" s="1">
        <f>IFERROR(__xludf.DUMMYFUNCTION("""COMPUTED_VALUE"""),42.0)</f>
        <v>42</v>
      </c>
      <c r="L48" s="1">
        <f>IFERROR(__xludf.DUMMYFUNCTION("""COMPUTED_VALUE"""),350.0)</f>
        <v>350</v>
      </c>
      <c r="M48" s="1">
        <f>IFERROR(__xludf.DUMMYFUNCTION("""COMPUTED_VALUE"""),70.0)</f>
        <v>70</v>
      </c>
      <c r="N48" s="1">
        <f>IFERROR(__xludf.DUMMYFUNCTION("""COMPUTED_VALUE"""),65.0)</f>
        <v>65</v>
      </c>
      <c r="O48" s="1" t="str">
        <f>IFERROR(__xludf.DUMMYFUNCTION("""COMPUTED_VALUE"""),"Pass")</f>
        <v>Pass</v>
      </c>
    </row>
    <row r="49" ht="15.75" customHeight="1">
      <c r="A49" s="1" t="str">
        <f>IFERROR(__xludf.DUMMYFUNCTION("""COMPUTED_VALUE"""),"STD-1351")</f>
        <v>STD-1351</v>
      </c>
      <c r="B49" s="1" t="str">
        <f>IFERROR(__xludf.DUMMYFUNCTION("""COMPUTED_VALUE"""),"Kavya Gupta")</f>
        <v>Kavya Gupta</v>
      </c>
      <c r="C49" s="1" t="str">
        <f>IFERROR(__xludf.DUMMYFUNCTION("""COMPUTED_VALUE"""),"Female")</f>
        <v>Female</v>
      </c>
      <c r="D49" s="1" t="str">
        <f>IFERROR(__xludf.DUMMYFUNCTION("""COMPUTED_VALUE"""),"10")</f>
        <v>10</v>
      </c>
      <c r="E49" s="1" t="str">
        <f>IFERROR(__xludf.DUMMYFUNCTION("""COMPUTED_VALUE"""),"C")</f>
        <v>C</v>
      </c>
      <c r="F49" s="1" t="str">
        <f>IFERROR(__xludf.DUMMYFUNCTION("""COMPUTED_VALUE"""),"Delhi")</f>
        <v>Delhi</v>
      </c>
      <c r="G49" s="1">
        <f>IFERROR(__xludf.DUMMYFUNCTION("""COMPUTED_VALUE"""),50.0)</f>
        <v>50</v>
      </c>
      <c r="H49" s="1">
        <f>IFERROR(__xludf.DUMMYFUNCTION("""COMPUTED_VALUE"""),40.0)</f>
        <v>40</v>
      </c>
      <c r="I49" s="1">
        <f>IFERROR(__xludf.DUMMYFUNCTION("""COMPUTED_VALUE"""),50.0)</f>
        <v>50</v>
      </c>
      <c r="J49" s="1">
        <f>IFERROR(__xludf.DUMMYFUNCTION("""COMPUTED_VALUE"""),98.0)</f>
        <v>98</v>
      </c>
      <c r="K49" s="1">
        <f>IFERROR(__xludf.DUMMYFUNCTION("""COMPUTED_VALUE"""),52.0)</f>
        <v>52</v>
      </c>
      <c r="L49" s="1">
        <f>IFERROR(__xludf.DUMMYFUNCTION("""COMPUTED_VALUE"""),290.0)</f>
        <v>290</v>
      </c>
      <c r="M49" s="1">
        <f>IFERROR(__xludf.DUMMYFUNCTION("""COMPUTED_VALUE"""),58.0)</f>
        <v>58</v>
      </c>
      <c r="N49" s="1">
        <f>IFERROR(__xludf.DUMMYFUNCTION("""COMPUTED_VALUE"""),71.0)</f>
        <v>71</v>
      </c>
      <c r="O49" s="1" t="str">
        <f>IFERROR(__xludf.DUMMYFUNCTION("""COMPUTED_VALUE"""),"Pass")</f>
        <v>Pass</v>
      </c>
    </row>
    <row r="50" ht="15.75" customHeight="1">
      <c r="A50" s="1" t="str">
        <f>IFERROR(__xludf.DUMMYFUNCTION("""COMPUTED_VALUE"""),"STD-1360")</f>
        <v>STD-1360</v>
      </c>
      <c r="B50" s="1" t="str">
        <f>IFERROR(__xludf.DUMMYFUNCTION("""COMPUTED_VALUE"""),"Arjun Yadav")</f>
        <v>Arjun Yadav</v>
      </c>
      <c r="C50" s="1" t="str">
        <f>IFERROR(__xludf.DUMMYFUNCTION("""COMPUTED_VALUE"""),"Female")</f>
        <v>Female</v>
      </c>
      <c r="D50" s="1" t="str">
        <f>IFERROR(__xludf.DUMMYFUNCTION("""COMPUTED_VALUE"""),"10")</f>
        <v>10</v>
      </c>
      <c r="E50" s="1" t="str">
        <f>IFERROR(__xludf.DUMMYFUNCTION("""COMPUTED_VALUE"""),"A")</f>
        <v>A</v>
      </c>
      <c r="F50" s="1" t="str">
        <f>IFERROR(__xludf.DUMMYFUNCTION("""COMPUTED_VALUE"""),"Chandigarh")</f>
        <v>Chandigarh</v>
      </c>
      <c r="G50" s="1">
        <f>IFERROR(__xludf.DUMMYFUNCTION("""COMPUTED_VALUE"""),57.0)</f>
        <v>57</v>
      </c>
      <c r="H50" s="1">
        <f>IFERROR(__xludf.DUMMYFUNCTION("""COMPUTED_VALUE"""),67.0)</f>
        <v>67</v>
      </c>
      <c r="I50" s="1">
        <f>IFERROR(__xludf.DUMMYFUNCTION("""COMPUTED_VALUE"""),95.0)</f>
        <v>95</v>
      </c>
      <c r="J50" s="1">
        <f>IFERROR(__xludf.DUMMYFUNCTION("""COMPUTED_VALUE"""),71.0)</f>
        <v>71</v>
      </c>
      <c r="K50" s="1">
        <f>IFERROR(__xludf.DUMMYFUNCTION("""COMPUTED_VALUE"""),42.0)</f>
        <v>42</v>
      </c>
      <c r="L50" s="1">
        <f>IFERROR(__xludf.DUMMYFUNCTION("""COMPUTED_VALUE"""),332.0)</f>
        <v>332</v>
      </c>
      <c r="M50" s="1">
        <f>IFERROR(__xludf.DUMMYFUNCTION("""COMPUTED_VALUE"""),66.4)</f>
        <v>66.4</v>
      </c>
      <c r="N50" s="1">
        <f>IFERROR(__xludf.DUMMYFUNCTION("""COMPUTED_VALUE"""),94.0)</f>
        <v>94</v>
      </c>
      <c r="O50" s="1" t="str">
        <f>IFERROR(__xludf.DUMMYFUNCTION("""COMPUTED_VALUE"""),"Pass")</f>
        <v>Pass</v>
      </c>
    </row>
    <row r="51" ht="15.75" customHeight="1">
      <c r="A51" s="1" t="str">
        <f>IFERROR(__xludf.DUMMYFUNCTION("""COMPUTED_VALUE"""),"STD-1362")</f>
        <v>STD-1362</v>
      </c>
      <c r="B51" s="1" t="str">
        <f>IFERROR(__xludf.DUMMYFUNCTION("""COMPUTED_VALUE"""),"Ritika Choudhary")</f>
        <v>Ritika Choudhary</v>
      </c>
      <c r="C51" s="1" t="str">
        <f>IFERROR(__xludf.DUMMYFUNCTION("""COMPUTED_VALUE"""),"Female")</f>
        <v>Female</v>
      </c>
      <c r="D51" s="1" t="str">
        <f>IFERROR(__xludf.DUMMYFUNCTION("""COMPUTED_VALUE"""),"10")</f>
        <v>10</v>
      </c>
      <c r="E51" s="1" t="str">
        <f>IFERROR(__xludf.DUMMYFUNCTION("""COMPUTED_VALUE"""),"B")</f>
        <v>B</v>
      </c>
      <c r="F51" s="1" t="str">
        <f>IFERROR(__xludf.DUMMYFUNCTION("""COMPUTED_VALUE"""),"Lucknow")</f>
        <v>Lucknow</v>
      </c>
      <c r="G51" s="1">
        <f>IFERROR(__xludf.DUMMYFUNCTION("""COMPUTED_VALUE"""),61.0)</f>
        <v>61</v>
      </c>
      <c r="H51" s="1">
        <f>IFERROR(__xludf.DUMMYFUNCTION("""COMPUTED_VALUE"""),69.0)</f>
        <v>69</v>
      </c>
      <c r="I51" s="1">
        <f>IFERROR(__xludf.DUMMYFUNCTION("""COMPUTED_VALUE"""),65.0)</f>
        <v>65</v>
      </c>
      <c r="J51" s="1">
        <f>IFERROR(__xludf.DUMMYFUNCTION("""COMPUTED_VALUE"""),46.0)</f>
        <v>46</v>
      </c>
      <c r="K51" s="1">
        <f>IFERROR(__xludf.DUMMYFUNCTION("""COMPUTED_VALUE"""),41.0)</f>
        <v>41</v>
      </c>
      <c r="L51" s="1">
        <f>IFERROR(__xludf.DUMMYFUNCTION("""COMPUTED_VALUE"""),282.0)</f>
        <v>282</v>
      </c>
      <c r="M51" s="1">
        <f>IFERROR(__xludf.DUMMYFUNCTION("""COMPUTED_VALUE"""),56.4)</f>
        <v>56.4</v>
      </c>
      <c r="N51" s="1">
        <f>IFERROR(__xludf.DUMMYFUNCTION("""COMPUTED_VALUE"""),73.0)</f>
        <v>73</v>
      </c>
      <c r="O51" s="1" t="str">
        <f>IFERROR(__xludf.DUMMYFUNCTION("""COMPUTED_VALUE"""),"Pass")</f>
        <v>Pass</v>
      </c>
    </row>
    <row r="52" ht="15.75" customHeight="1">
      <c r="A52" s="1" t="str">
        <f>IFERROR(__xludf.DUMMYFUNCTION("""COMPUTED_VALUE"""),"STD-1393")</f>
        <v>STD-1393</v>
      </c>
      <c r="B52" s="1" t="str">
        <f>IFERROR(__xludf.DUMMYFUNCTION("""COMPUTED_VALUE"""),"Sai Yadav")</f>
        <v>Sai Yadav</v>
      </c>
      <c r="C52" s="1" t="str">
        <f>IFERROR(__xludf.DUMMYFUNCTION("""COMPUTED_VALUE"""),"Female")</f>
        <v>Female</v>
      </c>
      <c r="D52" s="1" t="str">
        <f>IFERROR(__xludf.DUMMYFUNCTION("""COMPUTED_VALUE"""),"10")</f>
        <v>10</v>
      </c>
      <c r="E52" s="1" t="str">
        <f>IFERROR(__xludf.DUMMYFUNCTION("""COMPUTED_VALUE"""),"A")</f>
        <v>A</v>
      </c>
      <c r="F52" s="1" t="str">
        <f>IFERROR(__xludf.DUMMYFUNCTION("""COMPUTED_VALUE"""),"Jaipur")</f>
        <v>Jaipur</v>
      </c>
      <c r="G52" s="1">
        <f>IFERROR(__xludf.DUMMYFUNCTION("""COMPUTED_VALUE"""),48.0)</f>
        <v>48</v>
      </c>
      <c r="H52" s="1">
        <f>IFERROR(__xludf.DUMMYFUNCTION("""COMPUTED_VALUE"""),57.0)</f>
        <v>57</v>
      </c>
      <c r="I52" s="1">
        <f>IFERROR(__xludf.DUMMYFUNCTION("""COMPUTED_VALUE"""),94.0)</f>
        <v>94</v>
      </c>
      <c r="J52" s="1">
        <f>IFERROR(__xludf.DUMMYFUNCTION("""COMPUTED_VALUE"""),60.0)</f>
        <v>60</v>
      </c>
      <c r="K52" s="1">
        <f>IFERROR(__xludf.DUMMYFUNCTION("""COMPUTED_VALUE"""),86.0)</f>
        <v>86</v>
      </c>
      <c r="L52" s="1">
        <f>IFERROR(__xludf.DUMMYFUNCTION("""COMPUTED_VALUE"""),345.0)</f>
        <v>345</v>
      </c>
      <c r="M52" s="1">
        <f>IFERROR(__xludf.DUMMYFUNCTION("""COMPUTED_VALUE"""),69.0)</f>
        <v>69</v>
      </c>
      <c r="N52" s="1">
        <f>IFERROR(__xludf.DUMMYFUNCTION("""COMPUTED_VALUE"""),99.0)</f>
        <v>99</v>
      </c>
      <c r="O52" s="1" t="str">
        <f>IFERROR(__xludf.DUMMYFUNCTION("""COMPUTED_VALUE"""),"Pass")</f>
        <v>Pass</v>
      </c>
    </row>
    <row r="53" ht="15.75" customHeight="1">
      <c r="A53" s="1" t="str">
        <f>IFERROR(__xludf.DUMMYFUNCTION("""COMPUTED_VALUE"""),"STD-1434")</f>
        <v>STD-1434</v>
      </c>
      <c r="B53" s="1" t="str">
        <f>IFERROR(__xludf.DUMMYFUNCTION("""COMPUTED_VALUE"""),"Sai Iyer")</f>
        <v>Sai Iyer</v>
      </c>
      <c r="C53" s="1" t="str">
        <f>IFERROR(__xludf.DUMMYFUNCTION("""COMPUTED_VALUE"""),"Female")</f>
        <v>Female</v>
      </c>
      <c r="D53" s="1" t="str">
        <f>IFERROR(__xludf.DUMMYFUNCTION("""COMPUTED_VALUE"""),"10")</f>
        <v>10</v>
      </c>
      <c r="E53" s="1" t="str">
        <f>IFERROR(__xludf.DUMMYFUNCTION("""COMPUTED_VALUE"""),"B")</f>
        <v>B</v>
      </c>
      <c r="F53" s="1" t="str">
        <f>IFERROR(__xludf.DUMMYFUNCTION("""COMPUTED_VALUE"""),"Patna")</f>
        <v>Patna</v>
      </c>
      <c r="G53" s="1">
        <f>IFERROR(__xludf.DUMMYFUNCTION("""COMPUTED_VALUE"""),63.0)</f>
        <v>63</v>
      </c>
      <c r="H53" s="1">
        <f>IFERROR(__xludf.DUMMYFUNCTION("""COMPUTED_VALUE"""),75.0)</f>
        <v>75</v>
      </c>
      <c r="I53" s="1">
        <f>IFERROR(__xludf.DUMMYFUNCTION("""COMPUTED_VALUE"""),77.0)</f>
        <v>77</v>
      </c>
      <c r="J53" s="1">
        <f>IFERROR(__xludf.DUMMYFUNCTION("""COMPUTED_VALUE"""),67.0)</f>
        <v>67</v>
      </c>
      <c r="K53" s="1">
        <f>IFERROR(__xludf.DUMMYFUNCTION("""COMPUTED_VALUE"""),47.0)</f>
        <v>47</v>
      </c>
      <c r="L53" s="1">
        <f>IFERROR(__xludf.DUMMYFUNCTION("""COMPUTED_VALUE"""),329.0)</f>
        <v>329</v>
      </c>
      <c r="M53" s="1">
        <f>IFERROR(__xludf.DUMMYFUNCTION("""COMPUTED_VALUE"""),65.8)</f>
        <v>65.8</v>
      </c>
      <c r="N53" s="1">
        <f>IFERROR(__xludf.DUMMYFUNCTION("""COMPUTED_VALUE"""),95.0)</f>
        <v>95</v>
      </c>
      <c r="O53" s="1" t="str">
        <f>IFERROR(__xludf.DUMMYFUNCTION("""COMPUTED_VALUE"""),"Pass")</f>
        <v>Pass</v>
      </c>
    </row>
    <row r="54" ht="15.75" customHeight="1">
      <c r="A54" s="1" t="str">
        <f>IFERROR(__xludf.DUMMYFUNCTION("""COMPUTED_VALUE"""),"STD-1435")</f>
        <v>STD-1435</v>
      </c>
      <c r="B54" s="1" t="str">
        <f>IFERROR(__xludf.DUMMYFUNCTION("""COMPUTED_VALUE"""),"Sneha Singh")</f>
        <v>Sneha Singh</v>
      </c>
      <c r="C54" s="1" t="str">
        <f>IFERROR(__xludf.DUMMYFUNCTION("""COMPUTED_VALUE"""),"Female")</f>
        <v>Female</v>
      </c>
      <c r="D54" s="1" t="str">
        <f>IFERROR(__xludf.DUMMYFUNCTION("""COMPUTED_VALUE"""),"10")</f>
        <v>10</v>
      </c>
      <c r="E54" s="1" t="str">
        <f>IFERROR(__xludf.DUMMYFUNCTION("""COMPUTED_VALUE"""),"B")</f>
        <v>B</v>
      </c>
      <c r="F54" s="1" t="str">
        <f>IFERROR(__xludf.DUMMYFUNCTION("""COMPUTED_VALUE"""),"Delhi")</f>
        <v>Delhi</v>
      </c>
      <c r="G54" s="1">
        <f>IFERROR(__xludf.DUMMYFUNCTION("""COMPUTED_VALUE"""),69.0)</f>
        <v>69</v>
      </c>
      <c r="H54" s="1">
        <f>IFERROR(__xludf.DUMMYFUNCTION("""COMPUTED_VALUE"""),59.0)</f>
        <v>59</v>
      </c>
      <c r="I54" s="1">
        <f>IFERROR(__xludf.DUMMYFUNCTION("""COMPUTED_VALUE"""),48.0)</f>
        <v>48</v>
      </c>
      <c r="J54" s="1">
        <f>IFERROR(__xludf.DUMMYFUNCTION("""COMPUTED_VALUE"""),97.0)</f>
        <v>97</v>
      </c>
      <c r="K54" s="1">
        <f>IFERROR(__xludf.DUMMYFUNCTION("""COMPUTED_VALUE"""),67.0)</f>
        <v>67</v>
      </c>
      <c r="L54" s="1">
        <f>IFERROR(__xludf.DUMMYFUNCTION("""COMPUTED_VALUE"""),340.0)</f>
        <v>340</v>
      </c>
      <c r="M54" s="1">
        <f>IFERROR(__xludf.DUMMYFUNCTION("""COMPUTED_VALUE"""),68.0)</f>
        <v>68</v>
      </c>
      <c r="N54" s="1">
        <f>IFERROR(__xludf.DUMMYFUNCTION("""COMPUTED_VALUE"""),96.0)</f>
        <v>96</v>
      </c>
      <c r="O54" s="1" t="str">
        <f>IFERROR(__xludf.DUMMYFUNCTION("""COMPUTED_VALUE"""),"Pass")</f>
        <v>Pass</v>
      </c>
    </row>
    <row r="55" ht="15.75" customHeight="1">
      <c r="A55" s="1" t="str">
        <f>IFERROR(__xludf.DUMMYFUNCTION("""COMPUTED_VALUE"""),"STD-1438")</f>
        <v>STD-1438</v>
      </c>
      <c r="B55" s="1" t="str">
        <f>IFERROR(__xludf.DUMMYFUNCTION("""COMPUTED_VALUE"""),"Simran Sharma")</f>
        <v>Simran Sharma</v>
      </c>
      <c r="C55" s="1" t="str">
        <f>IFERROR(__xludf.DUMMYFUNCTION("""COMPUTED_VALUE"""),"Female")</f>
        <v>Female</v>
      </c>
      <c r="D55" s="1" t="str">
        <f>IFERROR(__xludf.DUMMYFUNCTION("""COMPUTED_VALUE"""),"10")</f>
        <v>10</v>
      </c>
      <c r="E55" s="1" t="str">
        <f>IFERROR(__xludf.DUMMYFUNCTION("""COMPUTED_VALUE"""),"C")</f>
        <v>C</v>
      </c>
      <c r="F55" s="1" t="str">
        <f>IFERROR(__xludf.DUMMYFUNCTION("""COMPUTED_VALUE"""),"Bhopal")</f>
        <v>Bhopal</v>
      </c>
      <c r="G55" s="1">
        <f>IFERROR(__xludf.DUMMYFUNCTION("""COMPUTED_VALUE"""),58.0)</f>
        <v>58</v>
      </c>
      <c r="H55" s="1">
        <f>IFERROR(__xludf.DUMMYFUNCTION("""COMPUTED_VALUE"""),74.0)</f>
        <v>74</v>
      </c>
      <c r="I55" s="1">
        <f>IFERROR(__xludf.DUMMYFUNCTION("""COMPUTED_VALUE"""),85.0)</f>
        <v>85</v>
      </c>
      <c r="J55" s="1">
        <f>IFERROR(__xludf.DUMMYFUNCTION("""COMPUTED_VALUE"""),91.0)</f>
        <v>91</v>
      </c>
      <c r="K55" s="1">
        <f>IFERROR(__xludf.DUMMYFUNCTION("""COMPUTED_VALUE"""),69.0)</f>
        <v>69</v>
      </c>
      <c r="L55" s="1">
        <f>IFERROR(__xludf.DUMMYFUNCTION("""COMPUTED_VALUE"""),377.0)</f>
        <v>377</v>
      </c>
      <c r="M55" s="1">
        <f>IFERROR(__xludf.DUMMYFUNCTION("""COMPUTED_VALUE"""),75.4)</f>
        <v>75.4</v>
      </c>
      <c r="N55" s="1">
        <f>IFERROR(__xludf.DUMMYFUNCTION("""COMPUTED_VALUE"""),88.0)</f>
        <v>88</v>
      </c>
      <c r="O55" s="1" t="str">
        <f>IFERROR(__xludf.DUMMYFUNCTION("""COMPUTED_VALUE"""),"Pass")</f>
        <v>Pass</v>
      </c>
    </row>
    <row r="56" ht="15.75" customHeight="1">
      <c r="A56" s="1" t="str">
        <f>IFERROR(__xludf.DUMMYFUNCTION("""COMPUTED_VALUE"""),"STD-1451")</f>
        <v>STD-1451</v>
      </c>
      <c r="B56" s="1" t="str">
        <f>IFERROR(__xludf.DUMMYFUNCTION("""COMPUTED_VALUE"""),"Tanvi Das")</f>
        <v>Tanvi Das</v>
      </c>
      <c r="C56" s="1" t="str">
        <f>IFERROR(__xludf.DUMMYFUNCTION("""COMPUTED_VALUE"""),"Female")</f>
        <v>Female</v>
      </c>
      <c r="D56" s="1" t="str">
        <f>IFERROR(__xludf.DUMMYFUNCTION("""COMPUTED_VALUE"""),"10")</f>
        <v>10</v>
      </c>
      <c r="E56" s="1" t="str">
        <f>IFERROR(__xludf.DUMMYFUNCTION("""COMPUTED_VALUE"""),"A")</f>
        <v>A</v>
      </c>
      <c r="F56" s="1" t="str">
        <f>IFERROR(__xludf.DUMMYFUNCTION("""COMPUTED_VALUE"""),"Chandigarh")</f>
        <v>Chandigarh</v>
      </c>
      <c r="G56" s="1">
        <f>IFERROR(__xludf.DUMMYFUNCTION("""COMPUTED_VALUE"""),83.0)</f>
        <v>83</v>
      </c>
      <c r="H56" s="1">
        <f>IFERROR(__xludf.DUMMYFUNCTION("""COMPUTED_VALUE"""),64.0)</f>
        <v>64</v>
      </c>
      <c r="I56" s="1">
        <f>IFERROR(__xludf.DUMMYFUNCTION("""COMPUTED_VALUE"""),40.0)</f>
        <v>40</v>
      </c>
      <c r="J56" s="1">
        <f>IFERROR(__xludf.DUMMYFUNCTION("""COMPUTED_VALUE"""),76.0)</f>
        <v>76</v>
      </c>
      <c r="K56" s="1">
        <f>IFERROR(__xludf.DUMMYFUNCTION("""COMPUTED_VALUE"""),75.0)</f>
        <v>75</v>
      </c>
      <c r="L56" s="1">
        <f>IFERROR(__xludf.DUMMYFUNCTION("""COMPUTED_VALUE"""),338.0)</f>
        <v>338</v>
      </c>
      <c r="M56" s="1">
        <f>IFERROR(__xludf.DUMMYFUNCTION("""COMPUTED_VALUE"""),67.6)</f>
        <v>67.6</v>
      </c>
      <c r="N56" s="1">
        <f>IFERROR(__xludf.DUMMYFUNCTION("""COMPUTED_VALUE"""),69.0)</f>
        <v>69</v>
      </c>
      <c r="O56" s="1" t="str">
        <f>IFERROR(__xludf.DUMMYFUNCTION("""COMPUTED_VALUE"""),"Pass")</f>
        <v>Pass</v>
      </c>
    </row>
    <row r="57" ht="15.75" customHeight="1">
      <c r="A57" s="1" t="str">
        <f>IFERROR(__xludf.DUMMYFUNCTION("""COMPUTED_VALUE"""),"STD-1454")</f>
        <v>STD-1454</v>
      </c>
      <c r="B57" s="1" t="str">
        <f>IFERROR(__xludf.DUMMYFUNCTION("""COMPUTED_VALUE"""),"Karan Banerjee")</f>
        <v>Karan Banerjee</v>
      </c>
      <c r="C57" s="1" t="str">
        <f>IFERROR(__xludf.DUMMYFUNCTION("""COMPUTED_VALUE"""),"Female")</f>
        <v>Female</v>
      </c>
      <c r="D57" s="1" t="str">
        <f>IFERROR(__xludf.DUMMYFUNCTION("""COMPUTED_VALUE"""),"10")</f>
        <v>10</v>
      </c>
      <c r="E57" s="1" t="str">
        <f>IFERROR(__xludf.DUMMYFUNCTION("""COMPUTED_VALUE"""),"C")</f>
        <v>C</v>
      </c>
      <c r="F57" s="1" t="str">
        <f>IFERROR(__xludf.DUMMYFUNCTION("""COMPUTED_VALUE"""),"Lucknow")</f>
        <v>Lucknow</v>
      </c>
      <c r="G57" s="1">
        <f>IFERROR(__xludf.DUMMYFUNCTION("""COMPUTED_VALUE"""),84.0)</f>
        <v>84</v>
      </c>
      <c r="H57" s="1">
        <f>IFERROR(__xludf.DUMMYFUNCTION("""COMPUTED_VALUE"""),49.0)</f>
        <v>49</v>
      </c>
      <c r="I57" s="1">
        <f>IFERROR(__xludf.DUMMYFUNCTION("""COMPUTED_VALUE"""),60.0)</f>
        <v>60</v>
      </c>
      <c r="J57" s="1">
        <f>IFERROR(__xludf.DUMMYFUNCTION("""COMPUTED_VALUE"""),68.0)</f>
        <v>68</v>
      </c>
      <c r="K57" s="1">
        <f>IFERROR(__xludf.DUMMYFUNCTION("""COMPUTED_VALUE"""),45.0)</f>
        <v>45</v>
      </c>
      <c r="L57" s="1">
        <f>IFERROR(__xludf.DUMMYFUNCTION("""COMPUTED_VALUE"""),306.0)</f>
        <v>306</v>
      </c>
      <c r="M57" s="1">
        <f>IFERROR(__xludf.DUMMYFUNCTION("""COMPUTED_VALUE"""),61.2)</f>
        <v>61.2</v>
      </c>
      <c r="N57" s="1">
        <f>IFERROR(__xludf.DUMMYFUNCTION("""COMPUTED_VALUE"""),77.0)</f>
        <v>77</v>
      </c>
      <c r="O57" s="1" t="str">
        <f>IFERROR(__xludf.DUMMYFUNCTION("""COMPUTED_VALUE"""),"Pass")</f>
        <v>Pass</v>
      </c>
    </row>
    <row r="58" ht="15.75" customHeight="1">
      <c r="A58" s="1" t="str">
        <f>IFERROR(__xludf.DUMMYFUNCTION("""COMPUTED_VALUE"""),"STD-1458")</f>
        <v>STD-1458</v>
      </c>
      <c r="B58" s="1" t="str">
        <f>IFERROR(__xludf.DUMMYFUNCTION("""COMPUTED_VALUE"""),"Aditya Choudhary")</f>
        <v>Aditya Choudhary</v>
      </c>
      <c r="C58" s="1" t="str">
        <f>IFERROR(__xludf.DUMMYFUNCTION("""COMPUTED_VALUE"""),"Female")</f>
        <v>Female</v>
      </c>
      <c r="D58" s="1" t="str">
        <f>IFERROR(__xludf.DUMMYFUNCTION("""COMPUTED_VALUE"""),"10")</f>
        <v>10</v>
      </c>
      <c r="E58" s="1" t="str">
        <f>IFERROR(__xludf.DUMMYFUNCTION("""COMPUTED_VALUE"""),"C")</f>
        <v>C</v>
      </c>
      <c r="F58" s="1" t="str">
        <f>IFERROR(__xludf.DUMMYFUNCTION("""COMPUTED_VALUE"""),"Bhopal")</f>
        <v>Bhopal</v>
      </c>
      <c r="G58" s="1">
        <f>IFERROR(__xludf.DUMMYFUNCTION("""COMPUTED_VALUE"""),49.0)</f>
        <v>49</v>
      </c>
      <c r="H58" s="1">
        <f>IFERROR(__xludf.DUMMYFUNCTION("""COMPUTED_VALUE"""),83.0)</f>
        <v>83</v>
      </c>
      <c r="I58" s="1">
        <f>IFERROR(__xludf.DUMMYFUNCTION("""COMPUTED_VALUE"""),68.0)</f>
        <v>68</v>
      </c>
      <c r="J58" s="1">
        <f>IFERROR(__xludf.DUMMYFUNCTION("""COMPUTED_VALUE"""),69.0)</f>
        <v>69</v>
      </c>
      <c r="K58" s="1">
        <f>IFERROR(__xludf.DUMMYFUNCTION("""COMPUTED_VALUE"""),93.0)</f>
        <v>93</v>
      </c>
      <c r="L58" s="1">
        <f>IFERROR(__xludf.DUMMYFUNCTION("""COMPUTED_VALUE"""),362.0)</f>
        <v>362</v>
      </c>
      <c r="M58" s="1">
        <f>IFERROR(__xludf.DUMMYFUNCTION("""COMPUTED_VALUE"""),72.4)</f>
        <v>72.4</v>
      </c>
      <c r="N58" s="1">
        <f>IFERROR(__xludf.DUMMYFUNCTION("""COMPUTED_VALUE"""),72.0)</f>
        <v>72</v>
      </c>
      <c r="O58" s="1" t="str">
        <f>IFERROR(__xludf.DUMMYFUNCTION("""COMPUTED_VALUE"""),"Pass")</f>
        <v>Pass</v>
      </c>
    </row>
    <row r="59" ht="15.75" customHeight="1">
      <c r="A59" s="1" t="str">
        <f>IFERROR(__xludf.DUMMYFUNCTION("""COMPUTED_VALUE"""),"STD-1460")</f>
        <v>STD-1460</v>
      </c>
      <c r="B59" s="1" t="str">
        <f>IFERROR(__xludf.DUMMYFUNCTION("""COMPUTED_VALUE"""),"Pooja Iyer")</f>
        <v>Pooja Iyer</v>
      </c>
      <c r="C59" s="1" t="str">
        <f>IFERROR(__xludf.DUMMYFUNCTION("""COMPUTED_VALUE"""),"Female")</f>
        <v>Female</v>
      </c>
      <c r="D59" s="1" t="str">
        <f>IFERROR(__xludf.DUMMYFUNCTION("""COMPUTED_VALUE"""),"10")</f>
        <v>10</v>
      </c>
      <c r="E59" s="1" t="str">
        <f>IFERROR(__xludf.DUMMYFUNCTION("""COMPUTED_VALUE"""),"B")</f>
        <v>B</v>
      </c>
      <c r="F59" s="1" t="str">
        <f>IFERROR(__xludf.DUMMYFUNCTION("""COMPUTED_VALUE"""),"Mumbai")</f>
        <v>Mumbai</v>
      </c>
      <c r="G59" s="1">
        <f>IFERROR(__xludf.DUMMYFUNCTION("""COMPUTED_VALUE"""),47.0)</f>
        <v>47</v>
      </c>
      <c r="H59" s="1">
        <f>IFERROR(__xludf.DUMMYFUNCTION("""COMPUTED_VALUE"""),75.0)</f>
        <v>75</v>
      </c>
      <c r="I59" s="1">
        <f>IFERROR(__xludf.DUMMYFUNCTION("""COMPUTED_VALUE"""),40.0)</f>
        <v>40</v>
      </c>
      <c r="J59" s="1">
        <f>IFERROR(__xludf.DUMMYFUNCTION("""COMPUTED_VALUE"""),65.0)</f>
        <v>65</v>
      </c>
      <c r="K59" s="1">
        <f>IFERROR(__xludf.DUMMYFUNCTION("""COMPUTED_VALUE"""),76.0)</f>
        <v>76</v>
      </c>
      <c r="L59" s="1">
        <f>IFERROR(__xludf.DUMMYFUNCTION("""COMPUTED_VALUE"""),303.0)</f>
        <v>303</v>
      </c>
      <c r="M59" s="1">
        <f>IFERROR(__xludf.DUMMYFUNCTION("""COMPUTED_VALUE"""),60.6)</f>
        <v>60.6</v>
      </c>
      <c r="N59" s="1">
        <f>IFERROR(__xludf.DUMMYFUNCTION("""COMPUTED_VALUE"""),84.0)</f>
        <v>84</v>
      </c>
      <c r="O59" s="1" t="str">
        <f>IFERROR(__xludf.DUMMYFUNCTION("""COMPUTED_VALUE"""),"Pass")</f>
        <v>Pass</v>
      </c>
    </row>
    <row r="60" ht="15.75" customHeight="1">
      <c r="A60" s="1" t="str">
        <f>IFERROR(__xludf.DUMMYFUNCTION("""COMPUTED_VALUE"""),"STD-1487")</f>
        <v>STD-1487</v>
      </c>
      <c r="B60" s="1" t="str">
        <f>IFERROR(__xludf.DUMMYFUNCTION("""COMPUTED_VALUE"""),"Simran Choudhary")</f>
        <v>Simran Choudhary</v>
      </c>
      <c r="C60" s="1" t="str">
        <f>IFERROR(__xludf.DUMMYFUNCTION("""COMPUTED_VALUE"""),"Female")</f>
        <v>Female</v>
      </c>
      <c r="D60" s="1" t="str">
        <f>IFERROR(__xludf.DUMMYFUNCTION("""COMPUTED_VALUE"""),"10")</f>
        <v>10</v>
      </c>
      <c r="E60" s="1" t="str">
        <f>IFERROR(__xludf.DUMMYFUNCTION("""COMPUTED_VALUE"""),"A")</f>
        <v>A</v>
      </c>
      <c r="F60" s="1" t="str">
        <f>IFERROR(__xludf.DUMMYFUNCTION("""COMPUTED_VALUE"""),"Bhopal")</f>
        <v>Bhopal</v>
      </c>
      <c r="G60" s="1">
        <f>IFERROR(__xludf.DUMMYFUNCTION("""COMPUTED_VALUE"""),59.0)</f>
        <v>59</v>
      </c>
      <c r="H60" s="1">
        <f>IFERROR(__xludf.DUMMYFUNCTION("""COMPUTED_VALUE"""),77.0)</f>
        <v>77</v>
      </c>
      <c r="I60" s="1">
        <f>IFERROR(__xludf.DUMMYFUNCTION("""COMPUTED_VALUE"""),97.0)</f>
        <v>97</v>
      </c>
      <c r="J60" s="1">
        <f>IFERROR(__xludf.DUMMYFUNCTION("""COMPUTED_VALUE"""),68.0)</f>
        <v>68</v>
      </c>
      <c r="K60" s="1">
        <f>IFERROR(__xludf.DUMMYFUNCTION("""COMPUTED_VALUE"""),100.0)</f>
        <v>100</v>
      </c>
      <c r="L60" s="1">
        <f>IFERROR(__xludf.DUMMYFUNCTION("""COMPUTED_VALUE"""),401.0)</f>
        <v>401</v>
      </c>
      <c r="M60" s="1">
        <f>IFERROR(__xludf.DUMMYFUNCTION("""COMPUTED_VALUE"""),80.2)</f>
        <v>80.2</v>
      </c>
      <c r="N60" s="1">
        <f>IFERROR(__xludf.DUMMYFUNCTION("""COMPUTED_VALUE"""),72.0)</f>
        <v>72</v>
      </c>
      <c r="O60" s="1" t="str">
        <f>IFERROR(__xludf.DUMMYFUNCTION("""COMPUTED_VALUE"""),"Pass")</f>
        <v>Pass</v>
      </c>
    </row>
    <row r="61" ht="15.75" customHeight="1">
      <c r="A61" s="1" t="str">
        <f>IFERROR(__xludf.DUMMYFUNCTION("""COMPUTED_VALUE"""),"STD-1489")</f>
        <v>STD-1489</v>
      </c>
      <c r="B61" s="1" t="str">
        <f>IFERROR(__xludf.DUMMYFUNCTION("""COMPUTED_VALUE"""),"Sneha Kaur")</f>
        <v>Sneha Kaur</v>
      </c>
      <c r="C61" s="1" t="str">
        <f>IFERROR(__xludf.DUMMYFUNCTION("""COMPUTED_VALUE"""),"Female")</f>
        <v>Female</v>
      </c>
      <c r="D61" s="1" t="str">
        <f>IFERROR(__xludf.DUMMYFUNCTION("""COMPUTED_VALUE"""),"10")</f>
        <v>10</v>
      </c>
      <c r="E61" s="1" t="str">
        <f>IFERROR(__xludf.DUMMYFUNCTION("""COMPUTED_VALUE"""),"B")</f>
        <v>B</v>
      </c>
      <c r="F61" s="1" t="str">
        <f>IFERROR(__xludf.DUMMYFUNCTION("""COMPUTED_VALUE"""),"Mumbai")</f>
        <v>Mumbai</v>
      </c>
      <c r="G61" s="1">
        <f>IFERROR(__xludf.DUMMYFUNCTION("""COMPUTED_VALUE"""),92.0)</f>
        <v>92</v>
      </c>
      <c r="H61" s="1">
        <f>IFERROR(__xludf.DUMMYFUNCTION("""COMPUTED_VALUE"""),73.0)</f>
        <v>73</v>
      </c>
      <c r="I61" s="1">
        <f>IFERROR(__xludf.DUMMYFUNCTION("""COMPUTED_VALUE"""),82.0)</f>
        <v>82</v>
      </c>
      <c r="J61" s="1">
        <f>IFERROR(__xludf.DUMMYFUNCTION("""COMPUTED_VALUE"""),45.0)</f>
        <v>45</v>
      </c>
      <c r="K61" s="1">
        <f>IFERROR(__xludf.DUMMYFUNCTION("""COMPUTED_VALUE"""),69.0)</f>
        <v>69</v>
      </c>
      <c r="L61" s="1">
        <f>IFERROR(__xludf.DUMMYFUNCTION("""COMPUTED_VALUE"""),361.0)</f>
        <v>361</v>
      </c>
      <c r="M61" s="1">
        <f>IFERROR(__xludf.DUMMYFUNCTION("""COMPUTED_VALUE"""),72.2)</f>
        <v>72.2</v>
      </c>
      <c r="N61" s="1">
        <f>IFERROR(__xludf.DUMMYFUNCTION("""COMPUTED_VALUE"""),62.0)</f>
        <v>62</v>
      </c>
      <c r="O61" s="1" t="str">
        <f>IFERROR(__xludf.DUMMYFUNCTION("""COMPUTED_VALUE"""),"Pass")</f>
        <v>Pass</v>
      </c>
    </row>
    <row r="62" ht="15.75" customHeight="1">
      <c r="A62" s="1" t="str">
        <f>IFERROR(__xludf.DUMMYFUNCTION("""COMPUTED_VALUE"""),"STD-1491")</f>
        <v>STD-1491</v>
      </c>
      <c r="B62" s="1" t="str">
        <f>IFERROR(__xludf.DUMMYFUNCTION("""COMPUTED_VALUE"""),"Tanvi Choudhary")</f>
        <v>Tanvi Choudhary</v>
      </c>
      <c r="C62" s="1" t="str">
        <f>IFERROR(__xludf.DUMMYFUNCTION("""COMPUTED_VALUE"""),"Female")</f>
        <v>Female</v>
      </c>
      <c r="D62" s="1" t="str">
        <f>IFERROR(__xludf.DUMMYFUNCTION("""COMPUTED_VALUE"""),"10")</f>
        <v>10</v>
      </c>
      <c r="E62" s="1" t="str">
        <f>IFERROR(__xludf.DUMMYFUNCTION("""COMPUTED_VALUE"""),"B")</f>
        <v>B</v>
      </c>
      <c r="F62" s="1" t="str">
        <f>IFERROR(__xludf.DUMMYFUNCTION("""COMPUTED_VALUE"""),"Delhi")</f>
        <v>Delhi</v>
      </c>
      <c r="G62" s="1">
        <f>IFERROR(__xludf.DUMMYFUNCTION("""COMPUTED_VALUE"""),86.0)</f>
        <v>86</v>
      </c>
      <c r="H62" s="1">
        <f>IFERROR(__xludf.DUMMYFUNCTION("""COMPUTED_VALUE"""),44.0)</f>
        <v>44</v>
      </c>
      <c r="I62" s="1">
        <f>IFERROR(__xludf.DUMMYFUNCTION("""COMPUTED_VALUE"""),72.0)</f>
        <v>72</v>
      </c>
      <c r="J62" s="1">
        <f>IFERROR(__xludf.DUMMYFUNCTION("""COMPUTED_VALUE"""),69.0)</f>
        <v>69</v>
      </c>
      <c r="K62" s="1">
        <f>IFERROR(__xludf.DUMMYFUNCTION("""COMPUTED_VALUE"""),93.0)</f>
        <v>93</v>
      </c>
      <c r="L62" s="1">
        <f>IFERROR(__xludf.DUMMYFUNCTION("""COMPUTED_VALUE"""),364.0)</f>
        <v>364</v>
      </c>
      <c r="M62" s="1">
        <f>IFERROR(__xludf.DUMMYFUNCTION("""COMPUTED_VALUE"""),72.8)</f>
        <v>72.8</v>
      </c>
      <c r="N62" s="1">
        <f>IFERROR(__xludf.DUMMYFUNCTION("""COMPUTED_VALUE"""),68.0)</f>
        <v>68</v>
      </c>
      <c r="O62" s="1" t="str">
        <f>IFERROR(__xludf.DUMMYFUNCTION("""COMPUTED_VALUE"""),"Pass")</f>
        <v>Pass</v>
      </c>
    </row>
    <row r="63" ht="15.75" customHeight="1">
      <c r="A63" s="1" t="str">
        <f>IFERROR(__xludf.DUMMYFUNCTION("""COMPUTED_VALUE"""),"STD-1499")</f>
        <v>STD-1499</v>
      </c>
      <c r="B63" s="1" t="str">
        <f>IFERROR(__xludf.DUMMYFUNCTION("""COMPUTED_VALUE"""),"Kavya Iyer")</f>
        <v>Kavya Iyer</v>
      </c>
      <c r="C63" s="1" t="str">
        <f>IFERROR(__xludf.DUMMYFUNCTION("""COMPUTED_VALUE"""),"Female")</f>
        <v>Female</v>
      </c>
      <c r="D63" s="1" t="str">
        <f>IFERROR(__xludf.DUMMYFUNCTION("""COMPUTED_VALUE"""),"10")</f>
        <v>10</v>
      </c>
      <c r="E63" s="1" t="str">
        <f>IFERROR(__xludf.DUMMYFUNCTION("""COMPUTED_VALUE"""),"A")</f>
        <v>A</v>
      </c>
      <c r="F63" s="1" t="str">
        <f>IFERROR(__xludf.DUMMYFUNCTION("""COMPUTED_VALUE"""),"Kolkata")</f>
        <v>Kolkata</v>
      </c>
      <c r="G63" s="1">
        <f>IFERROR(__xludf.DUMMYFUNCTION("""COMPUTED_VALUE"""),84.0)</f>
        <v>84</v>
      </c>
      <c r="H63" s="1">
        <f>IFERROR(__xludf.DUMMYFUNCTION("""COMPUTED_VALUE"""),76.0)</f>
        <v>76</v>
      </c>
      <c r="I63" s="1">
        <f>IFERROR(__xludf.DUMMYFUNCTION("""COMPUTED_VALUE"""),62.0)</f>
        <v>62</v>
      </c>
      <c r="J63" s="1">
        <f>IFERROR(__xludf.DUMMYFUNCTION("""COMPUTED_VALUE"""),60.0)</f>
        <v>60</v>
      </c>
      <c r="K63" s="1">
        <f>IFERROR(__xludf.DUMMYFUNCTION("""COMPUTED_VALUE"""),64.0)</f>
        <v>64</v>
      </c>
      <c r="L63" s="1">
        <f>IFERROR(__xludf.DUMMYFUNCTION("""COMPUTED_VALUE"""),346.0)</f>
        <v>346</v>
      </c>
      <c r="M63" s="1">
        <f>IFERROR(__xludf.DUMMYFUNCTION("""COMPUTED_VALUE"""),69.2)</f>
        <v>69.2</v>
      </c>
      <c r="N63" s="1">
        <f>IFERROR(__xludf.DUMMYFUNCTION("""COMPUTED_VALUE"""),64.0)</f>
        <v>64</v>
      </c>
      <c r="O63" s="1" t="str">
        <f>IFERROR(__xludf.DUMMYFUNCTION("""COMPUTED_VALUE"""),"Pass")</f>
        <v>Pass</v>
      </c>
    </row>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6" width="14.43"/>
  </cols>
  <sheetData>
    <row r="1">
      <c r="A1" s="2" t="str">
        <f t="array" ref="A1">'Questions Answers'!A8</f>
        <v>7. Find the number of students who passed but have Attendance below 75%.</v>
      </c>
      <c r="B1" s="2"/>
      <c r="C1" s="2"/>
      <c r="D1" s="2"/>
      <c r="E1" s="2"/>
    </row>
    <row r="3">
      <c r="A3" s="1" t="str">
        <f>IFERROR(__xludf.DUMMYFUNCTION("QUERY(Student_Data!A1:O1000, ""SELECT * WHERE O = 'Pass' AND N &lt; 75"")"),"Student_ID")</f>
        <v>Student_ID</v>
      </c>
      <c r="B3" s="1" t="str">
        <f>IFERROR(__xludf.DUMMYFUNCTION("""COMPUTED_VALUE"""),"Full_Name")</f>
        <v>Full_Name</v>
      </c>
      <c r="C3" s="1" t="str">
        <f>IFERROR(__xludf.DUMMYFUNCTION("""COMPUTED_VALUE"""),"Gender")</f>
        <v>Gender</v>
      </c>
      <c r="D3" s="1" t="str">
        <f>IFERROR(__xludf.DUMMYFUNCTION("""COMPUTED_VALUE"""),"Class")</f>
        <v>Class</v>
      </c>
      <c r="E3" s="1" t="str">
        <f>IFERROR(__xludf.DUMMYFUNCTION("""COMPUTED_VALUE"""),"Section")</f>
        <v>Section</v>
      </c>
      <c r="F3" s="1" t="str">
        <f>IFERROR(__xludf.DUMMYFUNCTION("""COMPUTED_VALUE"""),"City")</f>
        <v>City</v>
      </c>
      <c r="G3" s="1" t="str">
        <f>IFERROR(__xludf.DUMMYFUNCTION("""COMPUTED_VALUE"""),"Maths")</f>
        <v>Maths</v>
      </c>
      <c r="H3" s="1" t="str">
        <f>IFERROR(__xludf.DUMMYFUNCTION("""COMPUTED_VALUE"""),"Science")</f>
        <v>Science</v>
      </c>
      <c r="I3" s="1" t="str">
        <f>IFERROR(__xludf.DUMMYFUNCTION("""COMPUTED_VALUE"""),"English")</f>
        <v>English</v>
      </c>
      <c r="J3" s="1" t="str">
        <f>IFERROR(__xludf.DUMMYFUNCTION("""COMPUTED_VALUE"""),"Hindi")</f>
        <v>Hindi</v>
      </c>
      <c r="K3" s="1" t="str">
        <f>IFERROR(__xludf.DUMMYFUNCTION("""COMPUTED_VALUE"""),"Social_Studies")</f>
        <v>Social_Studies</v>
      </c>
      <c r="L3" s="1" t="str">
        <f>IFERROR(__xludf.DUMMYFUNCTION("""COMPUTED_VALUE"""),"Total")</f>
        <v>Total</v>
      </c>
      <c r="M3" s="1" t="str">
        <f>IFERROR(__xludf.DUMMYFUNCTION("""COMPUTED_VALUE"""),"Percentage")</f>
        <v>Percentage</v>
      </c>
      <c r="N3" s="1" t="str">
        <f>IFERROR(__xludf.DUMMYFUNCTION("""COMPUTED_VALUE"""),"Attendance")</f>
        <v>Attendance</v>
      </c>
      <c r="O3" s="1" t="str">
        <f>IFERROR(__xludf.DUMMYFUNCTION("""COMPUTED_VALUE"""),"Status")</f>
        <v>Status</v>
      </c>
    </row>
    <row r="4">
      <c r="A4" s="1" t="str">
        <f>IFERROR(__xludf.DUMMYFUNCTION("""COMPUTED_VALUE"""),"STD-1006")</f>
        <v>STD-1006</v>
      </c>
      <c r="B4" s="1" t="str">
        <f>IFERROR(__xludf.DUMMYFUNCTION("""COMPUTED_VALUE"""),"Aarav Kulkarni")</f>
        <v>Aarav Kulkarni</v>
      </c>
      <c r="C4" s="1" t="str">
        <f>IFERROR(__xludf.DUMMYFUNCTION("""COMPUTED_VALUE"""),"Female")</f>
        <v>Female</v>
      </c>
      <c r="D4" s="1" t="str">
        <f>IFERROR(__xludf.DUMMYFUNCTION("""COMPUTED_VALUE"""),"7")</f>
        <v>7</v>
      </c>
      <c r="E4" s="1" t="str">
        <f>IFERROR(__xludf.DUMMYFUNCTION("""COMPUTED_VALUE"""),"C")</f>
        <v>C</v>
      </c>
      <c r="F4" s="1" t="str">
        <f>IFERROR(__xludf.DUMMYFUNCTION("""COMPUTED_VALUE"""),"Delhi")</f>
        <v>Delhi</v>
      </c>
      <c r="G4" s="1">
        <f>IFERROR(__xludf.DUMMYFUNCTION("""COMPUTED_VALUE"""),97.0)</f>
        <v>97</v>
      </c>
      <c r="H4" s="1">
        <f>IFERROR(__xludf.DUMMYFUNCTION("""COMPUTED_VALUE"""),44.0)</f>
        <v>44</v>
      </c>
      <c r="I4" s="1">
        <f>IFERROR(__xludf.DUMMYFUNCTION("""COMPUTED_VALUE"""),81.0)</f>
        <v>81</v>
      </c>
      <c r="J4" s="1">
        <f>IFERROR(__xludf.DUMMYFUNCTION("""COMPUTED_VALUE"""),69.0)</f>
        <v>69</v>
      </c>
      <c r="K4" s="1">
        <f>IFERROR(__xludf.DUMMYFUNCTION("""COMPUTED_VALUE"""),57.0)</f>
        <v>57</v>
      </c>
      <c r="L4" s="1">
        <f>IFERROR(__xludf.DUMMYFUNCTION("""COMPUTED_VALUE"""),348.0)</f>
        <v>348</v>
      </c>
      <c r="M4" s="1">
        <f>IFERROR(__xludf.DUMMYFUNCTION("""COMPUTED_VALUE"""),69.6)</f>
        <v>69.6</v>
      </c>
      <c r="N4" s="1">
        <f>IFERROR(__xludf.DUMMYFUNCTION("""COMPUTED_VALUE"""),66.0)</f>
        <v>66</v>
      </c>
      <c r="O4" s="1" t="str">
        <f>IFERROR(__xludf.DUMMYFUNCTION("""COMPUTED_VALUE"""),"Pass")</f>
        <v>Pass</v>
      </c>
    </row>
    <row r="5">
      <c r="A5" s="1" t="str">
        <f>IFERROR(__xludf.DUMMYFUNCTION("""COMPUTED_VALUE"""),"STD-1007")</f>
        <v>STD-1007</v>
      </c>
      <c r="B5" s="1" t="str">
        <f>IFERROR(__xludf.DUMMYFUNCTION("""COMPUTED_VALUE"""),"Meera Gupta")</f>
        <v>Meera Gupta</v>
      </c>
      <c r="C5" s="1" t="str">
        <f>IFERROR(__xludf.DUMMYFUNCTION("""COMPUTED_VALUE"""),"Male")</f>
        <v>Male</v>
      </c>
      <c r="D5" s="1" t="str">
        <f>IFERROR(__xludf.DUMMYFUNCTION("""COMPUTED_VALUE"""),"9")</f>
        <v>9</v>
      </c>
      <c r="E5" s="1" t="str">
        <f>IFERROR(__xludf.DUMMYFUNCTION("""COMPUTED_VALUE"""),"C")</f>
        <v>C</v>
      </c>
      <c r="F5" s="1" t="str">
        <f>IFERROR(__xludf.DUMMYFUNCTION("""COMPUTED_VALUE"""),"Lucknow")</f>
        <v>Lucknow</v>
      </c>
      <c r="G5" s="1">
        <f>IFERROR(__xludf.DUMMYFUNCTION("""COMPUTED_VALUE"""),93.0)</f>
        <v>93</v>
      </c>
      <c r="H5" s="1">
        <f>IFERROR(__xludf.DUMMYFUNCTION("""COMPUTED_VALUE"""),100.0)</f>
        <v>100</v>
      </c>
      <c r="I5" s="1">
        <f>IFERROR(__xludf.DUMMYFUNCTION("""COMPUTED_VALUE"""),58.0)</f>
        <v>58</v>
      </c>
      <c r="J5" s="1">
        <f>IFERROR(__xludf.DUMMYFUNCTION("""COMPUTED_VALUE"""),46.0)</f>
        <v>46</v>
      </c>
      <c r="K5" s="1">
        <f>IFERROR(__xludf.DUMMYFUNCTION("""COMPUTED_VALUE"""),67.0)</f>
        <v>67</v>
      </c>
      <c r="L5" s="1">
        <f>IFERROR(__xludf.DUMMYFUNCTION("""COMPUTED_VALUE"""),364.0)</f>
        <v>364</v>
      </c>
      <c r="M5" s="1">
        <f>IFERROR(__xludf.DUMMYFUNCTION("""COMPUTED_VALUE"""),72.8)</f>
        <v>72.8</v>
      </c>
      <c r="N5" s="1">
        <f>IFERROR(__xludf.DUMMYFUNCTION("""COMPUTED_VALUE"""),74.0)</f>
        <v>74</v>
      </c>
      <c r="O5" s="1" t="str">
        <f>IFERROR(__xludf.DUMMYFUNCTION("""COMPUTED_VALUE"""),"Pass")</f>
        <v>Pass</v>
      </c>
    </row>
    <row r="6">
      <c r="A6" s="1" t="str">
        <f>IFERROR(__xludf.DUMMYFUNCTION("""COMPUTED_VALUE"""),"STD-1008")</f>
        <v>STD-1008</v>
      </c>
      <c r="B6" s="1" t="str">
        <f>IFERROR(__xludf.DUMMYFUNCTION("""COMPUTED_VALUE"""),"Kavya Gupta")</f>
        <v>Kavya Gupta</v>
      </c>
      <c r="C6" s="1" t="str">
        <f>IFERROR(__xludf.DUMMYFUNCTION("""COMPUTED_VALUE"""),"Male")</f>
        <v>Male</v>
      </c>
      <c r="D6" s="1" t="str">
        <f>IFERROR(__xludf.DUMMYFUNCTION("""COMPUTED_VALUE"""),"7")</f>
        <v>7</v>
      </c>
      <c r="E6" s="1" t="str">
        <f>IFERROR(__xludf.DUMMYFUNCTION("""COMPUTED_VALUE"""),"C")</f>
        <v>C</v>
      </c>
      <c r="F6" s="1" t="str">
        <f>IFERROR(__xludf.DUMMYFUNCTION("""COMPUTED_VALUE"""),"Bhopal")</f>
        <v>Bhopal</v>
      </c>
      <c r="G6" s="1">
        <f>IFERROR(__xludf.DUMMYFUNCTION("""COMPUTED_VALUE"""),63.0)</f>
        <v>63</v>
      </c>
      <c r="H6" s="1">
        <f>IFERROR(__xludf.DUMMYFUNCTION("""COMPUTED_VALUE"""),99.0)</f>
        <v>99</v>
      </c>
      <c r="I6" s="1">
        <f>IFERROR(__xludf.DUMMYFUNCTION("""COMPUTED_VALUE"""),44.0)</f>
        <v>44</v>
      </c>
      <c r="J6" s="1">
        <f>IFERROR(__xludf.DUMMYFUNCTION("""COMPUTED_VALUE"""),51.0)</f>
        <v>51</v>
      </c>
      <c r="K6" s="1">
        <f>IFERROR(__xludf.DUMMYFUNCTION("""COMPUTED_VALUE"""),59.0)</f>
        <v>59</v>
      </c>
      <c r="L6" s="1">
        <f>IFERROR(__xludf.DUMMYFUNCTION("""COMPUTED_VALUE"""),316.0)</f>
        <v>316</v>
      </c>
      <c r="M6" s="1">
        <f>IFERROR(__xludf.DUMMYFUNCTION("""COMPUTED_VALUE"""),63.2)</f>
        <v>63.2</v>
      </c>
      <c r="N6" s="1">
        <f>IFERROR(__xludf.DUMMYFUNCTION("""COMPUTED_VALUE"""),66.0)</f>
        <v>66</v>
      </c>
      <c r="O6" s="1" t="str">
        <f>IFERROR(__xludf.DUMMYFUNCTION("""COMPUTED_VALUE"""),"Pass")</f>
        <v>Pass</v>
      </c>
    </row>
    <row r="7">
      <c r="A7" s="1" t="str">
        <f>IFERROR(__xludf.DUMMYFUNCTION("""COMPUTED_VALUE"""),"STD-1009")</f>
        <v>STD-1009</v>
      </c>
      <c r="B7" s="1" t="str">
        <f>IFERROR(__xludf.DUMMYFUNCTION("""COMPUTED_VALUE"""),"Vivaan Verma")</f>
        <v>Vivaan Verma</v>
      </c>
      <c r="C7" s="1" t="str">
        <f>IFERROR(__xludf.DUMMYFUNCTION("""COMPUTED_VALUE"""),"Male")</f>
        <v>Male</v>
      </c>
      <c r="D7" s="1" t="str">
        <f>IFERROR(__xludf.DUMMYFUNCTION("""COMPUTED_VALUE"""),"9")</f>
        <v>9</v>
      </c>
      <c r="E7" s="1" t="str">
        <f>IFERROR(__xludf.DUMMYFUNCTION("""COMPUTED_VALUE"""),"B")</f>
        <v>B</v>
      </c>
      <c r="F7" s="1" t="str">
        <f>IFERROR(__xludf.DUMMYFUNCTION("""COMPUTED_VALUE"""),"Kolkata")</f>
        <v>Kolkata</v>
      </c>
      <c r="G7" s="1">
        <f>IFERROR(__xludf.DUMMYFUNCTION("""COMPUTED_VALUE"""),81.0)</f>
        <v>81</v>
      </c>
      <c r="H7" s="1">
        <f>IFERROR(__xludf.DUMMYFUNCTION("""COMPUTED_VALUE"""),62.0)</f>
        <v>62</v>
      </c>
      <c r="I7" s="1">
        <f>IFERROR(__xludf.DUMMYFUNCTION("""COMPUTED_VALUE"""),65.0)</f>
        <v>65</v>
      </c>
      <c r="J7" s="1">
        <f>IFERROR(__xludf.DUMMYFUNCTION("""COMPUTED_VALUE"""),47.0)</f>
        <v>47</v>
      </c>
      <c r="K7" s="1">
        <f>IFERROR(__xludf.DUMMYFUNCTION("""COMPUTED_VALUE"""),57.0)</f>
        <v>57</v>
      </c>
      <c r="L7" s="1">
        <f>IFERROR(__xludf.DUMMYFUNCTION("""COMPUTED_VALUE"""),312.0)</f>
        <v>312</v>
      </c>
      <c r="M7" s="1">
        <f>IFERROR(__xludf.DUMMYFUNCTION("""COMPUTED_VALUE"""),62.4)</f>
        <v>62.4</v>
      </c>
      <c r="N7" s="1">
        <f>IFERROR(__xludf.DUMMYFUNCTION("""COMPUTED_VALUE"""),73.0)</f>
        <v>73</v>
      </c>
      <c r="O7" s="1" t="str">
        <f>IFERROR(__xludf.DUMMYFUNCTION("""COMPUTED_VALUE"""),"Pass")</f>
        <v>Pass</v>
      </c>
    </row>
    <row r="8">
      <c r="A8" s="1" t="str">
        <f>IFERROR(__xludf.DUMMYFUNCTION("""COMPUTED_VALUE"""),"STD-1013")</f>
        <v>STD-1013</v>
      </c>
      <c r="B8" s="1" t="str">
        <f>IFERROR(__xludf.DUMMYFUNCTION("""COMPUTED_VALUE"""),"Sai Verma")</f>
        <v>Sai Verma</v>
      </c>
      <c r="C8" s="1" t="str">
        <f>IFERROR(__xludf.DUMMYFUNCTION("""COMPUTED_VALUE"""),"Female")</f>
        <v>Female</v>
      </c>
      <c r="D8" s="1" t="str">
        <f>IFERROR(__xludf.DUMMYFUNCTION("""COMPUTED_VALUE"""),"8")</f>
        <v>8</v>
      </c>
      <c r="E8" s="1" t="str">
        <f>IFERROR(__xludf.DUMMYFUNCTION("""COMPUTED_VALUE"""),"B")</f>
        <v>B</v>
      </c>
      <c r="F8" s="1" t="str">
        <f>IFERROR(__xludf.DUMMYFUNCTION("""COMPUTED_VALUE"""),"Lucknow")</f>
        <v>Lucknow</v>
      </c>
      <c r="G8" s="1">
        <f>IFERROR(__xludf.DUMMYFUNCTION("""COMPUTED_VALUE"""),75.0)</f>
        <v>75</v>
      </c>
      <c r="H8" s="1">
        <f>IFERROR(__xludf.DUMMYFUNCTION("""COMPUTED_VALUE"""),46.0)</f>
        <v>46</v>
      </c>
      <c r="I8" s="1">
        <f>IFERROR(__xludf.DUMMYFUNCTION("""COMPUTED_VALUE"""),58.0)</f>
        <v>58</v>
      </c>
      <c r="J8" s="1">
        <f>IFERROR(__xludf.DUMMYFUNCTION("""COMPUTED_VALUE"""),77.0)</f>
        <v>77</v>
      </c>
      <c r="K8" s="1">
        <f>IFERROR(__xludf.DUMMYFUNCTION("""COMPUTED_VALUE"""),41.0)</f>
        <v>41</v>
      </c>
      <c r="L8" s="1">
        <f>IFERROR(__xludf.DUMMYFUNCTION("""COMPUTED_VALUE"""),297.0)</f>
        <v>297</v>
      </c>
      <c r="M8" s="1">
        <f>IFERROR(__xludf.DUMMYFUNCTION("""COMPUTED_VALUE"""),59.4)</f>
        <v>59.4</v>
      </c>
      <c r="N8" s="1">
        <f>IFERROR(__xludf.DUMMYFUNCTION("""COMPUTED_VALUE"""),61.0)</f>
        <v>61</v>
      </c>
      <c r="O8" s="1" t="str">
        <f>IFERROR(__xludf.DUMMYFUNCTION("""COMPUTED_VALUE"""),"Pass")</f>
        <v>Pass</v>
      </c>
    </row>
    <row r="9">
      <c r="A9" s="1" t="str">
        <f>IFERROR(__xludf.DUMMYFUNCTION("""COMPUTED_VALUE"""),"STD-1015")</f>
        <v>STD-1015</v>
      </c>
      <c r="B9" s="1" t="str">
        <f>IFERROR(__xludf.DUMMYFUNCTION("""COMPUTED_VALUE"""),"Pooja Jain")</f>
        <v>Pooja Jain</v>
      </c>
      <c r="C9" s="1" t="str">
        <f>IFERROR(__xludf.DUMMYFUNCTION("""COMPUTED_VALUE"""),"Male")</f>
        <v>Male</v>
      </c>
      <c r="D9" s="1" t="str">
        <f>IFERROR(__xludf.DUMMYFUNCTION("""COMPUTED_VALUE"""),"7")</f>
        <v>7</v>
      </c>
      <c r="E9" s="1" t="str">
        <f>IFERROR(__xludf.DUMMYFUNCTION("""COMPUTED_VALUE"""),"A")</f>
        <v>A</v>
      </c>
      <c r="F9" s="1" t="str">
        <f>IFERROR(__xludf.DUMMYFUNCTION("""COMPUTED_VALUE"""),"Patna")</f>
        <v>Patna</v>
      </c>
      <c r="G9" s="1">
        <f>IFERROR(__xludf.DUMMYFUNCTION("""COMPUTED_VALUE"""),62.0)</f>
        <v>62</v>
      </c>
      <c r="H9" s="1">
        <f>IFERROR(__xludf.DUMMYFUNCTION("""COMPUTED_VALUE"""),40.0)</f>
        <v>40</v>
      </c>
      <c r="I9" s="1">
        <f>IFERROR(__xludf.DUMMYFUNCTION("""COMPUTED_VALUE"""),69.0)</f>
        <v>69</v>
      </c>
      <c r="J9" s="1">
        <f>IFERROR(__xludf.DUMMYFUNCTION("""COMPUTED_VALUE"""),98.0)</f>
        <v>98</v>
      </c>
      <c r="K9" s="1">
        <f>IFERROR(__xludf.DUMMYFUNCTION("""COMPUTED_VALUE"""),76.0)</f>
        <v>76</v>
      </c>
      <c r="L9" s="1">
        <f>IFERROR(__xludf.DUMMYFUNCTION("""COMPUTED_VALUE"""),345.0)</f>
        <v>345</v>
      </c>
      <c r="M9" s="1">
        <f>IFERROR(__xludf.DUMMYFUNCTION("""COMPUTED_VALUE"""),69.0)</f>
        <v>69</v>
      </c>
      <c r="N9" s="1">
        <f>IFERROR(__xludf.DUMMYFUNCTION("""COMPUTED_VALUE"""),68.0)</f>
        <v>68</v>
      </c>
      <c r="O9" s="1" t="str">
        <f>IFERROR(__xludf.DUMMYFUNCTION("""COMPUTED_VALUE"""),"Pass")</f>
        <v>Pass</v>
      </c>
    </row>
    <row r="10">
      <c r="A10" s="1" t="str">
        <f>IFERROR(__xludf.DUMMYFUNCTION("""COMPUTED_VALUE"""),"STD-1017")</f>
        <v>STD-1017</v>
      </c>
      <c r="B10" s="1" t="str">
        <f>IFERROR(__xludf.DUMMYFUNCTION("""COMPUTED_VALUE"""),"Rohan Singh")</f>
        <v>Rohan Singh</v>
      </c>
      <c r="C10" s="1" t="str">
        <f>IFERROR(__xludf.DUMMYFUNCTION("""COMPUTED_VALUE"""),"Male")</f>
        <v>Male</v>
      </c>
      <c r="D10" s="1" t="str">
        <f>IFERROR(__xludf.DUMMYFUNCTION("""COMPUTED_VALUE"""),"6")</f>
        <v>6</v>
      </c>
      <c r="E10" s="1" t="str">
        <f>IFERROR(__xludf.DUMMYFUNCTION("""COMPUTED_VALUE"""),"C")</f>
        <v>C</v>
      </c>
      <c r="F10" s="1" t="str">
        <f>IFERROR(__xludf.DUMMYFUNCTION("""COMPUTED_VALUE"""),"Delhi")</f>
        <v>Delhi</v>
      </c>
      <c r="G10" s="1">
        <f>IFERROR(__xludf.DUMMYFUNCTION("""COMPUTED_VALUE"""),90.0)</f>
        <v>90</v>
      </c>
      <c r="H10" s="1">
        <f>IFERROR(__xludf.DUMMYFUNCTION("""COMPUTED_VALUE"""),77.0)</f>
        <v>77</v>
      </c>
      <c r="I10" s="1">
        <f>IFERROR(__xludf.DUMMYFUNCTION("""COMPUTED_VALUE"""),48.0)</f>
        <v>48</v>
      </c>
      <c r="J10" s="1">
        <f>IFERROR(__xludf.DUMMYFUNCTION("""COMPUTED_VALUE"""),79.0)</f>
        <v>79</v>
      </c>
      <c r="K10" s="1">
        <f>IFERROR(__xludf.DUMMYFUNCTION("""COMPUTED_VALUE"""),71.0)</f>
        <v>71</v>
      </c>
      <c r="L10" s="1">
        <f>IFERROR(__xludf.DUMMYFUNCTION("""COMPUTED_VALUE"""),365.0)</f>
        <v>365</v>
      </c>
      <c r="M10" s="1">
        <f>IFERROR(__xludf.DUMMYFUNCTION("""COMPUTED_VALUE"""),73.0)</f>
        <v>73</v>
      </c>
      <c r="N10" s="1">
        <f>IFERROR(__xludf.DUMMYFUNCTION("""COMPUTED_VALUE"""),61.0)</f>
        <v>61</v>
      </c>
      <c r="O10" s="1" t="str">
        <f>IFERROR(__xludf.DUMMYFUNCTION("""COMPUTED_VALUE"""),"Pass")</f>
        <v>Pass</v>
      </c>
    </row>
    <row r="11">
      <c r="A11" s="1" t="str">
        <f>IFERROR(__xludf.DUMMYFUNCTION("""COMPUTED_VALUE"""),"STD-1019")</f>
        <v>STD-1019</v>
      </c>
      <c r="B11" s="1" t="str">
        <f>IFERROR(__xludf.DUMMYFUNCTION("""COMPUTED_VALUE"""),"Karan Iyer")</f>
        <v>Karan Iyer</v>
      </c>
      <c r="C11" s="1" t="str">
        <f>IFERROR(__xludf.DUMMYFUNCTION("""COMPUTED_VALUE"""),"Male")</f>
        <v>Male</v>
      </c>
      <c r="D11" s="1" t="str">
        <f>IFERROR(__xludf.DUMMYFUNCTION("""COMPUTED_VALUE"""),"6")</f>
        <v>6</v>
      </c>
      <c r="E11" s="1" t="str">
        <f>IFERROR(__xludf.DUMMYFUNCTION("""COMPUTED_VALUE"""),"B")</f>
        <v>B</v>
      </c>
      <c r="F11" s="1" t="str">
        <f>IFERROR(__xludf.DUMMYFUNCTION("""COMPUTED_VALUE"""),"Chandigarh")</f>
        <v>Chandigarh</v>
      </c>
      <c r="G11" s="1">
        <f>IFERROR(__xludf.DUMMYFUNCTION("""COMPUTED_VALUE"""),83.0)</f>
        <v>83</v>
      </c>
      <c r="H11" s="1">
        <f>IFERROR(__xludf.DUMMYFUNCTION("""COMPUTED_VALUE"""),60.0)</f>
        <v>60</v>
      </c>
      <c r="I11" s="1">
        <f>IFERROR(__xludf.DUMMYFUNCTION("""COMPUTED_VALUE"""),95.0)</f>
        <v>95</v>
      </c>
      <c r="J11" s="1">
        <f>IFERROR(__xludf.DUMMYFUNCTION("""COMPUTED_VALUE"""),99.0)</f>
        <v>99</v>
      </c>
      <c r="K11" s="1">
        <f>IFERROR(__xludf.DUMMYFUNCTION("""COMPUTED_VALUE"""),66.0)</f>
        <v>66</v>
      </c>
      <c r="L11" s="1">
        <f>IFERROR(__xludf.DUMMYFUNCTION("""COMPUTED_VALUE"""),403.0)</f>
        <v>403</v>
      </c>
      <c r="M11" s="1">
        <f>IFERROR(__xludf.DUMMYFUNCTION("""COMPUTED_VALUE"""),80.6)</f>
        <v>80.6</v>
      </c>
      <c r="N11" s="1">
        <f>IFERROR(__xludf.DUMMYFUNCTION("""COMPUTED_VALUE"""),65.0)</f>
        <v>65</v>
      </c>
      <c r="O11" s="1" t="str">
        <f>IFERROR(__xludf.DUMMYFUNCTION("""COMPUTED_VALUE"""),"Pass")</f>
        <v>Pass</v>
      </c>
    </row>
    <row r="12">
      <c r="A12" s="1" t="str">
        <f>IFERROR(__xludf.DUMMYFUNCTION("""COMPUTED_VALUE"""),"STD-1022")</f>
        <v>STD-1022</v>
      </c>
      <c r="B12" s="1" t="str">
        <f>IFERROR(__xludf.DUMMYFUNCTION("""COMPUTED_VALUE"""),"Rahul Singh")</f>
        <v>Rahul Singh</v>
      </c>
      <c r="C12" s="1" t="str">
        <f>IFERROR(__xludf.DUMMYFUNCTION("""COMPUTED_VALUE"""),"Male")</f>
        <v>Male</v>
      </c>
      <c r="D12" s="1" t="str">
        <f>IFERROR(__xludf.DUMMYFUNCTION("""COMPUTED_VALUE"""),"10")</f>
        <v>10</v>
      </c>
      <c r="E12" s="1" t="str">
        <f>IFERROR(__xludf.DUMMYFUNCTION("""COMPUTED_VALUE"""),"A")</f>
        <v>A</v>
      </c>
      <c r="F12" s="1" t="str">
        <f>IFERROR(__xludf.DUMMYFUNCTION("""COMPUTED_VALUE"""),"Mumbai")</f>
        <v>Mumbai</v>
      </c>
      <c r="G12" s="1">
        <f>IFERROR(__xludf.DUMMYFUNCTION("""COMPUTED_VALUE"""),41.0)</f>
        <v>41</v>
      </c>
      <c r="H12" s="1">
        <f>IFERROR(__xludf.DUMMYFUNCTION("""COMPUTED_VALUE"""),76.0)</f>
        <v>76</v>
      </c>
      <c r="I12" s="1">
        <f>IFERROR(__xludf.DUMMYFUNCTION("""COMPUTED_VALUE"""),65.0)</f>
        <v>65</v>
      </c>
      <c r="J12" s="1">
        <f>IFERROR(__xludf.DUMMYFUNCTION("""COMPUTED_VALUE"""),97.0)</f>
        <v>97</v>
      </c>
      <c r="K12" s="1">
        <f>IFERROR(__xludf.DUMMYFUNCTION("""COMPUTED_VALUE"""),59.0)</f>
        <v>59</v>
      </c>
      <c r="L12" s="1">
        <f>IFERROR(__xludf.DUMMYFUNCTION("""COMPUTED_VALUE"""),338.0)</f>
        <v>338</v>
      </c>
      <c r="M12" s="1">
        <f>IFERROR(__xludf.DUMMYFUNCTION("""COMPUTED_VALUE"""),67.6)</f>
        <v>67.6</v>
      </c>
      <c r="N12" s="1">
        <f>IFERROR(__xludf.DUMMYFUNCTION("""COMPUTED_VALUE"""),62.0)</f>
        <v>62</v>
      </c>
      <c r="O12" s="1" t="str">
        <f>IFERROR(__xludf.DUMMYFUNCTION("""COMPUTED_VALUE"""),"Pass")</f>
        <v>Pass</v>
      </c>
    </row>
    <row r="13">
      <c r="A13" s="1" t="str">
        <f>IFERROR(__xludf.DUMMYFUNCTION("""COMPUTED_VALUE"""),"STD-1024")</f>
        <v>STD-1024</v>
      </c>
      <c r="B13" s="1" t="str">
        <f>IFERROR(__xludf.DUMMYFUNCTION("""COMPUTED_VALUE"""),"Shreya Verma")</f>
        <v>Shreya Verma</v>
      </c>
      <c r="C13" s="1" t="str">
        <f>IFERROR(__xludf.DUMMYFUNCTION("""COMPUTED_VALUE"""),"Male")</f>
        <v>Male</v>
      </c>
      <c r="D13" s="1" t="str">
        <f>IFERROR(__xludf.DUMMYFUNCTION("""COMPUTED_VALUE"""),"6")</f>
        <v>6</v>
      </c>
      <c r="E13" s="1" t="str">
        <f>IFERROR(__xludf.DUMMYFUNCTION("""COMPUTED_VALUE"""),"B")</f>
        <v>B</v>
      </c>
      <c r="F13" s="1" t="str">
        <f>IFERROR(__xludf.DUMMYFUNCTION("""COMPUTED_VALUE"""),"Chandigarh")</f>
        <v>Chandigarh</v>
      </c>
      <c r="G13" s="1">
        <f>IFERROR(__xludf.DUMMYFUNCTION("""COMPUTED_VALUE"""),59.0)</f>
        <v>59</v>
      </c>
      <c r="H13" s="1">
        <f>IFERROR(__xludf.DUMMYFUNCTION("""COMPUTED_VALUE"""),56.0)</f>
        <v>56</v>
      </c>
      <c r="I13" s="1">
        <f>IFERROR(__xludf.DUMMYFUNCTION("""COMPUTED_VALUE"""),79.0)</f>
        <v>79</v>
      </c>
      <c r="J13" s="1">
        <f>IFERROR(__xludf.DUMMYFUNCTION("""COMPUTED_VALUE"""),80.0)</f>
        <v>80</v>
      </c>
      <c r="K13" s="1">
        <f>IFERROR(__xludf.DUMMYFUNCTION("""COMPUTED_VALUE"""),90.0)</f>
        <v>90</v>
      </c>
      <c r="L13" s="1">
        <f>IFERROR(__xludf.DUMMYFUNCTION("""COMPUTED_VALUE"""),364.0)</f>
        <v>364</v>
      </c>
      <c r="M13" s="1">
        <f>IFERROR(__xludf.DUMMYFUNCTION("""COMPUTED_VALUE"""),72.8)</f>
        <v>72.8</v>
      </c>
      <c r="N13" s="1">
        <f>IFERROR(__xludf.DUMMYFUNCTION("""COMPUTED_VALUE"""),60.0)</f>
        <v>60</v>
      </c>
      <c r="O13" s="1" t="str">
        <f>IFERROR(__xludf.DUMMYFUNCTION("""COMPUTED_VALUE"""),"Pass")</f>
        <v>Pass</v>
      </c>
    </row>
    <row r="14">
      <c r="A14" s="1" t="str">
        <f>IFERROR(__xludf.DUMMYFUNCTION("""COMPUTED_VALUE"""),"STD-1027")</f>
        <v>STD-1027</v>
      </c>
      <c r="B14" s="1" t="str">
        <f>IFERROR(__xludf.DUMMYFUNCTION("""COMPUTED_VALUE"""),"Ishita Yadav")</f>
        <v>Ishita Yadav</v>
      </c>
      <c r="C14" s="1" t="str">
        <f>IFERROR(__xludf.DUMMYFUNCTION("""COMPUTED_VALUE"""),"Female")</f>
        <v>Female</v>
      </c>
      <c r="D14" s="1" t="str">
        <f>IFERROR(__xludf.DUMMYFUNCTION("""COMPUTED_VALUE"""),"8")</f>
        <v>8</v>
      </c>
      <c r="E14" s="1" t="str">
        <f>IFERROR(__xludf.DUMMYFUNCTION("""COMPUTED_VALUE"""),"B")</f>
        <v>B</v>
      </c>
      <c r="F14" s="1" t="str">
        <f>IFERROR(__xludf.DUMMYFUNCTION("""COMPUTED_VALUE"""),"Mumbai")</f>
        <v>Mumbai</v>
      </c>
      <c r="G14" s="1">
        <f>IFERROR(__xludf.DUMMYFUNCTION("""COMPUTED_VALUE"""),100.0)</f>
        <v>100</v>
      </c>
      <c r="H14" s="1">
        <f>IFERROR(__xludf.DUMMYFUNCTION("""COMPUTED_VALUE"""),49.0)</f>
        <v>49</v>
      </c>
      <c r="I14" s="1">
        <f>IFERROR(__xludf.DUMMYFUNCTION("""COMPUTED_VALUE"""),69.0)</f>
        <v>69</v>
      </c>
      <c r="J14" s="1">
        <f>IFERROR(__xludf.DUMMYFUNCTION("""COMPUTED_VALUE"""),66.0)</f>
        <v>66</v>
      </c>
      <c r="K14" s="1">
        <f>IFERROR(__xludf.DUMMYFUNCTION("""COMPUTED_VALUE"""),72.0)</f>
        <v>72</v>
      </c>
      <c r="L14" s="1">
        <f>IFERROR(__xludf.DUMMYFUNCTION("""COMPUTED_VALUE"""),356.0)</f>
        <v>356</v>
      </c>
      <c r="M14" s="1">
        <f>IFERROR(__xludf.DUMMYFUNCTION("""COMPUTED_VALUE"""),71.2)</f>
        <v>71.2</v>
      </c>
      <c r="N14" s="1">
        <f>IFERROR(__xludf.DUMMYFUNCTION("""COMPUTED_VALUE"""),70.0)</f>
        <v>70</v>
      </c>
      <c r="O14" s="1" t="str">
        <f>IFERROR(__xludf.DUMMYFUNCTION("""COMPUTED_VALUE"""),"Pass")</f>
        <v>Pass</v>
      </c>
    </row>
    <row r="15">
      <c r="A15" s="1" t="str">
        <f>IFERROR(__xludf.DUMMYFUNCTION("""COMPUTED_VALUE"""),"STD-1035")</f>
        <v>STD-1035</v>
      </c>
      <c r="B15" s="1" t="str">
        <f>IFERROR(__xludf.DUMMYFUNCTION("""COMPUTED_VALUE"""),"Kavya Kulkarni")</f>
        <v>Kavya Kulkarni</v>
      </c>
      <c r="C15" s="1" t="str">
        <f>IFERROR(__xludf.DUMMYFUNCTION("""COMPUTED_VALUE"""),"Female")</f>
        <v>Female</v>
      </c>
      <c r="D15" s="1" t="str">
        <f>IFERROR(__xludf.DUMMYFUNCTION("""COMPUTED_VALUE"""),"10")</f>
        <v>10</v>
      </c>
      <c r="E15" s="1" t="str">
        <f>IFERROR(__xludf.DUMMYFUNCTION("""COMPUTED_VALUE"""),"B")</f>
        <v>B</v>
      </c>
      <c r="F15" s="1" t="str">
        <f>IFERROR(__xludf.DUMMYFUNCTION("""COMPUTED_VALUE"""),"Lucknow")</f>
        <v>Lucknow</v>
      </c>
      <c r="G15" s="1">
        <f>IFERROR(__xludf.DUMMYFUNCTION("""COMPUTED_VALUE"""),54.0)</f>
        <v>54</v>
      </c>
      <c r="H15" s="1">
        <f>IFERROR(__xludf.DUMMYFUNCTION("""COMPUTED_VALUE"""),58.0)</f>
        <v>58</v>
      </c>
      <c r="I15" s="1">
        <f>IFERROR(__xludf.DUMMYFUNCTION("""COMPUTED_VALUE"""),43.0)</f>
        <v>43</v>
      </c>
      <c r="J15" s="1">
        <f>IFERROR(__xludf.DUMMYFUNCTION("""COMPUTED_VALUE"""),100.0)</f>
        <v>100</v>
      </c>
      <c r="K15" s="1">
        <f>IFERROR(__xludf.DUMMYFUNCTION("""COMPUTED_VALUE"""),48.0)</f>
        <v>48</v>
      </c>
      <c r="L15" s="1">
        <f>IFERROR(__xludf.DUMMYFUNCTION("""COMPUTED_VALUE"""),303.0)</f>
        <v>303</v>
      </c>
      <c r="M15" s="1">
        <f>IFERROR(__xludf.DUMMYFUNCTION("""COMPUTED_VALUE"""),60.6)</f>
        <v>60.6</v>
      </c>
      <c r="N15" s="1">
        <f>IFERROR(__xludf.DUMMYFUNCTION("""COMPUTED_VALUE"""),66.0)</f>
        <v>66</v>
      </c>
      <c r="O15" s="1" t="str">
        <f>IFERROR(__xludf.DUMMYFUNCTION("""COMPUTED_VALUE"""),"Pass")</f>
        <v>Pass</v>
      </c>
    </row>
    <row r="16">
      <c r="A16" s="1" t="str">
        <f>IFERROR(__xludf.DUMMYFUNCTION("""COMPUTED_VALUE"""),"STD-1039")</f>
        <v>STD-1039</v>
      </c>
      <c r="B16" s="1" t="str">
        <f>IFERROR(__xludf.DUMMYFUNCTION("""COMPUTED_VALUE"""),"Meera Singh")</f>
        <v>Meera Singh</v>
      </c>
      <c r="C16" s="1" t="str">
        <f>IFERROR(__xludf.DUMMYFUNCTION("""COMPUTED_VALUE"""),"Male")</f>
        <v>Male</v>
      </c>
      <c r="D16" s="1" t="str">
        <f>IFERROR(__xludf.DUMMYFUNCTION("""COMPUTED_VALUE"""),"7")</f>
        <v>7</v>
      </c>
      <c r="E16" s="1" t="str">
        <f>IFERROR(__xludf.DUMMYFUNCTION("""COMPUTED_VALUE"""),"C")</f>
        <v>C</v>
      </c>
      <c r="F16" s="1" t="str">
        <f>IFERROR(__xludf.DUMMYFUNCTION("""COMPUTED_VALUE"""),"Kolkata")</f>
        <v>Kolkata</v>
      </c>
      <c r="G16" s="1">
        <f>IFERROR(__xludf.DUMMYFUNCTION("""COMPUTED_VALUE"""),55.0)</f>
        <v>55</v>
      </c>
      <c r="H16" s="1">
        <f>IFERROR(__xludf.DUMMYFUNCTION("""COMPUTED_VALUE"""),75.0)</f>
        <v>75</v>
      </c>
      <c r="I16" s="1">
        <f>IFERROR(__xludf.DUMMYFUNCTION("""COMPUTED_VALUE"""),45.0)</f>
        <v>45</v>
      </c>
      <c r="J16" s="1">
        <f>IFERROR(__xludf.DUMMYFUNCTION("""COMPUTED_VALUE"""),48.0)</f>
        <v>48</v>
      </c>
      <c r="K16" s="1">
        <f>IFERROR(__xludf.DUMMYFUNCTION("""COMPUTED_VALUE"""),72.0)</f>
        <v>72</v>
      </c>
      <c r="L16" s="1">
        <f>IFERROR(__xludf.DUMMYFUNCTION("""COMPUTED_VALUE"""),295.0)</f>
        <v>295</v>
      </c>
      <c r="M16" s="1">
        <f>IFERROR(__xludf.DUMMYFUNCTION("""COMPUTED_VALUE"""),59.0)</f>
        <v>59</v>
      </c>
      <c r="N16" s="1">
        <f>IFERROR(__xludf.DUMMYFUNCTION("""COMPUTED_VALUE"""),74.0)</f>
        <v>74</v>
      </c>
      <c r="O16" s="1" t="str">
        <f>IFERROR(__xludf.DUMMYFUNCTION("""COMPUTED_VALUE"""),"Pass")</f>
        <v>Pass</v>
      </c>
    </row>
    <row r="17">
      <c r="A17" s="1" t="str">
        <f>IFERROR(__xludf.DUMMYFUNCTION("""COMPUTED_VALUE"""),"STD-1042")</f>
        <v>STD-1042</v>
      </c>
      <c r="B17" s="1" t="str">
        <f>IFERROR(__xludf.DUMMYFUNCTION("""COMPUTED_VALUE"""),"Tanvi Choudhary")</f>
        <v>Tanvi Choudhary</v>
      </c>
      <c r="C17" s="1" t="str">
        <f>IFERROR(__xludf.DUMMYFUNCTION("""COMPUTED_VALUE"""),"Female")</f>
        <v>Female</v>
      </c>
      <c r="D17" s="1" t="str">
        <f>IFERROR(__xludf.DUMMYFUNCTION("""COMPUTED_VALUE"""),"7")</f>
        <v>7</v>
      </c>
      <c r="E17" s="1" t="str">
        <f>IFERROR(__xludf.DUMMYFUNCTION("""COMPUTED_VALUE"""),"A")</f>
        <v>A</v>
      </c>
      <c r="F17" s="1" t="str">
        <f>IFERROR(__xludf.DUMMYFUNCTION("""COMPUTED_VALUE"""),"Kolkata")</f>
        <v>Kolkata</v>
      </c>
      <c r="G17" s="1">
        <f>IFERROR(__xludf.DUMMYFUNCTION("""COMPUTED_VALUE"""),42.0)</f>
        <v>42</v>
      </c>
      <c r="H17" s="1">
        <f>IFERROR(__xludf.DUMMYFUNCTION("""COMPUTED_VALUE"""),100.0)</f>
        <v>100</v>
      </c>
      <c r="I17" s="1">
        <f>IFERROR(__xludf.DUMMYFUNCTION("""COMPUTED_VALUE"""),44.0)</f>
        <v>44</v>
      </c>
      <c r="J17" s="1">
        <f>IFERROR(__xludf.DUMMYFUNCTION("""COMPUTED_VALUE"""),93.0)</f>
        <v>93</v>
      </c>
      <c r="K17" s="1">
        <f>IFERROR(__xludf.DUMMYFUNCTION("""COMPUTED_VALUE"""),75.0)</f>
        <v>75</v>
      </c>
      <c r="L17" s="1">
        <f>IFERROR(__xludf.DUMMYFUNCTION("""COMPUTED_VALUE"""),354.0)</f>
        <v>354</v>
      </c>
      <c r="M17" s="1">
        <f>IFERROR(__xludf.DUMMYFUNCTION("""COMPUTED_VALUE"""),70.8)</f>
        <v>70.8</v>
      </c>
      <c r="N17" s="1">
        <f>IFERROR(__xludf.DUMMYFUNCTION("""COMPUTED_VALUE"""),66.0)</f>
        <v>66</v>
      </c>
      <c r="O17" s="1" t="str">
        <f>IFERROR(__xludf.DUMMYFUNCTION("""COMPUTED_VALUE"""),"Pass")</f>
        <v>Pass</v>
      </c>
    </row>
    <row r="18">
      <c r="A18" s="1" t="str">
        <f>IFERROR(__xludf.DUMMYFUNCTION("""COMPUTED_VALUE"""),"STD-1043")</f>
        <v>STD-1043</v>
      </c>
      <c r="B18" s="1" t="str">
        <f>IFERROR(__xludf.DUMMYFUNCTION("""COMPUTED_VALUE"""),"Priya Jain")</f>
        <v>Priya Jain</v>
      </c>
      <c r="C18" s="1" t="str">
        <f>IFERROR(__xludf.DUMMYFUNCTION("""COMPUTED_VALUE"""),"Male")</f>
        <v>Male</v>
      </c>
      <c r="D18" s="1" t="str">
        <f>IFERROR(__xludf.DUMMYFUNCTION("""COMPUTED_VALUE"""),"9")</f>
        <v>9</v>
      </c>
      <c r="E18" s="1" t="str">
        <f>IFERROR(__xludf.DUMMYFUNCTION("""COMPUTED_VALUE"""),"A")</f>
        <v>A</v>
      </c>
      <c r="F18" s="1" t="str">
        <f>IFERROR(__xludf.DUMMYFUNCTION("""COMPUTED_VALUE"""),"Mumbai")</f>
        <v>Mumbai</v>
      </c>
      <c r="G18" s="1">
        <f>IFERROR(__xludf.DUMMYFUNCTION("""COMPUTED_VALUE"""),88.0)</f>
        <v>88</v>
      </c>
      <c r="H18" s="1">
        <f>IFERROR(__xludf.DUMMYFUNCTION("""COMPUTED_VALUE"""),98.0)</f>
        <v>98</v>
      </c>
      <c r="I18" s="1">
        <f>IFERROR(__xludf.DUMMYFUNCTION("""COMPUTED_VALUE"""),45.0)</f>
        <v>45</v>
      </c>
      <c r="J18" s="1">
        <f>IFERROR(__xludf.DUMMYFUNCTION("""COMPUTED_VALUE"""),50.0)</f>
        <v>50</v>
      </c>
      <c r="K18" s="1">
        <f>IFERROR(__xludf.DUMMYFUNCTION("""COMPUTED_VALUE"""),53.0)</f>
        <v>53</v>
      </c>
      <c r="L18" s="1">
        <f>IFERROR(__xludf.DUMMYFUNCTION("""COMPUTED_VALUE"""),334.0)</f>
        <v>334</v>
      </c>
      <c r="M18" s="1">
        <f>IFERROR(__xludf.DUMMYFUNCTION("""COMPUTED_VALUE"""),66.8)</f>
        <v>66.8</v>
      </c>
      <c r="N18" s="1">
        <f>IFERROR(__xludf.DUMMYFUNCTION("""COMPUTED_VALUE"""),63.0)</f>
        <v>63</v>
      </c>
      <c r="O18" s="1" t="str">
        <f>IFERROR(__xludf.DUMMYFUNCTION("""COMPUTED_VALUE"""),"Pass")</f>
        <v>Pass</v>
      </c>
    </row>
    <row r="19">
      <c r="A19" s="1" t="str">
        <f>IFERROR(__xludf.DUMMYFUNCTION("""COMPUTED_VALUE"""),"STD-1048")</f>
        <v>STD-1048</v>
      </c>
      <c r="B19" s="1" t="str">
        <f>IFERROR(__xludf.DUMMYFUNCTION("""COMPUTED_VALUE"""),"Aditya Iyer")</f>
        <v>Aditya Iyer</v>
      </c>
      <c r="C19" s="1" t="str">
        <f>IFERROR(__xludf.DUMMYFUNCTION("""COMPUTED_VALUE"""),"Male")</f>
        <v>Male</v>
      </c>
      <c r="D19" s="1" t="str">
        <f>IFERROR(__xludf.DUMMYFUNCTION("""COMPUTED_VALUE"""),"7")</f>
        <v>7</v>
      </c>
      <c r="E19" s="1" t="str">
        <f>IFERROR(__xludf.DUMMYFUNCTION("""COMPUTED_VALUE"""),"C")</f>
        <v>C</v>
      </c>
      <c r="F19" s="1" t="str">
        <f>IFERROR(__xludf.DUMMYFUNCTION("""COMPUTED_VALUE"""),"Bhopal")</f>
        <v>Bhopal</v>
      </c>
      <c r="G19" s="1">
        <f>IFERROR(__xludf.DUMMYFUNCTION("""COMPUTED_VALUE"""),70.0)</f>
        <v>70</v>
      </c>
      <c r="H19" s="1">
        <f>IFERROR(__xludf.DUMMYFUNCTION("""COMPUTED_VALUE"""),89.0)</f>
        <v>89</v>
      </c>
      <c r="I19" s="1">
        <f>IFERROR(__xludf.DUMMYFUNCTION("""COMPUTED_VALUE"""),69.0)</f>
        <v>69</v>
      </c>
      <c r="J19" s="1">
        <f>IFERROR(__xludf.DUMMYFUNCTION("""COMPUTED_VALUE"""),45.0)</f>
        <v>45</v>
      </c>
      <c r="K19" s="1">
        <f>IFERROR(__xludf.DUMMYFUNCTION("""COMPUTED_VALUE"""),77.0)</f>
        <v>77</v>
      </c>
      <c r="L19" s="1">
        <f>IFERROR(__xludf.DUMMYFUNCTION("""COMPUTED_VALUE"""),350.0)</f>
        <v>350</v>
      </c>
      <c r="M19" s="1">
        <f>IFERROR(__xludf.DUMMYFUNCTION("""COMPUTED_VALUE"""),70.0)</f>
        <v>70</v>
      </c>
      <c r="N19" s="1">
        <f>IFERROR(__xludf.DUMMYFUNCTION("""COMPUTED_VALUE"""),62.0)</f>
        <v>62</v>
      </c>
      <c r="O19" s="1" t="str">
        <f>IFERROR(__xludf.DUMMYFUNCTION("""COMPUTED_VALUE"""),"Pass")</f>
        <v>Pass</v>
      </c>
    </row>
    <row r="20">
      <c r="A20" s="1" t="str">
        <f>IFERROR(__xludf.DUMMYFUNCTION("""COMPUTED_VALUE"""),"STD-1053")</f>
        <v>STD-1053</v>
      </c>
      <c r="B20" s="1" t="str">
        <f>IFERROR(__xludf.DUMMYFUNCTION("""COMPUTED_VALUE"""),"Karan Kulkarni")</f>
        <v>Karan Kulkarni</v>
      </c>
      <c r="C20" s="1" t="str">
        <f>IFERROR(__xludf.DUMMYFUNCTION("""COMPUTED_VALUE"""),"Male")</f>
        <v>Male</v>
      </c>
      <c r="D20" s="1" t="str">
        <f>IFERROR(__xludf.DUMMYFUNCTION("""COMPUTED_VALUE"""),"6")</f>
        <v>6</v>
      </c>
      <c r="E20" s="1" t="str">
        <f>IFERROR(__xludf.DUMMYFUNCTION("""COMPUTED_VALUE"""),"C")</f>
        <v>C</v>
      </c>
      <c r="F20" s="1" t="str">
        <f>IFERROR(__xludf.DUMMYFUNCTION("""COMPUTED_VALUE"""),"Chandigarh")</f>
        <v>Chandigarh</v>
      </c>
      <c r="G20" s="1">
        <f>IFERROR(__xludf.DUMMYFUNCTION("""COMPUTED_VALUE"""),61.0)</f>
        <v>61</v>
      </c>
      <c r="H20" s="1">
        <f>IFERROR(__xludf.DUMMYFUNCTION("""COMPUTED_VALUE"""),98.0)</f>
        <v>98</v>
      </c>
      <c r="I20" s="1">
        <f>IFERROR(__xludf.DUMMYFUNCTION("""COMPUTED_VALUE"""),63.0)</f>
        <v>63</v>
      </c>
      <c r="J20" s="1">
        <f>IFERROR(__xludf.DUMMYFUNCTION("""COMPUTED_VALUE"""),77.0)</f>
        <v>77</v>
      </c>
      <c r="K20" s="1">
        <f>IFERROR(__xludf.DUMMYFUNCTION("""COMPUTED_VALUE"""),81.0)</f>
        <v>81</v>
      </c>
      <c r="L20" s="1">
        <f>IFERROR(__xludf.DUMMYFUNCTION("""COMPUTED_VALUE"""),380.0)</f>
        <v>380</v>
      </c>
      <c r="M20" s="1">
        <f>IFERROR(__xludf.DUMMYFUNCTION("""COMPUTED_VALUE"""),76.0)</f>
        <v>76</v>
      </c>
      <c r="N20" s="1">
        <f>IFERROR(__xludf.DUMMYFUNCTION("""COMPUTED_VALUE"""),61.0)</f>
        <v>61</v>
      </c>
      <c r="O20" s="1" t="str">
        <f>IFERROR(__xludf.DUMMYFUNCTION("""COMPUTED_VALUE"""),"Pass")</f>
        <v>Pass</v>
      </c>
    </row>
    <row r="21" ht="15.75" customHeight="1">
      <c r="A21" s="1" t="str">
        <f>IFERROR(__xludf.DUMMYFUNCTION("""COMPUTED_VALUE"""),"STD-1055")</f>
        <v>STD-1055</v>
      </c>
      <c r="B21" s="1" t="str">
        <f>IFERROR(__xludf.DUMMYFUNCTION("""COMPUTED_VALUE"""),"Shreya Singh")</f>
        <v>Shreya Singh</v>
      </c>
      <c r="C21" s="1" t="str">
        <f>IFERROR(__xludf.DUMMYFUNCTION("""COMPUTED_VALUE"""),"Female")</f>
        <v>Female</v>
      </c>
      <c r="D21" s="1" t="str">
        <f>IFERROR(__xludf.DUMMYFUNCTION("""COMPUTED_VALUE"""),"9")</f>
        <v>9</v>
      </c>
      <c r="E21" s="1" t="str">
        <f>IFERROR(__xludf.DUMMYFUNCTION("""COMPUTED_VALUE"""),"B")</f>
        <v>B</v>
      </c>
      <c r="F21" s="1" t="str">
        <f>IFERROR(__xludf.DUMMYFUNCTION("""COMPUTED_VALUE"""),"Jaipur")</f>
        <v>Jaipur</v>
      </c>
      <c r="G21" s="1">
        <f>IFERROR(__xludf.DUMMYFUNCTION("""COMPUTED_VALUE"""),92.0)</f>
        <v>92</v>
      </c>
      <c r="H21" s="1">
        <f>IFERROR(__xludf.DUMMYFUNCTION("""COMPUTED_VALUE"""),71.0)</f>
        <v>71</v>
      </c>
      <c r="I21" s="1">
        <f>IFERROR(__xludf.DUMMYFUNCTION("""COMPUTED_VALUE"""),71.0)</f>
        <v>71</v>
      </c>
      <c r="J21" s="1">
        <f>IFERROR(__xludf.DUMMYFUNCTION("""COMPUTED_VALUE"""),81.0)</f>
        <v>81</v>
      </c>
      <c r="K21" s="1">
        <f>IFERROR(__xludf.DUMMYFUNCTION("""COMPUTED_VALUE"""),100.0)</f>
        <v>100</v>
      </c>
      <c r="L21" s="1">
        <f>IFERROR(__xludf.DUMMYFUNCTION("""COMPUTED_VALUE"""),415.0)</f>
        <v>415</v>
      </c>
      <c r="M21" s="1">
        <f>IFERROR(__xludf.DUMMYFUNCTION("""COMPUTED_VALUE"""),83.0)</f>
        <v>83</v>
      </c>
      <c r="N21" s="1">
        <f>IFERROR(__xludf.DUMMYFUNCTION("""COMPUTED_VALUE"""),60.0)</f>
        <v>60</v>
      </c>
      <c r="O21" s="1" t="str">
        <f>IFERROR(__xludf.DUMMYFUNCTION("""COMPUTED_VALUE"""),"Pass")</f>
        <v>Pass</v>
      </c>
    </row>
    <row r="22" ht="15.75" customHeight="1">
      <c r="A22" s="1" t="str">
        <f>IFERROR(__xludf.DUMMYFUNCTION("""COMPUTED_VALUE"""),"STD-1057")</f>
        <v>STD-1057</v>
      </c>
      <c r="B22" s="1" t="str">
        <f>IFERROR(__xludf.DUMMYFUNCTION("""COMPUTED_VALUE"""),"Vivaan Verma")</f>
        <v>Vivaan Verma</v>
      </c>
      <c r="C22" s="1" t="str">
        <f>IFERROR(__xludf.DUMMYFUNCTION("""COMPUTED_VALUE"""),"Male")</f>
        <v>Male</v>
      </c>
      <c r="D22" s="1" t="str">
        <f>IFERROR(__xludf.DUMMYFUNCTION("""COMPUTED_VALUE"""),"8")</f>
        <v>8</v>
      </c>
      <c r="E22" s="1" t="str">
        <f>IFERROR(__xludf.DUMMYFUNCTION("""COMPUTED_VALUE"""),"C")</f>
        <v>C</v>
      </c>
      <c r="F22" s="1" t="str">
        <f>IFERROR(__xludf.DUMMYFUNCTION("""COMPUTED_VALUE"""),"Mumbai")</f>
        <v>Mumbai</v>
      </c>
      <c r="G22" s="1">
        <f>IFERROR(__xludf.DUMMYFUNCTION("""COMPUTED_VALUE"""),62.0)</f>
        <v>62</v>
      </c>
      <c r="H22" s="1">
        <f>IFERROR(__xludf.DUMMYFUNCTION("""COMPUTED_VALUE"""),50.0)</f>
        <v>50</v>
      </c>
      <c r="I22" s="1">
        <f>IFERROR(__xludf.DUMMYFUNCTION("""COMPUTED_VALUE"""),79.0)</f>
        <v>79</v>
      </c>
      <c r="J22" s="1">
        <f>IFERROR(__xludf.DUMMYFUNCTION("""COMPUTED_VALUE"""),76.0)</f>
        <v>76</v>
      </c>
      <c r="K22" s="1">
        <f>IFERROR(__xludf.DUMMYFUNCTION("""COMPUTED_VALUE"""),52.0)</f>
        <v>52</v>
      </c>
      <c r="L22" s="1">
        <f>IFERROR(__xludf.DUMMYFUNCTION("""COMPUTED_VALUE"""),319.0)</f>
        <v>319</v>
      </c>
      <c r="M22" s="1">
        <f>IFERROR(__xludf.DUMMYFUNCTION("""COMPUTED_VALUE"""),63.8)</f>
        <v>63.8</v>
      </c>
      <c r="N22" s="1">
        <f>IFERROR(__xludf.DUMMYFUNCTION("""COMPUTED_VALUE"""),61.0)</f>
        <v>61</v>
      </c>
      <c r="O22" s="1" t="str">
        <f>IFERROR(__xludf.DUMMYFUNCTION("""COMPUTED_VALUE"""),"Pass")</f>
        <v>Pass</v>
      </c>
    </row>
    <row r="23" ht="15.75" customHeight="1">
      <c r="A23" s="1" t="str">
        <f>IFERROR(__xludf.DUMMYFUNCTION("""COMPUTED_VALUE"""),"STD-1063")</f>
        <v>STD-1063</v>
      </c>
      <c r="B23" s="1" t="str">
        <f>IFERROR(__xludf.DUMMYFUNCTION("""COMPUTED_VALUE"""),"Karan Sharma")</f>
        <v>Karan Sharma</v>
      </c>
      <c r="C23" s="1" t="str">
        <f>IFERROR(__xludf.DUMMYFUNCTION("""COMPUTED_VALUE"""),"Female")</f>
        <v>Female</v>
      </c>
      <c r="D23" s="1" t="str">
        <f>IFERROR(__xludf.DUMMYFUNCTION("""COMPUTED_VALUE"""),"7")</f>
        <v>7</v>
      </c>
      <c r="E23" s="1" t="str">
        <f>IFERROR(__xludf.DUMMYFUNCTION("""COMPUTED_VALUE"""),"C")</f>
        <v>C</v>
      </c>
      <c r="F23" s="1" t="str">
        <f>IFERROR(__xludf.DUMMYFUNCTION("""COMPUTED_VALUE"""),"Patna")</f>
        <v>Patna</v>
      </c>
      <c r="G23" s="1">
        <f>IFERROR(__xludf.DUMMYFUNCTION("""COMPUTED_VALUE"""),76.0)</f>
        <v>76</v>
      </c>
      <c r="H23" s="1">
        <f>IFERROR(__xludf.DUMMYFUNCTION("""COMPUTED_VALUE"""),91.0)</f>
        <v>91</v>
      </c>
      <c r="I23" s="1">
        <f>IFERROR(__xludf.DUMMYFUNCTION("""COMPUTED_VALUE"""),71.0)</f>
        <v>71</v>
      </c>
      <c r="J23" s="1">
        <f>IFERROR(__xludf.DUMMYFUNCTION("""COMPUTED_VALUE"""),71.0)</f>
        <v>71</v>
      </c>
      <c r="K23" s="1">
        <f>IFERROR(__xludf.DUMMYFUNCTION("""COMPUTED_VALUE"""),80.0)</f>
        <v>80</v>
      </c>
      <c r="L23" s="1">
        <f>IFERROR(__xludf.DUMMYFUNCTION("""COMPUTED_VALUE"""),389.0)</f>
        <v>389</v>
      </c>
      <c r="M23" s="1">
        <f>IFERROR(__xludf.DUMMYFUNCTION("""COMPUTED_VALUE"""),77.8)</f>
        <v>77.8</v>
      </c>
      <c r="N23" s="1">
        <f>IFERROR(__xludf.DUMMYFUNCTION("""COMPUTED_VALUE"""),64.0)</f>
        <v>64</v>
      </c>
      <c r="O23" s="1" t="str">
        <f>IFERROR(__xludf.DUMMYFUNCTION("""COMPUTED_VALUE"""),"Pass")</f>
        <v>Pass</v>
      </c>
    </row>
    <row r="24" ht="15.75" customHeight="1">
      <c r="A24" s="1" t="str">
        <f>IFERROR(__xludf.DUMMYFUNCTION("""COMPUTED_VALUE"""),"STD-1065")</f>
        <v>STD-1065</v>
      </c>
      <c r="B24" s="1" t="str">
        <f>IFERROR(__xludf.DUMMYFUNCTION("""COMPUTED_VALUE"""),"Karan Nair")</f>
        <v>Karan Nair</v>
      </c>
      <c r="C24" s="1" t="str">
        <f>IFERROR(__xludf.DUMMYFUNCTION("""COMPUTED_VALUE"""),"Male")</f>
        <v>Male</v>
      </c>
      <c r="D24" s="1" t="str">
        <f>IFERROR(__xludf.DUMMYFUNCTION("""COMPUTED_VALUE"""),"10")</f>
        <v>10</v>
      </c>
      <c r="E24" s="1" t="str">
        <f>IFERROR(__xludf.DUMMYFUNCTION("""COMPUTED_VALUE"""),"B")</f>
        <v>B</v>
      </c>
      <c r="F24" s="1" t="str">
        <f>IFERROR(__xludf.DUMMYFUNCTION("""COMPUTED_VALUE"""),"Mumbai")</f>
        <v>Mumbai</v>
      </c>
      <c r="G24" s="1">
        <f>IFERROR(__xludf.DUMMYFUNCTION("""COMPUTED_VALUE"""),55.0)</f>
        <v>55</v>
      </c>
      <c r="H24" s="1">
        <f>IFERROR(__xludf.DUMMYFUNCTION("""COMPUTED_VALUE"""),61.0)</f>
        <v>61</v>
      </c>
      <c r="I24" s="1">
        <f>IFERROR(__xludf.DUMMYFUNCTION("""COMPUTED_VALUE"""),42.0)</f>
        <v>42</v>
      </c>
      <c r="J24" s="1">
        <f>IFERROR(__xludf.DUMMYFUNCTION("""COMPUTED_VALUE"""),85.0)</f>
        <v>85</v>
      </c>
      <c r="K24" s="1">
        <f>IFERROR(__xludf.DUMMYFUNCTION("""COMPUTED_VALUE"""),63.0)</f>
        <v>63</v>
      </c>
      <c r="L24" s="1">
        <f>IFERROR(__xludf.DUMMYFUNCTION("""COMPUTED_VALUE"""),306.0)</f>
        <v>306</v>
      </c>
      <c r="M24" s="1">
        <f>IFERROR(__xludf.DUMMYFUNCTION("""COMPUTED_VALUE"""),61.2)</f>
        <v>61.2</v>
      </c>
      <c r="N24" s="1">
        <f>IFERROR(__xludf.DUMMYFUNCTION("""COMPUTED_VALUE"""),66.0)</f>
        <v>66</v>
      </c>
      <c r="O24" s="1" t="str">
        <f>IFERROR(__xludf.DUMMYFUNCTION("""COMPUTED_VALUE"""),"Pass")</f>
        <v>Pass</v>
      </c>
    </row>
    <row r="25" ht="15.75" customHeight="1">
      <c r="A25" s="1" t="str">
        <f>IFERROR(__xludf.DUMMYFUNCTION("""COMPUTED_VALUE"""),"STD-1066")</f>
        <v>STD-1066</v>
      </c>
      <c r="B25" s="1" t="str">
        <f>IFERROR(__xludf.DUMMYFUNCTION("""COMPUTED_VALUE"""),"Kavya Yadav")</f>
        <v>Kavya Yadav</v>
      </c>
      <c r="C25" s="1" t="str">
        <f>IFERROR(__xludf.DUMMYFUNCTION("""COMPUTED_VALUE"""),"Female")</f>
        <v>Female</v>
      </c>
      <c r="D25" s="1" t="str">
        <f>IFERROR(__xludf.DUMMYFUNCTION("""COMPUTED_VALUE"""),"10")</f>
        <v>10</v>
      </c>
      <c r="E25" s="1" t="str">
        <f>IFERROR(__xludf.DUMMYFUNCTION("""COMPUTED_VALUE"""),"B")</f>
        <v>B</v>
      </c>
      <c r="F25" s="1" t="str">
        <f>IFERROR(__xludf.DUMMYFUNCTION("""COMPUTED_VALUE"""),"Jaipur")</f>
        <v>Jaipur</v>
      </c>
      <c r="G25" s="1">
        <f>IFERROR(__xludf.DUMMYFUNCTION("""COMPUTED_VALUE"""),88.0)</f>
        <v>88</v>
      </c>
      <c r="H25" s="1">
        <f>IFERROR(__xludf.DUMMYFUNCTION("""COMPUTED_VALUE"""),75.0)</f>
        <v>75</v>
      </c>
      <c r="I25" s="1">
        <f>IFERROR(__xludf.DUMMYFUNCTION("""COMPUTED_VALUE"""),77.0)</f>
        <v>77</v>
      </c>
      <c r="J25" s="1">
        <f>IFERROR(__xludf.DUMMYFUNCTION("""COMPUTED_VALUE"""),41.0)</f>
        <v>41</v>
      </c>
      <c r="K25" s="1">
        <f>IFERROR(__xludf.DUMMYFUNCTION("""COMPUTED_VALUE"""),84.0)</f>
        <v>84</v>
      </c>
      <c r="L25" s="1">
        <f>IFERROR(__xludf.DUMMYFUNCTION("""COMPUTED_VALUE"""),365.0)</f>
        <v>365</v>
      </c>
      <c r="M25" s="1">
        <f>IFERROR(__xludf.DUMMYFUNCTION("""COMPUTED_VALUE"""),73.0)</f>
        <v>73</v>
      </c>
      <c r="N25" s="1">
        <f>IFERROR(__xludf.DUMMYFUNCTION("""COMPUTED_VALUE"""),61.0)</f>
        <v>61</v>
      </c>
      <c r="O25" s="1" t="str">
        <f>IFERROR(__xludf.DUMMYFUNCTION("""COMPUTED_VALUE"""),"Pass")</f>
        <v>Pass</v>
      </c>
    </row>
    <row r="26" ht="15.75" customHeight="1">
      <c r="A26" s="1" t="str">
        <f>IFERROR(__xludf.DUMMYFUNCTION("""COMPUTED_VALUE"""),"STD-1067")</f>
        <v>STD-1067</v>
      </c>
      <c r="B26" s="1" t="str">
        <f>IFERROR(__xludf.DUMMYFUNCTION("""COMPUTED_VALUE"""),"Sneha Yadav")</f>
        <v>Sneha Yadav</v>
      </c>
      <c r="C26" s="1" t="str">
        <f>IFERROR(__xludf.DUMMYFUNCTION("""COMPUTED_VALUE"""),"Male")</f>
        <v>Male</v>
      </c>
      <c r="D26" s="1" t="str">
        <f>IFERROR(__xludf.DUMMYFUNCTION("""COMPUTED_VALUE"""),"9")</f>
        <v>9</v>
      </c>
      <c r="E26" s="1" t="str">
        <f>IFERROR(__xludf.DUMMYFUNCTION("""COMPUTED_VALUE"""),"C")</f>
        <v>C</v>
      </c>
      <c r="F26" s="1" t="str">
        <f>IFERROR(__xludf.DUMMYFUNCTION("""COMPUTED_VALUE"""),"Delhi")</f>
        <v>Delhi</v>
      </c>
      <c r="G26" s="1">
        <f>IFERROR(__xludf.DUMMYFUNCTION("""COMPUTED_VALUE"""),98.0)</f>
        <v>98</v>
      </c>
      <c r="H26" s="1">
        <f>IFERROR(__xludf.DUMMYFUNCTION("""COMPUTED_VALUE"""),43.0)</f>
        <v>43</v>
      </c>
      <c r="I26" s="1">
        <f>IFERROR(__xludf.DUMMYFUNCTION("""COMPUTED_VALUE"""),70.0)</f>
        <v>70</v>
      </c>
      <c r="J26" s="1">
        <f>IFERROR(__xludf.DUMMYFUNCTION("""COMPUTED_VALUE"""),41.0)</f>
        <v>41</v>
      </c>
      <c r="K26" s="1">
        <f>IFERROR(__xludf.DUMMYFUNCTION("""COMPUTED_VALUE"""),94.0)</f>
        <v>94</v>
      </c>
      <c r="L26" s="1">
        <f>IFERROR(__xludf.DUMMYFUNCTION("""COMPUTED_VALUE"""),346.0)</f>
        <v>346</v>
      </c>
      <c r="M26" s="1">
        <f>IFERROR(__xludf.DUMMYFUNCTION("""COMPUTED_VALUE"""),69.2)</f>
        <v>69.2</v>
      </c>
      <c r="N26" s="1">
        <f>IFERROR(__xludf.DUMMYFUNCTION("""COMPUTED_VALUE"""),67.0)</f>
        <v>67</v>
      </c>
      <c r="O26" s="1" t="str">
        <f>IFERROR(__xludf.DUMMYFUNCTION("""COMPUTED_VALUE"""),"Pass")</f>
        <v>Pass</v>
      </c>
    </row>
    <row r="27" ht="15.75" customHeight="1">
      <c r="A27" s="1" t="str">
        <f>IFERROR(__xludf.DUMMYFUNCTION("""COMPUTED_VALUE"""),"STD-1072")</f>
        <v>STD-1072</v>
      </c>
      <c r="B27" s="1" t="str">
        <f>IFERROR(__xludf.DUMMYFUNCTION("""COMPUTED_VALUE"""),"Arjun Iyer")</f>
        <v>Arjun Iyer</v>
      </c>
      <c r="C27" s="1" t="str">
        <f>IFERROR(__xludf.DUMMYFUNCTION("""COMPUTED_VALUE"""),"Female")</f>
        <v>Female</v>
      </c>
      <c r="D27" s="1" t="str">
        <f>IFERROR(__xludf.DUMMYFUNCTION("""COMPUTED_VALUE"""),"10")</f>
        <v>10</v>
      </c>
      <c r="E27" s="1" t="str">
        <f>IFERROR(__xludf.DUMMYFUNCTION("""COMPUTED_VALUE"""),"B")</f>
        <v>B</v>
      </c>
      <c r="F27" s="1" t="str">
        <f>IFERROR(__xludf.DUMMYFUNCTION("""COMPUTED_VALUE"""),"Delhi")</f>
        <v>Delhi</v>
      </c>
      <c r="G27" s="1">
        <f>IFERROR(__xludf.DUMMYFUNCTION("""COMPUTED_VALUE"""),73.0)</f>
        <v>73</v>
      </c>
      <c r="H27" s="1">
        <f>IFERROR(__xludf.DUMMYFUNCTION("""COMPUTED_VALUE"""),87.0)</f>
        <v>87</v>
      </c>
      <c r="I27" s="1">
        <f>IFERROR(__xludf.DUMMYFUNCTION("""COMPUTED_VALUE"""),70.0)</f>
        <v>70</v>
      </c>
      <c r="J27" s="1">
        <f>IFERROR(__xludf.DUMMYFUNCTION("""COMPUTED_VALUE"""),71.0)</f>
        <v>71</v>
      </c>
      <c r="K27" s="1">
        <f>IFERROR(__xludf.DUMMYFUNCTION("""COMPUTED_VALUE"""),42.0)</f>
        <v>42</v>
      </c>
      <c r="L27" s="1">
        <f>IFERROR(__xludf.DUMMYFUNCTION("""COMPUTED_VALUE"""),343.0)</f>
        <v>343</v>
      </c>
      <c r="M27" s="1">
        <f>IFERROR(__xludf.DUMMYFUNCTION("""COMPUTED_VALUE"""),68.6)</f>
        <v>68.6</v>
      </c>
      <c r="N27" s="1">
        <f>IFERROR(__xludf.DUMMYFUNCTION("""COMPUTED_VALUE"""),73.0)</f>
        <v>73</v>
      </c>
      <c r="O27" s="1" t="str">
        <f>IFERROR(__xludf.DUMMYFUNCTION("""COMPUTED_VALUE"""),"Pass")</f>
        <v>Pass</v>
      </c>
    </row>
    <row r="28" ht="15.75" customHeight="1">
      <c r="A28" s="1" t="str">
        <f>IFERROR(__xludf.DUMMYFUNCTION("""COMPUTED_VALUE"""),"STD-1074")</f>
        <v>STD-1074</v>
      </c>
      <c r="B28" s="1" t="str">
        <f>IFERROR(__xludf.DUMMYFUNCTION("""COMPUTED_VALUE"""),"Pooja Verma")</f>
        <v>Pooja Verma</v>
      </c>
      <c r="C28" s="1" t="str">
        <f>IFERROR(__xludf.DUMMYFUNCTION("""COMPUTED_VALUE"""),"Female")</f>
        <v>Female</v>
      </c>
      <c r="D28" s="1" t="str">
        <f>IFERROR(__xludf.DUMMYFUNCTION("""COMPUTED_VALUE"""),"9")</f>
        <v>9</v>
      </c>
      <c r="E28" s="1" t="str">
        <f>IFERROR(__xludf.DUMMYFUNCTION("""COMPUTED_VALUE"""),"A")</f>
        <v>A</v>
      </c>
      <c r="F28" s="1" t="str">
        <f>IFERROR(__xludf.DUMMYFUNCTION("""COMPUTED_VALUE"""),"Bhopal")</f>
        <v>Bhopal</v>
      </c>
      <c r="G28" s="1">
        <f>IFERROR(__xludf.DUMMYFUNCTION("""COMPUTED_VALUE"""),88.0)</f>
        <v>88</v>
      </c>
      <c r="H28" s="1">
        <f>IFERROR(__xludf.DUMMYFUNCTION("""COMPUTED_VALUE"""),88.0)</f>
        <v>88</v>
      </c>
      <c r="I28" s="1">
        <f>IFERROR(__xludf.DUMMYFUNCTION("""COMPUTED_VALUE"""),40.0)</f>
        <v>40</v>
      </c>
      <c r="J28" s="1">
        <f>IFERROR(__xludf.DUMMYFUNCTION("""COMPUTED_VALUE"""),100.0)</f>
        <v>100</v>
      </c>
      <c r="K28" s="1">
        <f>IFERROR(__xludf.DUMMYFUNCTION("""COMPUTED_VALUE"""),78.0)</f>
        <v>78</v>
      </c>
      <c r="L28" s="1">
        <f>IFERROR(__xludf.DUMMYFUNCTION("""COMPUTED_VALUE"""),394.0)</f>
        <v>394</v>
      </c>
      <c r="M28" s="1">
        <f>IFERROR(__xludf.DUMMYFUNCTION("""COMPUTED_VALUE"""),78.8)</f>
        <v>78.8</v>
      </c>
      <c r="N28" s="1">
        <f>IFERROR(__xludf.DUMMYFUNCTION("""COMPUTED_VALUE"""),64.0)</f>
        <v>64</v>
      </c>
      <c r="O28" s="1" t="str">
        <f>IFERROR(__xludf.DUMMYFUNCTION("""COMPUTED_VALUE"""),"Pass")</f>
        <v>Pass</v>
      </c>
    </row>
    <row r="29" ht="15.75" customHeight="1">
      <c r="A29" s="1" t="str">
        <f>IFERROR(__xludf.DUMMYFUNCTION("""COMPUTED_VALUE"""),"STD-1076")</f>
        <v>STD-1076</v>
      </c>
      <c r="B29" s="1" t="str">
        <f>IFERROR(__xludf.DUMMYFUNCTION("""COMPUTED_VALUE"""),"Sneha Verma")</f>
        <v>Sneha Verma</v>
      </c>
      <c r="C29" s="1" t="str">
        <f>IFERROR(__xludf.DUMMYFUNCTION("""COMPUTED_VALUE"""),"Female")</f>
        <v>Female</v>
      </c>
      <c r="D29" s="1" t="str">
        <f>IFERROR(__xludf.DUMMYFUNCTION("""COMPUTED_VALUE"""),"6")</f>
        <v>6</v>
      </c>
      <c r="E29" s="1" t="str">
        <f>IFERROR(__xludf.DUMMYFUNCTION("""COMPUTED_VALUE"""),"C")</f>
        <v>C</v>
      </c>
      <c r="F29" s="1" t="str">
        <f>IFERROR(__xludf.DUMMYFUNCTION("""COMPUTED_VALUE"""),"Bhopal")</f>
        <v>Bhopal</v>
      </c>
      <c r="G29" s="1">
        <f>IFERROR(__xludf.DUMMYFUNCTION("""COMPUTED_VALUE"""),62.0)</f>
        <v>62</v>
      </c>
      <c r="H29" s="1">
        <f>IFERROR(__xludf.DUMMYFUNCTION("""COMPUTED_VALUE"""),40.0)</f>
        <v>40</v>
      </c>
      <c r="I29" s="1">
        <f>IFERROR(__xludf.DUMMYFUNCTION("""COMPUTED_VALUE"""),94.0)</f>
        <v>94</v>
      </c>
      <c r="J29" s="1">
        <f>IFERROR(__xludf.DUMMYFUNCTION("""COMPUTED_VALUE"""),91.0)</f>
        <v>91</v>
      </c>
      <c r="K29" s="1">
        <f>IFERROR(__xludf.DUMMYFUNCTION("""COMPUTED_VALUE"""),55.0)</f>
        <v>55</v>
      </c>
      <c r="L29" s="1">
        <f>IFERROR(__xludf.DUMMYFUNCTION("""COMPUTED_VALUE"""),342.0)</f>
        <v>342</v>
      </c>
      <c r="M29" s="1">
        <f>IFERROR(__xludf.DUMMYFUNCTION("""COMPUTED_VALUE"""),68.4)</f>
        <v>68.4</v>
      </c>
      <c r="N29" s="1">
        <f>IFERROR(__xludf.DUMMYFUNCTION("""COMPUTED_VALUE"""),64.0)</f>
        <v>64</v>
      </c>
      <c r="O29" s="1" t="str">
        <f>IFERROR(__xludf.DUMMYFUNCTION("""COMPUTED_VALUE"""),"Pass")</f>
        <v>Pass</v>
      </c>
    </row>
    <row r="30" ht="15.75" customHeight="1">
      <c r="A30" s="1" t="str">
        <f>IFERROR(__xludf.DUMMYFUNCTION("""COMPUTED_VALUE"""),"STD-1078")</f>
        <v>STD-1078</v>
      </c>
      <c r="B30" s="1" t="str">
        <f>IFERROR(__xludf.DUMMYFUNCTION("""COMPUTED_VALUE"""),"Kavya Reddy")</f>
        <v>Kavya Reddy</v>
      </c>
      <c r="C30" s="1" t="str">
        <f>IFERROR(__xludf.DUMMYFUNCTION("""COMPUTED_VALUE"""),"Female")</f>
        <v>Female</v>
      </c>
      <c r="D30" s="1" t="str">
        <f>IFERROR(__xludf.DUMMYFUNCTION("""COMPUTED_VALUE"""),"10")</f>
        <v>10</v>
      </c>
      <c r="E30" s="1" t="str">
        <f>IFERROR(__xludf.DUMMYFUNCTION("""COMPUTED_VALUE"""),"A")</f>
        <v>A</v>
      </c>
      <c r="F30" s="1" t="str">
        <f>IFERROR(__xludf.DUMMYFUNCTION("""COMPUTED_VALUE"""),"Lucknow")</f>
        <v>Lucknow</v>
      </c>
      <c r="G30" s="1">
        <f>IFERROR(__xludf.DUMMYFUNCTION("""COMPUTED_VALUE"""),84.0)</f>
        <v>84</v>
      </c>
      <c r="H30" s="1">
        <f>IFERROR(__xludf.DUMMYFUNCTION("""COMPUTED_VALUE"""),91.0)</f>
        <v>91</v>
      </c>
      <c r="I30" s="1">
        <f>IFERROR(__xludf.DUMMYFUNCTION("""COMPUTED_VALUE"""),96.0)</f>
        <v>96</v>
      </c>
      <c r="J30" s="1">
        <f>IFERROR(__xludf.DUMMYFUNCTION("""COMPUTED_VALUE"""),54.0)</f>
        <v>54</v>
      </c>
      <c r="K30" s="1">
        <f>IFERROR(__xludf.DUMMYFUNCTION("""COMPUTED_VALUE"""),89.0)</f>
        <v>89</v>
      </c>
      <c r="L30" s="1">
        <f>IFERROR(__xludf.DUMMYFUNCTION("""COMPUTED_VALUE"""),414.0)</f>
        <v>414</v>
      </c>
      <c r="M30" s="1">
        <f>IFERROR(__xludf.DUMMYFUNCTION("""COMPUTED_VALUE"""),82.8)</f>
        <v>82.8</v>
      </c>
      <c r="N30" s="1">
        <f>IFERROR(__xludf.DUMMYFUNCTION("""COMPUTED_VALUE"""),71.0)</f>
        <v>71</v>
      </c>
      <c r="O30" s="1" t="str">
        <f>IFERROR(__xludf.DUMMYFUNCTION("""COMPUTED_VALUE"""),"Pass")</f>
        <v>Pass</v>
      </c>
    </row>
    <row r="31" ht="15.75" customHeight="1">
      <c r="A31" s="1" t="str">
        <f>IFERROR(__xludf.DUMMYFUNCTION("""COMPUTED_VALUE"""),"STD-1079")</f>
        <v>STD-1079</v>
      </c>
      <c r="B31" s="1" t="str">
        <f>IFERROR(__xludf.DUMMYFUNCTION("""COMPUTED_VALUE"""),"Rahul Jain")</f>
        <v>Rahul Jain</v>
      </c>
      <c r="C31" s="1" t="str">
        <f>IFERROR(__xludf.DUMMYFUNCTION("""COMPUTED_VALUE"""),"Male")</f>
        <v>Male</v>
      </c>
      <c r="D31" s="1" t="str">
        <f>IFERROR(__xludf.DUMMYFUNCTION("""COMPUTED_VALUE"""),"8")</f>
        <v>8</v>
      </c>
      <c r="E31" s="1" t="str">
        <f>IFERROR(__xludf.DUMMYFUNCTION("""COMPUTED_VALUE"""),"C")</f>
        <v>C</v>
      </c>
      <c r="F31" s="1" t="str">
        <f>IFERROR(__xludf.DUMMYFUNCTION("""COMPUTED_VALUE"""),"Bhopal")</f>
        <v>Bhopal</v>
      </c>
      <c r="G31" s="1">
        <f>IFERROR(__xludf.DUMMYFUNCTION("""COMPUTED_VALUE"""),59.0)</f>
        <v>59</v>
      </c>
      <c r="H31" s="1">
        <f>IFERROR(__xludf.DUMMYFUNCTION("""COMPUTED_VALUE"""),90.0)</f>
        <v>90</v>
      </c>
      <c r="I31" s="1">
        <f>IFERROR(__xludf.DUMMYFUNCTION("""COMPUTED_VALUE"""),88.0)</f>
        <v>88</v>
      </c>
      <c r="J31" s="1">
        <f>IFERROR(__xludf.DUMMYFUNCTION("""COMPUTED_VALUE"""),40.0)</f>
        <v>40</v>
      </c>
      <c r="K31" s="1">
        <f>IFERROR(__xludf.DUMMYFUNCTION("""COMPUTED_VALUE"""),53.0)</f>
        <v>53</v>
      </c>
      <c r="L31" s="1">
        <f>IFERROR(__xludf.DUMMYFUNCTION("""COMPUTED_VALUE"""),330.0)</f>
        <v>330</v>
      </c>
      <c r="M31" s="1">
        <f>IFERROR(__xludf.DUMMYFUNCTION("""COMPUTED_VALUE"""),66.0)</f>
        <v>66</v>
      </c>
      <c r="N31" s="1">
        <f>IFERROR(__xludf.DUMMYFUNCTION("""COMPUTED_VALUE"""),73.0)</f>
        <v>73</v>
      </c>
      <c r="O31" s="1" t="str">
        <f>IFERROR(__xludf.DUMMYFUNCTION("""COMPUTED_VALUE"""),"Pass")</f>
        <v>Pass</v>
      </c>
    </row>
    <row r="32" ht="15.75" customHeight="1">
      <c r="A32" s="1" t="str">
        <f>IFERROR(__xludf.DUMMYFUNCTION("""COMPUTED_VALUE"""),"STD-1083")</f>
        <v>STD-1083</v>
      </c>
      <c r="B32" s="1" t="str">
        <f>IFERROR(__xludf.DUMMYFUNCTION("""COMPUTED_VALUE"""),"Priya Singh")</f>
        <v>Priya Singh</v>
      </c>
      <c r="C32" s="1" t="str">
        <f>IFERROR(__xludf.DUMMYFUNCTION("""COMPUTED_VALUE"""),"Male")</f>
        <v>Male</v>
      </c>
      <c r="D32" s="1" t="str">
        <f>IFERROR(__xludf.DUMMYFUNCTION("""COMPUTED_VALUE"""),"10")</f>
        <v>10</v>
      </c>
      <c r="E32" s="1" t="str">
        <f>IFERROR(__xludf.DUMMYFUNCTION("""COMPUTED_VALUE"""),"A")</f>
        <v>A</v>
      </c>
      <c r="F32" s="1" t="str">
        <f>IFERROR(__xludf.DUMMYFUNCTION("""COMPUTED_VALUE"""),"Mumbai")</f>
        <v>Mumbai</v>
      </c>
      <c r="G32" s="1">
        <f>IFERROR(__xludf.DUMMYFUNCTION("""COMPUTED_VALUE"""),69.0)</f>
        <v>69</v>
      </c>
      <c r="H32" s="1">
        <f>IFERROR(__xludf.DUMMYFUNCTION("""COMPUTED_VALUE"""),68.0)</f>
        <v>68</v>
      </c>
      <c r="I32" s="1">
        <f>IFERROR(__xludf.DUMMYFUNCTION("""COMPUTED_VALUE"""),87.0)</f>
        <v>87</v>
      </c>
      <c r="J32" s="1">
        <f>IFERROR(__xludf.DUMMYFUNCTION("""COMPUTED_VALUE"""),90.0)</f>
        <v>90</v>
      </c>
      <c r="K32" s="1">
        <f>IFERROR(__xludf.DUMMYFUNCTION("""COMPUTED_VALUE"""),68.0)</f>
        <v>68</v>
      </c>
      <c r="L32" s="1">
        <f>IFERROR(__xludf.DUMMYFUNCTION("""COMPUTED_VALUE"""),382.0)</f>
        <v>382</v>
      </c>
      <c r="M32" s="1">
        <f>IFERROR(__xludf.DUMMYFUNCTION("""COMPUTED_VALUE"""),76.4)</f>
        <v>76.4</v>
      </c>
      <c r="N32" s="1">
        <f>IFERROR(__xludf.DUMMYFUNCTION("""COMPUTED_VALUE"""),72.0)</f>
        <v>72</v>
      </c>
      <c r="O32" s="1" t="str">
        <f>IFERROR(__xludf.DUMMYFUNCTION("""COMPUTED_VALUE"""),"Pass")</f>
        <v>Pass</v>
      </c>
    </row>
    <row r="33" ht="15.75" customHeight="1">
      <c r="A33" s="1" t="str">
        <f>IFERROR(__xludf.DUMMYFUNCTION("""COMPUTED_VALUE"""),"STD-1086")</f>
        <v>STD-1086</v>
      </c>
      <c r="B33" s="1" t="str">
        <f>IFERROR(__xludf.DUMMYFUNCTION("""COMPUTED_VALUE"""),"Sai Yadav")</f>
        <v>Sai Yadav</v>
      </c>
      <c r="C33" s="1" t="str">
        <f>IFERROR(__xludf.DUMMYFUNCTION("""COMPUTED_VALUE"""),"Male")</f>
        <v>Male</v>
      </c>
      <c r="D33" s="1" t="str">
        <f>IFERROR(__xludf.DUMMYFUNCTION("""COMPUTED_VALUE"""),"9")</f>
        <v>9</v>
      </c>
      <c r="E33" s="1" t="str">
        <f>IFERROR(__xludf.DUMMYFUNCTION("""COMPUTED_VALUE"""),"B")</f>
        <v>B</v>
      </c>
      <c r="F33" s="1" t="str">
        <f>IFERROR(__xludf.DUMMYFUNCTION("""COMPUTED_VALUE"""),"Kolkata")</f>
        <v>Kolkata</v>
      </c>
      <c r="G33" s="1">
        <f>IFERROR(__xludf.DUMMYFUNCTION("""COMPUTED_VALUE"""),84.0)</f>
        <v>84</v>
      </c>
      <c r="H33" s="1">
        <f>IFERROR(__xludf.DUMMYFUNCTION("""COMPUTED_VALUE"""),91.0)</f>
        <v>91</v>
      </c>
      <c r="I33" s="1">
        <f>IFERROR(__xludf.DUMMYFUNCTION("""COMPUTED_VALUE"""),97.0)</f>
        <v>97</v>
      </c>
      <c r="J33" s="1">
        <f>IFERROR(__xludf.DUMMYFUNCTION("""COMPUTED_VALUE"""),73.0)</f>
        <v>73</v>
      </c>
      <c r="K33" s="1">
        <f>IFERROR(__xludf.DUMMYFUNCTION("""COMPUTED_VALUE"""),53.0)</f>
        <v>53</v>
      </c>
      <c r="L33" s="1">
        <f>IFERROR(__xludf.DUMMYFUNCTION("""COMPUTED_VALUE"""),398.0)</f>
        <v>398</v>
      </c>
      <c r="M33" s="1">
        <f>IFERROR(__xludf.DUMMYFUNCTION("""COMPUTED_VALUE"""),79.6)</f>
        <v>79.6</v>
      </c>
      <c r="N33" s="1">
        <f>IFERROR(__xludf.DUMMYFUNCTION("""COMPUTED_VALUE"""),60.0)</f>
        <v>60</v>
      </c>
      <c r="O33" s="1" t="str">
        <f>IFERROR(__xludf.DUMMYFUNCTION("""COMPUTED_VALUE"""),"Pass")</f>
        <v>Pass</v>
      </c>
    </row>
    <row r="34" ht="15.75" customHeight="1">
      <c r="A34" s="1" t="str">
        <f>IFERROR(__xludf.DUMMYFUNCTION("""COMPUTED_VALUE"""),"STD-1088")</f>
        <v>STD-1088</v>
      </c>
      <c r="B34" s="1" t="str">
        <f>IFERROR(__xludf.DUMMYFUNCTION("""COMPUTED_VALUE"""),"Pooja Kulkarni")</f>
        <v>Pooja Kulkarni</v>
      </c>
      <c r="C34" s="1" t="str">
        <f>IFERROR(__xludf.DUMMYFUNCTION("""COMPUTED_VALUE"""),"Female")</f>
        <v>Female</v>
      </c>
      <c r="D34" s="1" t="str">
        <f>IFERROR(__xludf.DUMMYFUNCTION("""COMPUTED_VALUE"""),"6")</f>
        <v>6</v>
      </c>
      <c r="E34" s="1" t="str">
        <f>IFERROR(__xludf.DUMMYFUNCTION("""COMPUTED_VALUE"""),"B")</f>
        <v>B</v>
      </c>
      <c r="F34" s="1" t="str">
        <f>IFERROR(__xludf.DUMMYFUNCTION("""COMPUTED_VALUE"""),"Delhi")</f>
        <v>Delhi</v>
      </c>
      <c r="G34" s="1">
        <f>IFERROR(__xludf.DUMMYFUNCTION("""COMPUTED_VALUE"""),84.0)</f>
        <v>84</v>
      </c>
      <c r="H34" s="1">
        <f>IFERROR(__xludf.DUMMYFUNCTION("""COMPUTED_VALUE"""),80.0)</f>
        <v>80</v>
      </c>
      <c r="I34" s="1">
        <f>IFERROR(__xludf.DUMMYFUNCTION("""COMPUTED_VALUE"""),58.0)</f>
        <v>58</v>
      </c>
      <c r="J34" s="1">
        <f>IFERROR(__xludf.DUMMYFUNCTION("""COMPUTED_VALUE"""),88.0)</f>
        <v>88</v>
      </c>
      <c r="K34" s="1">
        <f>IFERROR(__xludf.DUMMYFUNCTION("""COMPUTED_VALUE"""),90.0)</f>
        <v>90</v>
      </c>
      <c r="L34" s="1">
        <f>IFERROR(__xludf.DUMMYFUNCTION("""COMPUTED_VALUE"""),400.0)</f>
        <v>400</v>
      </c>
      <c r="M34" s="1">
        <f>IFERROR(__xludf.DUMMYFUNCTION("""COMPUTED_VALUE"""),80.0)</f>
        <v>80</v>
      </c>
      <c r="N34" s="1">
        <f>IFERROR(__xludf.DUMMYFUNCTION("""COMPUTED_VALUE"""),63.0)</f>
        <v>63</v>
      </c>
      <c r="O34" s="1" t="str">
        <f>IFERROR(__xludf.DUMMYFUNCTION("""COMPUTED_VALUE"""),"Pass")</f>
        <v>Pass</v>
      </c>
    </row>
    <row r="35" ht="15.75" customHeight="1">
      <c r="A35" s="1" t="str">
        <f>IFERROR(__xludf.DUMMYFUNCTION("""COMPUTED_VALUE"""),"STD-1097")</f>
        <v>STD-1097</v>
      </c>
      <c r="B35" s="1" t="str">
        <f>IFERROR(__xludf.DUMMYFUNCTION("""COMPUTED_VALUE"""),"Priya Banerjee")</f>
        <v>Priya Banerjee</v>
      </c>
      <c r="C35" s="1" t="str">
        <f>IFERROR(__xludf.DUMMYFUNCTION("""COMPUTED_VALUE"""),"Female")</f>
        <v>Female</v>
      </c>
      <c r="D35" s="1" t="str">
        <f>IFERROR(__xludf.DUMMYFUNCTION("""COMPUTED_VALUE"""),"7")</f>
        <v>7</v>
      </c>
      <c r="E35" s="1" t="str">
        <f>IFERROR(__xludf.DUMMYFUNCTION("""COMPUTED_VALUE"""),"C")</f>
        <v>C</v>
      </c>
      <c r="F35" s="1" t="str">
        <f>IFERROR(__xludf.DUMMYFUNCTION("""COMPUTED_VALUE"""),"Chandigarh")</f>
        <v>Chandigarh</v>
      </c>
      <c r="G35" s="1">
        <f>IFERROR(__xludf.DUMMYFUNCTION("""COMPUTED_VALUE"""),41.0)</f>
        <v>41</v>
      </c>
      <c r="H35" s="1">
        <f>IFERROR(__xludf.DUMMYFUNCTION("""COMPUTED_VALUE"""),64.0)</f>
        <v>64</v>
      </c>
      <c r="I35" s="1">
        <f>IFERROR(__xludf.DUMMYFUNCTION("""COMPUTED_VALUE"""),69.0)</f>
        <v>69</v>
      </c>
      <c r="J35" s="1">
        <f>IFERROR(__xludf.DUMMYFUNCTION("""COMPUTED_VALUE"""),85.0)</f>
        <v>85</v>
      </c>
      <c r="K35" s="1">
        <f>IFERROR(__xludf.DUMMYFUNCTION("""COMPUTED_VALUE"""),42.0)</f>
        <v>42</v>
      </c>
      <c r="L35" s="1">
        <f>IFERROR(__xludf.DUMMYFUNCTION("""COMPUTED_VALUE"""),301.0)</f>
        <v>301</v>
      </c>
      <c r="M35" s="1">
        <f>IFERROR(__xludf.DUMMYFUNCTION("""COMPUTED_VALUE"""),60.2)</f>
        <v>60.2</v>
      </c>
      <c r="N35" s="1">
        <f>IFERROR(__xludf.DUMMYFUNCTION("""COMPUTED_VALUE"""),66.0)</f>
        <v>66</v>
      </c>
      <c r="O35" s="1" t="str">
        <f>IFERROR(__xludf.DUMMYFUNCTION("""COMPUTED_VALUE"""),"Pass")</f>
        <v>Pass</v>
      </c>
    </row>
    <row r="36" ht="15.75" customHeight="1">
      <c r="A36" s="1" t="str">
        <f>IFERROR(__xludf.DUMMYFUNCTION("""COMPUTED_VALUE"""),"STD-1100")</f>
        <v>STD-1100</v>
      </c>
      <c r="B36" s="1" t="str">
        <f>IFERROR(__xludf.DUMMYFUNCTION("""COMPUTED_VALUE"""),"Tanvi Choudhary")</f>
        <v>Tanvi Choudhary</v>
      </c>
      <c r="C36" s="1" t="str">
        <f>IFERROR(__xludf.DUMMYFUNCTION("""COMPUTED_VALUE"""),"Male")</f>
        <v>Male</v>
      </c>
      <c r="D36" s="1" t="str">
        <f>IFERROR(__xludf.DUMMYFUNCTION("""COMPUTED_VALUE"""),"8")</f>
        <v>8</v>
      </c>
      <c r="E36" s="1" t="str">
        <f>IFERROR(__xludf.DUMMYFUNCTION("""COMPUTED_VALUE"""),"C")</f>
        <v>C</v>
      </c>
      <c r="F36" s="1" t="str">
        <f>IFERROR(__xludf.DUMMYFUNCTION("""COMPUTED_VALUE"""),"Kolkata")</f>
        <v>Kolkata</v>
      </c>
      <c r="G36" s="1">
        <f>IFERROR(__xludf.DUMMYFUNCTION("""COMPUTED_VALUE"""),75.0)</f>
        <v>75</v>
      </c>
      <c r="H36" s="1">
        <f>IFERROR(__xludf.DUMMYFUNCTION("""COMPUTED_VALUE"""),86.0)</f>
        <v>86</v>
      </c>
      <c r="I36" s="1">
        <f>IFERROR(__xludf.DUMMYFUNCTION("""COMPUTED_VALUE"""),70.0)</f>
        <v>70</v>
      </c>
      <c r="J36" s="1">
        <f>IFERROR(__xludf.DUMMYFUNCTION("""COMPUTED_VALUE"""),54.0)</f>
        <v>54</v>
      </c>
      <c r="K36" s="1">
        <f>IFERROR(__xludf.DUMMYFUNCTION("""COMPUTED_VALUE"""),54.0)</f>
        <v>54</v>
      </c>
      <c r="L36" s="1">
        <f>IFERROR(__xludf.DUMMYFUNCTION("""COMPUTED_VALUE"""),339.0)</f>
        <v>339</v>
      </c>
      <c r="M36" s="1">
        <f>IFERROR(__xludf.DUMMYFUNCTION("""COMPUTED_VALUE"""),67.8)</f>
        <v>67.8</v>
      </c>
      <c r="N36" s="1">
        <f>IFERROR(__xludf.DUMMYFUNCTION("""COMPUTED_VALUE"""),72.0)</f>
        <v>72</v>
      </c>
      <c r="O36" s="1" t="str">
        <f>IFERROR(__xludf.DUMMYFUNCTION("""COMPUTED_VALUE"""),"Pass")</f>
        <v>Pass</v>
      </c>
    </row>
    <row r="37" ht="15.75" customHeight="1">
      <c r="A37" s="1" t="str">
        <f>IFERROR(__xludf.DUMMYFUNCTION("""COMPUTED_VALUE"""),"STD-1102")</f>
        <v>STD-1102</v>
      </c>
      <c r="B37" s="1" t="str">
        <f>IFERROR(__xludf.DUMMYFUNCTION("""COMPUTED_VALUE"""),"Meera Kaur")</f>
        <v>Meera Kaur</v>
      </c>
      <c r="C37" s="1" t="str">
        <f>IFERROR(__xludf.DUMMYFUNCTION("""COMPUTED_VALUE"""),"Male")</f>
        <v>Male</v>
      </c>
      <c r="D37" s="1" t="str">
        <f>IFERROR(__xludf.DUMMYFUNCTION("""COMPUTED_VALUE"""),"9")</f>
        <v>9</v>
      </c>
      <c r="E37" s="1" t="str">
        <f>IFERROR(__xludf.DUMMYFUNCTION("""COMPUTED_VALUE"""),"C")</f>
        <v>C</v>
      </c>
      <c r="F37" s="1" t="str">
        <f>IFERROR(__xludf.DUMMYFUNCTION("""COMPUTED_VALUE"""),"Kolkata")</f>
        <v>Kolkata</v>
      </c>
      <c r="G37" s="1">
        <f>IFERROR(__xludf.DUMMYFUNCTION("""COMPUTED_VALUE"""),89.0)</f>
        <v>89</v>
      </c>
      <c r="H37" s="1">
        <f>IFERROR(__xludf.DUMMYFUNCTION("""COMPUTED_VALUE"""),68.0)</f>
        <v>68</v>
      </c>
      <c r="I37" s="1">
        <f>IFERROR(__xludf.DUMMYFUNCTION("""COMPUTED_VALUE"""),47.0)</f>
        <v>47</v>
      </c>
      <c r="J37" s="1">
        <f>IFERROR(__xludf.DUMMYFUNCTION("""COMPUTED_VALUE"""),56.0)</f>
        <v>56</v>
      </c>
      <c r="K37" s="1">
        <f>IFERROR(__xludf.DUMMYFUNCTION("""COMPUTED_VALUE"""),58.0)</f>
        <v>58</v>
      </c>
      <c r="L37" s="1">
        <f>IFERROR(__xludf.DUMMYFUNCTION("""COMPUTED_VALUE"""),318.0)</f>
        <v>318</v>
      </c>
      <c r="M37" s="1">
        <f>IFERROR(__xludf.DUMMYFUNCTION("""COMPUTED_VALUE"""),63.6)</f>
        <v>63.6</v>
      </c>
      <c r="N37" s="1">
        <f>IFERROR(__xludf.DUMMYFUNCTION("""COMPUTED_VALUE"""),71.0)</f>
        <v>71</v>
      </c>
      <c r="O37" s="1" t="str">
        <f>IFERROR(__xludf.DUMMYFUNCTION("""COMPUTED_VALUE"""),"Pass")</f>
        <v>Pass</v>
      </c>
    </row>
    <row r="38" ht="15.75" customHeight="1">
      <c r="A38" s="1" t="str">
        <f>IFERROR(__xludf.DUMMYFUNCTION("""COMPUTED_VALUE"""),"STD-1104")</f>
        <v>STD-1104</v>
      </c>
      <c r="B38" s="1" t="str">
        <f>IFERROR(__xludf.DUMMYFUNCTION("""COMPUTED_VALUE"""),"Ananya Choudhary")</f>
        <v>Ananya Choudhary</v>
      </c>
      <c r="C38" s="1" t="str">
        <f>IFERROR(__xludf.DUMMYFUNCTION("""COMPUTED_VALUE"""),"Female")</f>
        <v>Female</v>
      </c>
      <c r="D38" s="1" t="str">
        <f>IFERROR(__xludf.DUMMYFUNCTION("""COMPUTED_VALUE"""),"7")</f>
        <v>7</v>
      </c>
      <c r="E38" s="1" t="str">
        <f>IFERROR(__xludf.DUMMYFUNCTION("""COMPUTED_VALUE"""),"B")</f>
        <v>B</v>
      </c>
      <c r="F38" s="1" t="str">
        <f>IFERROR(__xludf.DUMMYFUNCTION("""COMPUTED_VALUE"""),"Mumbai")</f>
        <v>Mumbai</v>
      </c>
      <c r="G38" s="1">
        <f>IFERROR(__xludf.DUMMYFUNCTION("""COMPUTED_VALUE"""),83.0)</f>
        <v>83</v>
      </c>
      <c r="H38" s="1">
        <f>IFERROR(__xludf.DUMMYFUNCTION("""COMPUTED_VALUE"""),70.0)</f>
        <v>70</v>
      </c>
      <c r="I38" s="1">
        <f>IFERROR(__xludf.DUMMYFUNCTION("""COMPUTED_VALUE"""),57.0)</f>
        <v>57</v>
      </c>
      <c r="J38" s="1">
        <f>IFERROR(__xludf.DUMMYFUNCTION("""COMPUTED_VALUE"""),81.0)</f>
        <v>81</v>
      </c>
      <c r="K38" s="1">
        <f>IFERROR(__xludf.DUMMYFUNCTION("""COMPUTED_VALUE"""),96.0)</f>
        <v>96</v>
      </c>
      <c r="L38" s="1">
        <f>IFERROR(__xludf.DUMMYFUNCTION("""COMPUTED_VALUE"""),387.0)</f>
        <v>387</v>
      </c>
      <c r="M38" s="1">
        <f>IFERROR(__xludf.DUMMYFUNCTION("""COMPUTED_VALUE"""),77.4)</f>
        <v>77.4</v>
      </c>
      <c r="N38" s="1">
        <f>IFERROR(__xludf.DUMMYFUNCTION("""COMPUTED_VALUE"""),62.0)</f>
        <v>62</v>
      </c>
      <c r="O38" s="1" t="str">
        <f>IFERROR(__xludf.DUMMYFUNCTION("""COMPUTED_VALUE"""),"Pass")</f>
        <v>Pass</v>
      </c>
    </row>
    <row r="39" ht="15.75" customHeight="1">
      <c r="A39" s="1" t="str">
        <f>IFERROR(__xludf.DUMMYFUNCTION("""COMPUTED_VALUE"""),"STD-1105")</f>
        <v>STD-1105</v>
      </c>
      <c r="B39" s="1" t="str">
        <f>IFERROR(__xludf.DUMMYFUNCTION("""COMPUTED_VALUE"""),"Aditya Verma")</f>
        <v>Aditya Verma</v>
      </c>
      <c r="C39" s="1" t="str">
        <f>IFERROR(__xludf.DUMMYFUNCTION("""COMPUTED_VALUE"""),"Female")</f>
        <v>Female</v>
      </c>
      <c r="D39" s="1" t="str">
        <f>IFERROR(__xludf.DUMMYFUNCTION("""COMPUTED_VALUE"""),"6")</f>
        <v>6</v>
      </c>
      <c r="E39" s="1" t="str">
        <f>IFERROR(__xludf.DUMMYFUNCTION("""COMPUTED_VALUE"""),"B")</f>
        <v>B</v>
      </c>
      <c r="F39" s="1" t="str">
        <f>IFERROR(__xludf.DUMMYFUNCTION("""COMPUTED_VALUE"""),"Patna")</f>
        <v>Patna</v>
      </c>
      <c r="G39" s="1">
        <f>IFERROR(__xludf.DUMMYFUNCTION("""COMPUTED_VALUE"""),46.0)</f>
        <v>46</v>
      </c>
      <c r="H39" s="1">
        <f>IFERROR(__xludf.DUMMYFUNCTION("""COMPUTED_VALUE"""),85.0)</f>
        <v>85</v>
      </c>
      <c r="I39" s="1">
        <f>IFERROR(__xludf.DUMMYFUNCTION("""COMPUTED_VALUE"""),80.0)</f>
        <v>80</v>
      </c>
      <c r="J39" s="1">
        <f>IFERROR(__xludf.DUMMYFUNCTION("""COMPUTED_VALUE"""),80.0)</f>
        <v>80</v>
      </c>
      <c r="K39" s="1">
        <f>IFERROR(__xludf.DUMMYFUNCTION("""COMPUTED_VALUE"""),97.0)</f>
        <v>97</v>
      </c>
      <c r="L39" s="1">
        <f>IFERROR(__xludf.DUMMYFUNCTION("""COMPUTED_VALUE"""),388.0)</f>
        <v>388</v>
      </c>
      <c r="M39" s="1">
        <f>IFERROR(__xludf.DUMMYFUNCTION("""COMPUTED_VALUE"""),77.6)</f>
        <v>77.6</v>
      </c>
      <c r="N39" s="1">
        <f>IFERROR(__xludf.DUMMYFUNCTION("""COMPUTED_VALUE"""),72.0)</f>
        <v>72</v>
      </c>
      <c r="O39" s="1" t="str">
        <f>IFERROR(__xludf.DUMMYFUNCTION("""COMPUTED_VALUE"""),"Pass")</f>
        <v>Pass</v>
      </c>
    </row>
    <row r="40" ht="15.75" customHeight="1">
      <c r="A40" s="1" t="str">
        <f>IFERROR(__xludf.DUMMYFUNCTION("""COMPUTED_VALUE"""),"STD-1107")</f>
        <v>STD-1107</v>
      </c>
      <c r="B40" s="1" t="str">
        <f>IFERROR(__xludf.DUMMYFUNCTION("""COMPUTED_VALUE"""),"Vivaan Reddy")</f>
        <v>Vivaan Reddy</v>
      </c>
      <c r="C40" s="1" t="str">
        <f>IFERROR(__xludf.DUMMYFUNCTION("""COMPUTED_VALUE"""),"Female")</f>
        <v>Female</v>
      </c>
      <c r="D40" s="1" t="str">
        <f>IFERROR(__xludf.DUMMYFUNCTION("""COMPUTED_VALUE"""),"10")</f>
        <v>10</v>
      </c>
      <c r="E40" s="1" t="str">
        <f>IFERROR(__xludf.DUMMYFUNCTION("""COMPUTED_VALUE"""),"B")</f>
        <v>B</v>
      </c>
      <c r="F40" s="1" t="str">
        <f>IFERROR(__xludf.DUMMYFUNCTION("""COMPUTED_VALUE"""),"Chandigarh")</f>
        <v>Chandigarh</v>
      </c>
      <c r="G40" s="1">
        <f>IFERROR(__xludf.DUMMYFUNCTION("""COMPUTED_VALUE"""),93.0)</f>
        <v>93</v>
      </c>
      <c r="H40" s="1">
        <f>IFERROR(__xludf.DUMMYFUNCTION("""COMPUTED_VALUE"""),68.0)</f>
        <v>68</v>
      </c>
      <c r="I40" s="1">
        <f>IFERROR(__xludf.DUMMYFUNCTION("""COMPUTED_VALUE"""),70.0)</f>
        <v>70</v>
      </c>
      <c r="J40" s="1">
        <f>IFERROR(__xludf.DUMMYFUNCTION("""COMPUTED_VALUE"""),67.0)</f>
        <v>67</v>
      </c>
      <c r="K40" s="1">
        <f>IFERROR(__xludf.DUMMYFUNCTION("""COMPUTED_VALUE"""),96.0)</f>
        <v>96</v>
      </c>
      <c r="L40" s="1">
        <f>IFERROR(__xludf.DUMMYFUNCTION("""COMPUTED_VALUE"""),394.0)</f>
        <v>394</v>
      </c>
      <c r="M40" s="1">
        <f>IFERROR(__xludf.DUMMYFUNCTION("""COMPUTED_VALUE"""),78.8)</f>
        <v>78.8</v>
      </c>
      <c r="N40" s="1">
        <f>IFERROR(__xludf.DUMMYFUNCTION("""COMPUTED_VALUE"""),71.0)</f>
        <v>71</v>
      </c>
      <c r="O40" s="1" t="str">
        <f>IFERROR(__xludf.DUMMYFUNCTION("""COMPUTED_VALUE"""),"Pass")</f>
        <v>Pass</v>
      </c>
    </row>
    <row r="41" ht="15.75" customHeight="1">
      <c r="A41" s="1" t="str">
        <f>IFERROR(__xludf.DUMMYFUNCTION("""COMPUTED_VALUE"""),"STD-1110")</f>
        <v>STD-1110</v>
      </c>
      <c r="B41" s="1" t="str">
        <f>IFERROR(__xludf.DUMMYFUNCTION("""COMPUTED_VALUE"""),"Ishita Iyer")</f>
        <v>Ishita Iyer</v>
      </c>
      <c r="C41" s="1" t="str">
        <f>IFERROR(__xludf.DUMMYFUNCTION("""COMPUTED_VALUE"""),"Female")</f>
        <v>Female</v>
      </c>
      <c r="D41" s="1" t="str">
        <f>IFERROR(__xludf.DUMMYFUNCTION("""COMPUTED_VALUE"""),"7")</f>
        <v>7</v>
      </c>
      <c r="E41" s="1" t="str">
        <f>IFERROR(__xludf.DUMMYFUNCTION("""COMPUTED_VALUE"""),"B")</f>
        <v>B</v>
      </c>
      <c r="F41" s="1" t="str">
        <f>IFERROR(__xludf.DUMMYFUNCTION("""COMPUTED_VALUE"""),"Jaipur")</f>
        <v>Jaipur</v>
      </c>
      <c r="G41" s="1">
        <f>IFERROR(__xludf.DUMMYFUNCTION("""COMPUTED_VALUE"""),48.0)</f>
        <v>48</v>
      </c>
      <c r="H41" s="1">
        <f>IFERROR(__xludf.DUMMYFUNCTION("""COMPUTED_VALUE"""),47.0)</f>
        <v>47</v>
      </c>
      <c r="I41" s="1">
        <f>IFERROR(__xludf.DUMMYFUNCTION("""COMPUTED_VALUE"""),42.0)</f>
        <v>42</v>
      </c>
      <c r="J41" s="1">
        <f>IFERROR(__xludf.DUMMYFUNCTION("""COMPUTED_VALUE"""),69.0)</f>
        <v>69</v>
      </c>
      <c r="K41" s="1">
        <f>IFERROR(__xludf.DUMMYFUNCTION("""COMPUTED_VALUE"""),50.0)</f>
        <v>50</v>
      </c>
      <c r="L41" s="1">
        <f>IFERROR(__xludf.DUMMYFUNCTION("""COMPUTED_VALUE"""),256.0)</f>
        <v>256</v>
      </c>
      <c r="M41" s="1">
        <f>IFERROR(__xludf.DUMMYFUNCTION("""COMPUTED_VALUE"""),51.2)</f>
        <v>51.2</v>
      </c>
      <c r="N41" s="1">
        <f>IFERROR(__xludf.DUMMYFUNCTION("""COMPUTED_VALUE"""),71.0)</f>
        <v>71</v>
      </c>
      <c r="O41" s="1" t="str">
        <f>IFERROR(__xludf.DUMMYFUNCTION("""COMPUTED_VALUE"""),"Pass")</f>
        <v>Pass</v>
      </c>
    </row>
    <row r="42" ht="15.75" customHeight="1">
      <c r="A42" s="1" t="str">
        <f>IFERROR(__xludf.DUMMYFUNCTION("""COMPUTED_VALUE"""),"STD-1111")</f>
        <v>STD-1111</v>
      </c>
      <c r="B42" s="1" t="str">
        <f>IFERROR(__xludf.DUMMYFUNCTION("""COMPUTED_VALUE"""),"Neha Singh")</f>
        <v>Neha Singh</v>
      </c>
      <c r="C42" s="1" t="str">
        <f>IFERROR(__xludf.DUMMYFUNCTION("""COMPUTED_VALUE"""),"Female")</f>
        <v>Female</v>
      </c>
      <c r="D42" s="1" t="str">
        <f>IFERROR(__xludf.DUMMYFUNCTION("""COMPUTED_VALUE"""),"6")</f>
        <v>6</v>
      </c>
      <c r="E42" s="1" t="str">
        <f>IFERROR(__xludf.DUMMYFUNCTION("""COMPUTED_VALUE"""),"B")</f>
        <v>B</v>
      </c>
      <c r="F42" s="1" t="str">
        <f>IFERROR(__xludf.DUMMYFUNCTION("""COMPUTED_VALUE"""),"Bhopal")</f>
        <v>Bhopal</v>
      </c>
      <c r="G42" s="1">
        <f>IFERROR(__xludf.DUMMYFUNCTION("""COMPUTED_VALUE"""),88.0)</f>
        <v>88</v>
      </c>
      <c r="H42" s="1">
        <f>IFERROR(__xludf.DUMMYFUNCTION("""COMPUTED_VALUE"""),89.0)</f>
        <v>89</v>
      </c>
      <c r="I42" s="1">
        <f>IFERROR(__xludf.DUMMYFUNCTION("""COMPUTED_VALUE"""),72.0)</f>
        <v>72</v>
      </c>
      <c r="J42" s="1">
        <f>IFERROR(__xludf.DUMMYFUNCTION("""COMPUTED_VALUE"""),42.0)</f>
        <v>42</v>
      </c>
      <c r="K42" s="1">
        <f>IFERROR(__xludf.DUMMYFUNCTION("""COMPUTED_VALUE"""),74.0)</f>
        <v>74</v>
      </c>
      <c r="L42" s="1">
        <f>IFERROR(__xludf.DUMMYFUNCTION("""COMPUTED_VALUE"""),365.0)</f>
        <v>365</v>
      </c>
      <c r="M42" s="1">
        <f>IFERROR(__xludf.DUMMYFUNCTION("""COMPUTED_VALUE"""),73.0)</f>
        <v>73</v>
      </c>
      <c r="N42" s="1">
        <f>IFERROR(__xludf.DUMMYFUNCTION("""COMPUTED_VALUE"""),64.0)</f>
        <v>64</v>
      </c>
      <c r="O42" s="1" t="str">
        <f>IFERROR(__xludf.DUMMYFUNCTION("""COMPUTED_VALUE"""),"Pass")</f>
        <v>Pass</v>
      </c>
    </row>
    <row r="43" ht="15.75" customHeight="1">
      <c r="A43" s="1" t="str">
        <f>IFERROR(__xludf.DUMMYFUNCTION("""COMPUTED_VALUE"""),"STD-1116")</f>
        <v>STD-1116</v>
      </c>
      <c r="B43" s="1" t="str">
        <f>IFERROR(__xludf.DUMMYFUNCTION("""COMPUTED_VALUE"""),"Shreya Jain")</f>
        <v>Shreya Jain</v>
      </c>
      <c r="C43" s="1" t="str">
        <f>IFERROR(__xludf.DUMMYFUNCTION("""COMPUTED_VALUE"""),"Male")</f>
        <v>Male</v>
      </c>
      <c r="D43" s="1" t="str">
        <f>IFERROR(__xludf.DUMMYFUNCTION("""COMPUTED_VALUE"""),"9")</f>
        <v>9</v>
      </c>
      <c r="E43" s="1" t="str">
        <f>IFERROR(__xludf.DUMMYFUNCTION("""COMPUTED_VALUE"""),"B")</f>
        <v>B</v>
      </c>
      <c r="F43" s="1" t="str">
        <f>IFERROR(__xludf.DUMMYFUNCTION("""COMPUTED_VALUE"""),"Jaipur")</f>
        <v>Jaipur</v>
      </c>
      <c r="G43" s="1">
        <f>IFERROR(__xludf.DUMMYFUNCTION("""COMPUTED_VALUE"""),49.0)</f>
        <v>49</v>
      </c>
      <c r="H43" s="1">
        <f>IFERROR(__xludf.DUMMYFUNCTION("""COMPUTED_VALUE"""),70.0)</f>
        <v>70</v>
      </c>
      <c r="I43" s="1">
        <f>IFERROR(__xludf.DUMMYFUNCTION("""COMPUTED_VALUE"""),59.0)</f>
        <v>59</v>
      </c>
      <c r="J43" s="1">
        <f>IFERROR(__xludf.DUMMYFUNCTION("""COMPUTED_VALUE"""),85.0)</f>
        <v>85</v>
      </c>
      <c r="K43" s="1">
        <f>IFERROR(__xludf.DUMMYFUNCTION("""COMPUTED_VALUE"""),99.0)</f>
        <v>99</v>
      </c>
      <c r="L43" s="1">
        <f>IFERROR(__xludf.DUMMYFUNCTION("""COMPUTED_VALUE"""),362.0)</f>
        <v>362</v>
      </c>
      <c r="M43" s="1">
        <f>IFERROR(__xludf.DUMMYFUNCTION("""COMPUTED_VALUE"""),72.4)</f>
        <v>72.4</v>
      </c>
      <c r="N43" s="1">
        <f>IFERROR(__xludf.DUMMYFUNCTION("""COMPUTED_VALUE"""),61.0)</f>
        <v>61</v>
      </c>
      <c r="O43" s="1" t="str">
        <f>IFERROR(__xludf.DUMMYFUNCTION("""COMPUTED_VALUE"""),"Pass")</f>
        <v>Pass</v>
      </c>
    </row>
    <row r="44" ht="15.75" customHeight="1">
      <c r="A44" s="1" t="str">
        <f>IFERROR(__xludf.DUMMYFUNCTION("""COMPUTED_VALUE"""),"STD-1121")</f>
        <v>STD-1121</v>
      </c>
      <c r="B44" s="1" t="str">
        <f>IFERROR(__xludf.DUMMYFUNCTION("""COMPUTED_VALUE"""),"Rohan Gupta")</f>
        <v>Rohan Gupta</v>
      </c>
      <c r="C44" s="1" t="str">
        <f>IFERROR(__xludf.DUMMYFUNCTION("""COMPUTED_VALUE"""),"Female")</f>
        <v>Female</v>
      </c>
      <c r="D44" s="1" t="str">
        <f>IFERROR(__xludf.DUMMYFUNCTION("""COMPUTED_VALUE"""),"7")</f>
        <v>7</v>
      </c>
      <c r="E44" s="1" t="str">
        <f>IFERROR(__xludf.DUMMYFUNCTION("""COMPUTED_VALUE"""),"A")</f>
        <v>A</v>
      </c>
      <c r="F44" s="1" t="str">
        <f>IFERROR(__xludf.DUMMYFUNCTION("""COMPUTED_VALUE"""),"Jaipur")</f>
        <v>Jaipur</v>
      </c>
      <c r="G44" s="1">
        <f>IFERROR(__xludf.DUMMYFUNCTION("""COMPUTED_VALUE"""),84.0)</f>
        <v>84</v>
      </c>
      <c r="H44" s="1">
        <f>IFERROR(__xludf.DUMMYFUNCTION("""COMPUTED_VALUE"""),75.0)</f>
        <v>75</v>
      </c>
      <c r="I44" s="1">
        <f>IFERROR(__xludf.DUMMYFUNCTION("""COMPUTED_VALUE"""),54.0)</f>
        <v>54</v>
      </c>
      <c r="J44" s="1">
        <f>IFERROR(__xludf.DUMMYFUNCTION("""COMPUTED_VALUE"""),88.0)</f>
        <v>88</v>
      </c>
      <c r="K44" s="1">
        <f>IFERROR(__xludf.DUMMYFUNCTION("""COMPUTED_VALUE"""),88.0)</f>
        <v>88</v>
      </c>
      <c r="L44" s="1">
        <f>IFERROR(__xludf.DUMMYFUNCTION("""COMPUTED_VALUE"""),389.0)</f>
        <v>389</v>
      </c>
      <c r="M44" s="1">
        <f>IFERROR(__xludf.DUMMYFUNCTION("""COMPUTED_VALUE"""),77.8)</f>
        <v>77.8</v>
      </c>
      <c r="N44" s="1">
        <f>IFERROR(__xludf.DUMMYFUNCTION("""COMPUTED_VALUE"""),61.0)</f>
        <v>61</v>
      </c>
      <c r="O44" s="1" t="str">
        <f>IFERROR(__xludf.DUMMYFUNCTION("""COMPUTED_VALUE"""),"Pass")</f>
        <v>Pass</v>
      </c>
    </row>
    <row r="45" ht="15.75" customHeight="1">
      <c r="A45" s="1" t="str">
        <f>IFERROR(__xludf.DUMMYFUNCTION("""COMPUTED_VALUE"""),"STD-1122")</f>
        <v>STD-1122</v>
      </c>
      <c r="B45" s="1" t="str">
        <f>IFERROR(__xludf.DUMMYFUNCTION("""COMPUTED_VALUE"""),"Ishita Nair")</f>
        <v>Ishita Nair</v>
      </c>
      <c r="C45" s="1" t="str">
        <f>IFERROR(__xludf.DUMMYFUNCTION("""COMPUTED_VALUE"""),"Male")</f>
        <v>Male</v>
      </c>
      <c r="D45" s="1" t="str">
        <f>IFERROR(__xludf.DUMMYFUNCTION("""COMPUTED_VALUE"""),"6")</f>
        <v>6</v>
      </c>
      <c r="E45" s="1" t="str">
        <f>IFERROR(__xludf.DUMMYFUNCTION("""COMPUTED_VALUE"""),"C")</f>
        <v>C</v>
      </c>
      <c r="F45" s="1" t="str">
        <f>IFERROR(__xludf.DUMMYFUNCTION("""COMPUTED_VALUE"""),"Kolkata")</f>
        <v>Kolkata</v>
      </c>
      <c r="G45" s="1">
        <f>IFERROR(__xludf.DUMMYFUNCTION("""COMPUTED_VALUE"""),54.0)</f>
        <v>54</v>
      </c>
      <c r="H45" s="1">
        <f>IFERROR(__xludf.DUMMYFUNCTION("""COMPUTED_VALUE"""),99.0)</f>
        <v>99</v>
      </c>
      <c r="I45" s="1">
        <f>IFERROR(__xludf.DUMMYFUNCTION("""COMPUTED_VALUE"""),42.0)</f>
        <v>42</v>
      </c>
      <c r="J45" s="1">
        <f>IFERROR(__xludf.DUMMYFUNCTION("""COMPUTED_VALUE"""),58.0)</f>
        <v>58</v>
      </c>
      <c r="K45" s="1">
        <f>IFERROR(__xludf.DUMMYFUNCTION("""COMPUTED_VALUE"""),45.0)</f>
        <v>45</v>
      </c>
      <c r="L45" s="1">
        <f>IFERROR(__xludf.DUMMYFUNCTION("""COMPUTED_VALUE"""),298.0)</f>
        <v>298</v>
      </c>
      <c r="M45" s="1">
        <f>IFERROR(__xludf.DUMMYFUNCTION("""COMPUTED_VALUE"""),59.6)</f>
        <v>59.6</v>
      </c>
      <c r="N45" s="1">
        <f>IFERROR(__xludf.DUMMYFUNCTION("""COMPUTED_VALUE"""),64.0)</f>
        <v>64</v>
      </c>
      <c r="O45" s="1" t="str">
        <f>IFERROR(__xludf.DUMMYFUNCTION("""COMPUTED_VALUE"""),"Pass")</f>
        <v>Pass</v>
      </c>
    </row>
    <row r="46" ht="15.75" customHeight="1">
      <c r="A46" s="1" t="str">
        <f>IFERROR(__xludf.DUMMYFUNCTION("""COMPUTED_VALUE"""),"STD-1126")</f>
        <v>STD-1126</v>
      </c>
      <c r="B46" s="1" t="str">
        <f>IFERROR(__xludf.DUMMYFUNCTION("""COMPUTED_VALUE"""),"Simran Jain")</f>
        <v>Simran Jain</v>
      </c>
      <c r="C46" s="1" t="str">
        <f>IFERROR(__xludf.DUMMYFUNCTION("""COMPUTED_VALUE"""),"Male")</f>
        <v>Male</v>
      </c>
      <c r="D46" s="1" t="str">
        <f>IFERROR(__xludf.DUMMYFUNCTION("""COMPUTED_VALUE"""),"6")</f>
        <v>6</v>
      </c>
      <c r="E46" s="1" t="str">
        <f>IFERROR(__xludf.DUMMYFUNCTION("""COMPUTED_VALUE"""),"A")</f>
        <v>A</v>
      </c>
      <c r="F46" s="1" t="str">
        <f>IFERROR(__xludf.DUMMYFUNCTION("""COMPUTED_VALUE"""),"Chandigarh")</f>
        <v>Chandigarh</v>
      </c>
      <c r="G46" s="1">
        <f>IFERROR(__xludf.DUMMYFUNCTION("""COMPUTED_VALUE"""),95.0)</f>
        <v>95</v>
      </c>
      <c r="H46" s="1">
        <f>IFERROR(__xludf.DUMMYFUNCTION("""COMPUTED_VALUE"""),58.0)</f>
        <v>58</v>
      </c>
      <c r="I46" s="1">
        <f>IFERROR(__xludf.DUMMYFUNCTION("""COMPUTED_VALUE"""),65.0)</f>
        <v>65</v>
      </c>
      <c r="J46" s="1">
        <f>IFERROR(__xludf.DUMMYFUNCTION("""COMPUTED_VALUE"""),58.0)</f>
        <v>58</v>
      </c>
      <c r="K46" s="1">
        <f>IFERROR(__xludf.DUMMYFUNCTION("""COMPUTED_VALUE"""),71.0)</f>
        <v>71</v>
      </c>
      <c r="L46" s="1">
        <f>IFERROR(__xludf.DUMMYFUNCTION("""COMPUTED_VALUE"""),347.0)</f>
        <v>347</v>
      </c>
      <c r="M46" s="1">
        <f>IFERROR(__xludf.DUMMYFUNCTION("""COMPUTED_VALUE"""),69.4)</f>
        <v>69.4</v>
      </c>
      <c r="N46" s="1">
        <f>IFERROR(__xludf.DUMMYFUNCTION("""COMPUTED_VALUE"""),63.0)</f>
        <v>63</v>
      </c>
      <c r="O46" s="1" t="str">
        <f>IFERROR(__xludf.DUMMYFUNCTION("""COMPUTED_VALUE"""),"Pass")</f>
        <v>Pass</v>
      </c>
    </row>
    <row r="47" ht="15.75" customHeight="1">
      <c r="A47" s="1" t="str">
        <f>IFERROR(__xludf.DUMMYFUNCTION("""COMPUTED_VALUE"""),"STD-1129")</f>
        <v>STD-1129</v>
      </c>
      <c r="B47" s="1" t="str">
        <f>IFERROR(__xludf.DUMMYFUNCTION("""COMPUTED_VALUE"""),"Rahul Yadav")</f>
        <v>Rahul Yadav</v>
      </c>
      <c r="C47" s="1" t="str">
        <f>IFERROR(__xludf.DUMMYFUNCTION("""COMPUTED_VALUE"""),"Female")</f>
        <v>Female</v>
      </c>
      <c r="D47" s="1" t="str">
        <f>IFERROR(__xludf.DUMMYFUNCTION("""COMPUTED_VALUE"""),"7")</f>
        <v>7</v>
      </c>
      <c r="E47" s="1" t="str">
        <f>IFERROR(__xludf.DUMMYFUNCTION("""COMPUTED_VALUE"""),"C")</f>
        <v>C</v>
      </c>
      <c r="F47" s="1" t="str">
        <f>IFERROR(__xludf.DUMMYFUNCTION("""COMPUTED_VALUE"""),"Jaipur")</f>
        <v>Jaipur</v>
      </c>
      <c r="G47" s="1">
        <f>IFERROR(__xludf.DUMMYFUNCTION("""COMPUTED_VALUE"""),74.0)</f>
        <v>74</v>
      </c>
      <c r="H47" s="1">
        <f>IFERROR(__xludf.DUMMYFUNCTION("""COMPUTED_VALUE"""),73.0)</f>
        <v>73</v>
      </c>
      <c r="I47" s="1">
        <f>IFERROR(__xludf.DUMMYFUNCTION("""COMPUTED_VALUE"""),74.0)</f>
        <v>74</v>
      </c>
      <c r="J47" s="1">
        <f>IFERROR(__xludf.DUMMYFUNCTION("""COMPUTED_VALUE"""),59.0)</f>
        <v>59</v>
      </c>
      <c r="K47" s="1">
        <f>IFERROR(__xludf.DUMMYFUNCTION("""COMPUTED_VALUE"""),85.0)</f>
        <v>85</v>
      </c>
      <c r="L47" s="1">
        <f>IFERROR(__xludf.DUMMYFUNCTION("""COMPUTED_VALUE"""),365.0)</f>
        <v>365</v>
      </c>
      <c r="M47" s="1">
        <f>IFERROR(__xludf.DUMMYFUNCTION("""COMPUTED_VALUE"""),73.0)</f>
        <v>73</v>
      </c>
      <c r="N47" s="1">
        <f>IFERROR(__xludf.DUMMYFUNCTION("""COMPUTED_VALUE"""),74.0)</f>
        <v>74</v>
      </c>
      <c r="O47" s="1" t="str">
        <f>IFERROR(__xludf.DUMMYFUNCTION("""COMPUTED_VALUE"""),"Pass")</f>
        <v>Pass</v>
      </c>
    </row>
    <row r="48" ht="15.75" customHeight="1">
      <c r="A48" s="1" t="str">
        <f>IFERROR(__xludf.DUMMYFUNCTION("""COMPUTED_VALUE"""),"STD-1130")</f>
        <v>STD-1130</v>
      </c>
      <c r="B48" s="1" t="str">
        <f>IFERROR(__xludf.DUMMYFUNCTION("""COMPUTED_VALUE"""),"Rahul Choudhary")</f>
        <v>Rahul Choudhary</v>
      </c>
      <c r="C48" s="1" t="str">
        <f>IFERROR(__xludf.DUMMYFUNCTION("""COMPUTED_VALUE"""),"Female")</f>
        <v>Female</v>
      </c>
      <c r="D48" s="1" t="str">
        <f>IFERROR(__xludf.DUMMYFUNCTION("""COMPUTED_VALUE"""),"9")</f>
        <v>9</v>
      </c>
      <c r="E48" s="1" t="str">
        <f>IFERROR(__xludf.DUMMYFUNCTION("""COMPUTED_VALUE"""),"B")</f>
        <v>B</v>
      </c>
      <c r="F48" s="1" t="str">
        <f>IFERROR(__xludf.DUMMYFUNCTION("""COMPUTED_VALUE"""),"Bhopal")</f>
        <v>Bhopal</v>
      </c>
      <c r="G48" s="1">
        <f>IFERROR(__xludf.DUMMYFUNCTION("""COMPUTED_VALUE"""),65.0)</f>
        <v>65</v>
      </c>
      <c r="H48" s="1">
        <f>IFERROR(__xludf.DUMMYFUNCTION("""COMPUTED_VALUE"""),83.0)</f>
        <v>83</v>
      </c>
      <c r="I48" s="1">
        <f>IFERROR(__xludf.DUMMYFUNCTION("""COMPUTED_VALUE"""),97.0)</f>
        <v>97</v>
      </c>
      <c r="J48" s="1">
        <f>IFERROR(__xludf.DUMMYFUNCTION("""COMPUTED_VALUE"""),81.0)</f>
        <v>81</v>
      </c>
      <c r="K48" s="1">
        <f>IFERROR(__xludf.DUMMYFUNCTION("""COMPUTED_VALUE"""),97.0)</f>
        <v>97</v>
      </c>
      <c r="L48" s="1">
        <f>IFERROR(__xludf.DUMMYFUNCTION("""COMPUTED_VALUE"""),423.0)</f>
        <v>423</v>
      </c>
      <c r="M48" s="1">
        <f>IFERROR(__xludf.DUMMYFUNCTION("""COMPUTED_VALUE"""),84.6)</f>
        <v>84.6</v>
      </c>
      <c r="N48" s="1">
        <f>IFERROR(__xludf.DUMMYFUNCTION("""COMPUTED_VALUE"""),70.0)</f>
        <v>70</v>
      </c>
      <c r="O48" s="1" t="str">
        <f>IFERROR(__xludf.DUMMYFUNCTION("""COMPUTED_VALUE"""),"Pass")</f>
        <v>Pass</v>
      </c>
    </row>
    <row r="49" ht="15.75" customHeight="1">
      <c r="A49" s="1" t="str">
        <f>IFERROR(__xludf.DUMMYFUNCTION("""COMPUTED_VALUE"""),"STD-1133")</f>
        <v>STD-1133</v>
      </c>
      <c r="B49" s="1" t="str">
        <f>IFERROR(__xludf.DUMMYFUNCTION("""COMPUTED_VALUE"""),"Ananya Yadav")</f>
        <v>Ananya Yadav</v>
      </c>
      <c r="C49" s="1" t="str">
        <f>IFERROR(__xludf.DUMMYFUNCTION("""COMPUTED_VALUE"""),"Female")</f>
        <v>Female</v>
      </c>
      <c r="D49" s="1" t="str">
        <f>IFERROR(__xludf.DUMMYFUNCTION("""COMPUTED_VALUE"""),"10")</f>
        <v>10</v>
      </c>
      <c r="E49" s="1" t="str">
        <f>IFERROR(__xludf.DUMMYFUNCTION("""COMPUTED_VALUE"""),"B")</f>
        <v>B</v>
      </c>
      <c r="F49" s="1" t="str">
        <f>IFERROR(__xludf.DUMMYFUNCTION("""COMPUTED_VALUE"""),"Kolkata")</f>
        <v>Kolkata</v>
      </c>
      <c r="G49" s="1">
        <f>IFERROR(__xludf.DUMMYFUNCTION("""COMPUTED_VALUE"""),85.0)</f>
        <v>85</v>
      </c>
      <c r="H49" s="1">
        <f>IFERROR(__xludf.DUMMYFUNCTION("""COMPUTED_VALUE"""),83.0)</f>
        <v>83</v>
      </c>
      <c r="I49" s="1">
        <f>IFERROR(__xludf.DUMMYFUNCTION("""COMPUTED_VALUE"""),67.0)</f>
        <v>67</v>
      </c>
      <c r="J49" s="1">
        <f>IFERROR(__xludf.DUMMYFUNCTION("""COMPUTED_VALUE"""),87.0)</f>
        <v>87</v>
      </c>
      <c r="K49" s="1">
        <f>IFERROR(__xludf.DUMMYFUNCTION("""COMPUTED_VALUE"""),71.0)</f>
        <v>71</v>
      </c>
      <c r="L49" s="1">
        <f>IFERROR(__xludf.DUMMYFUNCTION("""COMPUTED_VALUE"""),393.0)</f>
        <v>393</v>
      </c>
      <c r="M49" s="1">
        <f>IFERROR(__xludf.DUMMYFUNCTION("""COMPUTED_VALUE"""),78.6)</f>
        <v>78.6</v>
      </c>
      <c r="N49" s="1">
        <f>IFERROR(__xludf.DUMMYFUNCTION("""COMPUTED_VALUE"""),66.0)</f>
        <v>66</v>
      </c>
      <c r="O49" s="1" t="str">
        <f>IFERROR(__xludf.DUMMYFUNCTION("""COMPUTED_VALUE"""),"Pass")</f>
        <v>Pass</v>
      </c>
    </row>
    <row r="50" ht="15.75" customHeight="1">
      <c r="A50" s="1" t="str">
        <f>IFERROR(__xludf.DUMMYFUNCTION("""COMPUTED_VALUE"""),"STD-1135")</f>
        <v>STD-1135</v>
      </c>
      <c r="B50" s="1" t="str">
        <f>IFERROR(__xludf.DUMMYFUNCTION("""COMPUTED_VALUE"""),"Aditya Choudhary")</f>
        <v>Aditya Choudhary</v>
      </c>
      <c r="C50" s="1" t="str">
        <f>IFERROR(__xludf.DUMMYFUNCTION("""COMPUTED_VALUE"""),"Female")</f>
        <v>Female</v>
      </c>
      <c r="D50" s="1" t="str">
        <f>IFERROR(__xludf.DUMMYFUNCTION("""COMPUTED_VALUE"""),"10")</f>
        <v>10</v>
      </c>
      <c r="E50" s="1" t="str">
        <f>IFERROR(__xludf.DUMMYFUNCTION("""COMPUTED_VALUE"""),"B")</f>
        <v>B</v>
      </c>
      <c r="F50" s="1" t="str">
        <f>IFERROR(__xludf.DUMMYFUNCTION("""COMPUTED_VALUE"""),"Jaipur")</f>
        <v>Jaipur</v>
      </c>
      <c r="G50" s="1">
        <f>IFERROR(__xludf.DUMMYFUNCTION("""COMPUTED_VALUE"""),49.0)</f>
        <v>49</v>
      </c>
      <c r="H50" s="1">
        <f>IFERROR(__xludf.DUMMYFUNCTION("""COMPUTED_VALUE"""),97.0)</f>
        <v>97</v>
      </c>
      <c r="I50" s="1">
        <f>IFERROR(__xludf.DUMMYFUNCTION("""COMPUTED_VALUE"""),63.0)</f>
        <v>63</v>
      </c>
      <c r="J50" s="1">
        <f>IFERROR(__xludf.DUMMYFUNCTION("""COMPUTED_VALUE"""),55.0)</f>
        <v>55</v>
      </c>
      <c r="K50" s="1">
        <f>IFERROR(__xludf.DUMMYFUNCTION("""COMPUTED_VALUE"""),92.0)</f>
        <v>92</v>
      </c>
      <c r="L50" s="1">
        <f>IFERROR(__xludf.DUMMYFUNCTION("""COMPUTED_VALUE"""),356.0)</f>
        <v>356</v>
      </c>
      <c r="M50" s="1">
        <f>IFERROR(__xludf.DUMMYFUNCTION("""COMPUTED_VALUE"""),71.2)</f>
        <v>71.2</v>
      </c>
      <c r="N50" s="1">
        <f>IFERROR(__xludf.DUMMYFUNCTION("""COMPUTED_VALUE"""),61.0)</f>
        <v>61</v>
      </c>
      <c r="O50" s="1" t="str">
        <f>IFERROR(__xludf.DUMMYFUNCTION("""COMPUTED_VALUE"""),"Pass")</f>
        <v>Pass</v>
      </c>
    </row>
    <row r="51" ht="15.75" customHeight="1">
      <c r="A51" s="1" t="str">
        <f>IFERROR(__xludf.DUMMYFUNCTION("""COMPUTED_VALUE"""),"STD-1136")</f>
        <v>STD-1136</v>
      </c>
      <c r="B51" s="1" t="str">
        <f>IFERROR(__xludf.DUMMYFUNCTION("""COMPUTED_VALUE"""),"Ritika Verma")</f>
        <v>Ritika Verma</v>
      </c>
      <c r="C51" s="1" t="str">
        <f>IFERROR(__xludf.DUMMYFUNCTION("""COMPUTED_VALUE"""),"Male")</f>
        <v>Male</v>
      </c>
      <c r="D51" s="1" t="str">
        <f>IFERROR(__xludf.DUMMYFUNCTION("""COMPUTED_VALUE"""),"6")</f>
        <v>6</v>
      </c>
      <c r="E51" s="1" t="str">
        <f>IFERROR(__xludf.DUMMYFUNCTION("""COMPUTED_VALUE"""),"B")</f>
        <v>B</v>
      </c>
      <c r="F51" s="1" t="str">
        <f>IFERROR(__xludf.DUMMYFUNCTION("""COMPUTED_VALUE"""),"Chandigarh")</f>
        <v>Chandigarh</v>
      </c>
      <c r="G51" s="1">
        <f>IFERROR(__xludf.DUMMYFUNCTION("""COMPUTED_VALUE"""),55.0)</f>
        <v>55</v>
      </c>
      <c r="H51" s="1">
        <f>IFERROR(__xludf.DUMMYFUNCTION("""COMPUTED_VALUE"""),42.0)</f>
        <v>42</v>
      </c>
      <c r="I51" s="1">
        <f>IFERROR(__xludf.DUMMYFUNCTION("""COMPUTED_VALUE"""),68.0)</f>
        <v>68</v>
      </c>
      <c r="J51" s="1">
        <f>IFERROR(__xludf.DUMMYFUNCTION("""COMPUTED_VALUE"""),99.0)</f>
        <v>99</v>
      </c>
      <c r="K51" s="1">
        <f>IFERROR(__xludf.DUMMYFUNCTION("""COMPUTED_VALUE"""),91.0)</f>
        <v>91</v>
      </c>
      <c r="L51" s="1">
        <f>IFERROR(__xludf.DUMMYFUNCTION("""COMPUTED_VALUE"""),355.0)</f>
        <v>355</v>
      </c>
      <c r="M51" s="1">
        <f>IFERROR(__xludf.DUMMYFUNCTION("""COMPUTED_VALUE"""),71.0)</f>
        <v>71</v>
      </c>
      <c r="N51" s="1">
        <f>IFERROR(__xludf.DUMMYFUNCTION("""COMPUTED_VALUE"""),61.0)</f>
        <v>61</v>
      </c>
      <c r="O51" s="1" t="str">
        <f>IFERROR(__xludf.DUMMYFUNCTION("""COMPUTED_VALUE"""),"Pass")</f>
        <v>Pass</v>
      </c>
    </row>
    <row r="52" ht="15.75" customHeight="1">
      <c r="A52" s="1" t="str">
        <f>IFERROR(__xludf.DUMMYFUNCTION("""COMPUTED_VALUE"""),"STD-1138")</f>
        <v>STD-1138</v>
      </c>
      <c r="B52" s="1" t="str">
        <f>IFERROR(__xludf.DUMMYFUNCTION("""COMPUTED_VALUE"""),"Vivaan Iyer")</f>
        <v>Vivaan Iyer</v>
      </c>
      <c r="C52" s="1" t="str">
        <f>IFERROR(__xludf.DUMMYFUNCTION("""COMPUTED_VALUE"""),"Male")</f>
        <v>Male</v>
      </c>
      <c r="D52" s="1" t="str">
        <f>IFERROR(__xludf.DUMMYFUNCTION("""COMPUTED_VALUE"""),"10")</f>
        <v>10</v>
      </c>
      <c r="E52" s="1" t="str">
        <f>IFERROR(__xludf.DUMMYFUNCTION("""COMPUTED_VALUE"""),"A")</f>
        <v>A</v>
      </c>
      <c r="F52" s="1" t="str">
        <f>IFERROR(__xludf.DUMMYFUNCTION("""COMPUTED_VALUE"""),"Mumbai")</f>
        <v>Mumbai</v>
      </c>
      <c r="G52" s="1">
        <f>IFERROR(__xludf.DUMMYFUNCTION("""COMPUTED_VALUE"""),46.0)</f>
        <v>46</v>
      </c>
      <c r="H52" s="1">
        <f>IFERROR(__xludf.DUMMYFUNCTION("""COMPUTED_VALUE"""),94.0)</f>
        <v>94</v>
      </c>
      <c r="I52" s="1">
        <f>IFERROR(__xludf.DUMMYFUNCTION("""COMPUTED_VALUE"""),100.0)</f>
        <v>100</v>
      </c>
      <c r="J52" s="1">
        <f>IFERROR(__xludf.DUMMYFUNCTION("""COMPUTED_VALUE"""),97.0)</f>
        <v>97</v>
      </c>
      <c r="K52" s="1">
        <f>IFERROR(__xludf.DUMMYFUNCTION("""COMPUTED_VALUE"""),47.0)</f>
        <v>47</v>
      </c>
      <c r="L52" s="1">
        <f>IFERROR(__xludf.DUMMYFUNCTION("""COMPUTED_VALUE"""),384.0)</f>
        <v>384</v>
      </c>
      <c r="M52" s="1">
        <f>IFERROR(__xludf.DUMMYFUNCTION("""COMPUTED_VALUE"""),76.8)</f>
        <v>76.8</v>
      </c>
      <c r="N52" s="1">
        <f>IFERROR(__xludf.DUMMYFUNCTION("""COMPUTED_VALUE"""),62.0)</f>
        <v>62</v>
      </c>
      <c r="O52" s="1" t="str">
        <f>IFERROR(__xludf.DUMMYFUNCTION("""COMPUTED_VALUE"""),"Pass")</f>
        <v>Pass</v>
      </c>
    </row>
    <row r="53" ht="15.75" customHeight="1">
      <c r="A53" s="1" t="str">
        <f>IFERROR(__xludf.DUMMYFUNCTION("""COMPUTED_VALUE"""),"STD-1139")</f>
        <v>STD-1139</v>
      </c>
      <c r="B53" s="1" t="str">
        <f>IFERROR(__xludf.DUMMYFUNCTION("""COMPUTED_VALUE"""),"Sai Jain")</f>
        <v>Sai Jain</v>
      </c>
      <c r="C53" s="1" t="str">
        <f>IFERROR(__xludf.DUMMYFUNCTION("""COMPUTED_VALUE"""),"Female")</f>
        <v>Female</v>
      </c>
      <c r="D53" s="1" t="str">
        <f>IFERROR(__xludf.DUMMYFUNCTION("""COMPUTED_VALUE"""),"9")</f>
        <v>9</v>
      </c>
      <c r="E53" s="1" t="str">
        <f>IFERROR(__xludf.DUMMYFUNCTION("""COMPUTED_VALUE"""),"A")</f>
        <v>A</v>
      </c>
      <c r="F53" s="1" t="str">
        <f>IFERROR(__xludf.DUMMYFUNCTION("""COMPUTED_VALUE"""),"Bhopal")</f>
        <v>Bhopal</v>
      </c>
      <c r="G53" s="1">
        <f>IFERROR(__xludf.DUMMYFUNCTION("""COMPUTED_VALUE"""),93.0)</f>
        <v>93</v>
      </c>
      <c r="H53" s="1">
        <f>IFERROR(__xludf.DUMMYFUNCTION("""COMPUTED_VALUE"""),79.0)</f>
        <v>79</v>
      </c>
      <c r="I53" s="1">
        <f>IFERROR(__xludf.DUMMYFUNCTION("""COMPUTED_VALUE"""),59.0)</f>
        <v>59</v>
      </c>
      <c r="J53" s="1">
        <f>IFERROR(__xludf.DUMMYFUNCTION("""COMPUTED_VALUE"""),56.0)</f>
        <v>56</v>
      </c>
      <c r="K53" s="1">
        <f>IFERROR(__xludf.DUMMYFUNCTION("""COMPUTED_VALUE"""),73.0)</f>
        <v>73</v>
      </c>
      <c r="L53" s="1">
        <f>IFERROR(__xludf.DUMMYFUNCTION("""COMPUTED_VALUE"""),360.0)</f>
        <v>360</v>
      </c>
      <c r="M53" s="1">
        <f>IFERROR(__xludf.DUMMYFUNCTION("""COMPUTED_VALUE"""),72.0)</f>
        <v>72</v>
      </c>
      <c r="N53" s="1">
        <f>IFERROR(__xludf.DUMMYFUNCTION("""COMPUTED_VALUE"""),63.0)</f>
        <v>63</v>
      </c>
      <c r="O53" s="1" t="str">
        <f>IFERROR(__xludf.DUMMYFUNCTION("""COMPUTED_VALUE"""),"Pass")</f>
        <v>Pass</v>
      </c>
    </row>
    <row r="54" ht="15.75" customHeight="1">
      <c r="A54" s="1" t="str">
        <f>IFERROR(__xludf.DUMMYFUNCTION("""COMPUTED_VALUE"""),"STD-1141")</f>
        <v>STD-1141</v>
      </c>
      <c r="B54" s="1" t="str">
        <f>IFERROR(__xludf.DUMMYFUNCTION("""COMPUTED_VALUE"""),"Aarav Yadav")</f>
        <v>Aarav Yadav</v>
      </c>
      <c r="C54" s="1" t="str">
        <f>IFERROR(__xludf.DUMMYFUNCTION("""COMPUTED_VALUE"""),"Male")</f>
        <v>Male</v>
      </c>
      <c r="D54" s="1" t="str">
        <f>IFERROR(__xludf.DUMMYFUNCTION("""COMPUTED_VALUE"""),"10")</f>
        <v>10</v>
      </c>
      <c r="E54" s="1" t="str">
        <f>IFERROR(__xludf.DUMMYFUNCTION("""COMPUTED_VALUE"""),"B")</f>
        <v>B</v>
      </c>
      <c r="F54" s="1" t="str">
        <f>IFERROR(__xludf.DUMMYFUNCTION("""COMPUTED_VALUE"""),"Chandigarh")</f>
        <v>Chandigarh</v>
      </c>
      <c r="G54" s="1">
        <f>IFERROR(__xludf.DUMMYFUNCTION("""COMPUTED_VALUE"""),43.0)</f>
        <v>43</v>
      </c>
      <c r="H54" s="1">
        <f>IFERROR(__xludf.DUMMYFUNCTION("""COMPUTED_VALUE"""),76.0)</f>
        <v>76</v>
      </c>
      <c r="I54" s="1">
        <f>IFERROR(__xludf.DUMMYFUNCTION("""COMPUTED_VALUE"""),78.0)</f>
        <v>78</v>
      </c>
      <c r="J54" s="1">
        <f>IFERROR(__xludf.DUMMYFUNCTION("""COMPUTED_VALUE"""),42.0)</f>
        <v>42</v>
      </c>
      <c r="K54" s="1">
        <f>IFERROR(__xludf.DUMMYFUNCTION("""COMPUTED_VALUE"""),85.0)</f>
        <v>85</v>
      </c>
      <c r="L54" s="1">
        <f>IFERROR(__xludf.DUMMYFUNCTION("""COMPUTED_VALUE"""),324.0)</f>
        <v>324</v>
      </c>
      <c r="M54" s="1">
        <f>IFERROR(__xludf.DUMMYFUNCTION("""COMPUTED_VALUE"""),64.8)</f>
        <v>64.8</v>
      </c>
      <c r="N54" s="1">
        <f>IFERROR(__xludf.DUMMYFUNCTION("""COMPUTED_VALUE"""),60.0)</f>
        <v>60</v>
      </c>
      <c r="O54" s="1" t="str">
        <f>IFERROR(__xludf.DUMMYFUNCTION("""COMPUTED_VALUE"""),"Pass")</f>
        <v>Pass</v>
      </c>
    </row>
    <row r="55" ht="15.75" customHeight="1">
      <c r="A55" s="1" t="str">
        <f>IFERROR(__xludf.DUMMYFUNCTION("""COMPUTED_VALUE"""),"STD-1143")</f>
        <v>STD-1143</v>
      </c>
      <c r="B55" s="1" t="str">
        <f>IFERROR(__xludf.DUMMYFUNCTION("""COMPUTED_VALUE"""),"Arjun Patel")</f>
        <v>Arjun Patel</v>
      </c>
      <c r="C55" s="1" t="str">
        <f>IFERROR(__xludf.DUMMYFUNCTION("""COMPUTED_VALUE"""),"Male")</f>
        <v>Male</v>
      </c>
      <c r="D55" s="1" t="str">
        <f>IFERROR(__xludf.DUMMYFUNCTION("""COMPUTED_VALUE"""),"7")</f>
        <v>7</v>
      </c>
      <c r="E55" s="1" t="str">
        <f>IFERROR(__xludf.DUMMYFUNCTION("""COMPUTED_VALUE"""),"A")</f>
        <v>A</v>
      </c>
      <c r="F55" s="1" t="str">
        <f>IFERROR(__xludf.DUMMYFUNCTION("""COMPUTED_VALUE"""),"Jaipur")</f>
        <v>Jaipur</v>
      </c>
      <c r="G55" s="1">
        <f>IFERROR(__xludf.DUMMYFUNCTION("""COMPUTED_VALUE"""),77.0)</f>
        <v>77</v>
      </c>
      <c r="H55" s="1">
        <f>IFERROR(__xludf.DUMMYFUNCTION("""COMPUTED_VALUE"""),48.0)</f>
        <v>48</v>
      </c>
      <c r="I55" s="1">
        <f>IFERROR(__xludf.DUMMYFUNCTION("""COMPUTED_VALUE"""),82.0)</f>
        <v>82</v>
      </c>
      <c r="J55" s="1">
        <f>IFERROR(__xludf.DUMMYFUNCTION("""COMPUTED_VALUE"""),44.0)</f>
        <v>44</v>
      </c>
      <c r="K55" s="1">
        <f>IFERROR(__xludf.DUMMYFUNCTION("""COMPUTED_VALUE"""),74.0)</f>
        <v>74</v>
      </c>
      <c r="L55" s="1">
        <f>IFERROR(__xludf.DUMMYFUNCTION("""COMPUTED_VALUE"""),325.0)</f>
        <v>325</v>
      </c>
      <c r="M55" s="1">
        <f>IFERROR(__xludf.DUMMYFUNCTION("""COMPUTED_VALUE"""),65.0)</f>
        <v>65</v>
      </c>
      <c r="N55" s="1">
        <f>IFERROR(__xludf.DUMMYFUNCTION("""COMPUTED_VALUE"""),72.0)</f>
        <v>72</v>
      </c>
      <c r="O55" s="1" t="str">
        <f>IFERROR(__xludf.DUMMYFUNCTION("""COMPUTED_VALUE"""),"Pass")</f>
        <v>Pass</v>
      </c>
    </row>
    <row r="56" ht="15.75" customHeight="1">
      <c r="A56" s="1" t="str">
        <f>IFERROR(__xludf.DUMMYFUNCTION("""COMPUTED_VALUE"""),"STD-1144")</f>
        <v>STD-1144</v>
      </c>
      <c r="B56" s="1" t="str">
        <f>IFERROR(__xludf.DUMMYFUNCTION("""COMPUTED_VALUE"""),"Ritika Verma")</f>
        <v>Ritika Verma</v>
      </c>
      <c r="C56" s="1" t="str">
        <f>IFERROR(__xludf.DUMMYFUNCTION("""COMPUTED_VALUE"""),"Female")</f>
        <v>Female</v>
      </c>
      <c r="D56" s="1" t="str">
        <f>IFERROR(__xludf.DUMMYFUNCTION("""COMPUTED_VALUE"""),"7")</f>
        <v>7</v>
      </c>
      <c r="E56" s="1" t="str">
        <f>IFERROR(__xludf.DUMMYFUNCTION("""COMPUTED_VALUE"""),"C")</f>
        <v>C</v>
      </c>
      <c r="F56" s="1" t="str">
        <f>IFERROR(__xludf.DUMMYFUNCTION("""COMPUTED_VALUE"""),"Delhi")</f>
        <v>Delhi</v>
      </c>
      <c r="G56" s="1">
        <f>IFERROR(__xludf.DUMMYFUNCTION("""COMPUTED_VALUE"""),75.0)</f>
        <v>75</v>
      </c>
      <c r="H56" s="1">
        <f>IFERROR(__xludf.DUMMYFUNCTION("""COMPUTED_VALUE"""),64.0)</f>
        <v>64</v>
      </c>
      <c r="I56" s="1">
        <f>IFERROR(__xludf.DUMMYFUNCTION("""COMPUTED_VALUE"""),69.0)</f>
        <v>69</v>
      </c>
      <c r="J56" s="1">
        <f>IFERROR(__xludf.DUMMYFUNCTION("""COMPUTED_VALUE"""),59.0)</f>
        <v>59</v>
      </c>
      <c r="K56" s="1">
        <f>IFERROR(__xludf.DUMMYFUNCTION("""COMPUTED_VALUE"""),62.0)</f>
        <v>62</v>
      </c>
      <c r="L56" s="1">
        <f>IFERROR(__xludf.DUMMYFUNCTION("""COMPUTED_VALUE"""),329.0)</f>
        <v>329</v>
      </c>
      <c r="M56" s="1">
        <f>IFERROR(__xludf.DUMMYFUNCTION("""COMPUTED_VALUE"""),65.8)</f>
        <v>65.8</v>
      </c>
      <c r="N56" s="1">
        <f>IFERROR(__xludf.DUMMYFUNCTION("""COMPUTED_VALUE"""),62.0)</f>
        <v>62</v>
      </c>
      <c r="O56" s="1" t="str">
        <f>IFERROR(__xludf.DUMMYFUNCTION("""COMPUTED_VALUE"""),"Pass")</f>
        <v>Pass</v>
      </c>
    </row>
    <row r="57" ht="15.75" customHeight="1">
      <c r="A57" s="1" t="str">
        <f>IFERROR(__xludf.DUMMYFUNCTION("""COMPUTED_VALUE"""),"STD-1145")</f>
        <v>STD-1145</v>
      </c>
      <c r="B57" s="1" t="str">
        <f>IFERROR(__xludf.DUMMYFUNCTION("""COMPUTED_VALUE"""),"Ananya Yadav")</f>
        <v>Ananya Yadav</v>
      </c>
      <c r="C57" s="1" t="str">
        <f>IFERROR(__xludf.DUMMYFUNCTION("""COMPUTED_VALUE"""),"Female")</f>
        <v>Female</v>
      </c>
      <c r="D57" s="1" t="str">
        <f>IFERROR(__xludf.DUMMYFUNCTION("""COMPUTED_VALUE"""),"6")</f>
        <v>6</v>
      </c>
      <c r="E57" s="1" t="str">
        <f>IFERROR(__xludf.DUMMYFUNCTION("""COMPUTED_VALUE"""),"C")</f>
        <v>C</v>
      </c>
      <c r="F57" s="1" t="str">
        <f>IFERROR(__xludf.DUMMYFUNCTION("""COMPUTED_VALUE"""),"Mumbai")</f>
        <v>Mumbai</v>
      </c>
      <c r="G57" s="1">
        <f>IFERROR(__xludf.DUMMYFUNCTION("""COMPUTED_VALUE"""),56.0)</f>
        <v>56</v>
      </c>
      <c r="H57" s="1">
        <f>IFERROR(__xludf.DUMMYFUNCTION("""COMPUTED_VALUE"""),82.0)</f>
        <v>82</v>
      </c>
      <c r="I57" s="1">
        <f>IFERROR(__xludf.DUMMYFUNCTION("""COMPUTED_VALUE"""),81.0)</f>
        <v>81</v>
      </c>
      <c r="J57" s="1">
        <f>IFERROR(__xludf.DUMMYFUNCTION("""COMPUTED_VALUE"""),42.0)</f>
        <v>42</v>
      </c>
      <c r="K57" s="1">
        <f>IFERROR(__xludf.DUMMYFUNCTION("""COMPUTED_VALUE"""),51.0)</f>
        <v>51</v>
      </c>
      <c r="L57" s="1">
        <f>IFERROR(__xludf.DUMMYFUNCTION("""COMPUTED_VALUE"""),312.0)</f>
        <v>312</v>
      </c>
      <c r="M57" s="1">
        <f>IFERROR(__xludf.DUMMYFUNCTION("""COMPUTED_VALUE"""),62.4)</f>
        <v>62.4</v>
      </c>
      <c r="N57" s="1">
        <f>IFERROR(__xludf.DUMMYFUNCTION("""COMPUTED_VALUE"""),65.0)</f>
        <v>65</v>
      </c>
      <c r="O57" s="1" t="str">
        <f>IFERROR(__xludf.DUMMYFUNCTION("""COMPUTED_VALUE"""),"Pass")</f>
        <v>Pass</v>
      </c>
    </row>
    <row r="58" ht="15.75" customHeight="1">
      <c r="A58" s="1" t="str">
        <f>IFERROR(__xludf.DUMMYFUNCTION("""COMPUTED_VALUE"""),"STD-1150")</f>
        <v>STD-1150</v>
      </c>
      <c r="B58" s="1" t="str">
        <f>IFERROR(__xludf.DUMMYFUNCTION("""COMPUTED_VALUE"""),"Meera Kulkarni")</f>
        <v>Meera Kulkarni</v>
      </c>
      <c r="C58" s="1" t="str">
        <f>IFERROR(__xludf.DUMMYFUNCTION("""COMPUTED_VALUE"""),"Female")</f>
        <v>Female</v>
      </c>
      <c r="D58" s="1" t="str">
        <f>IFERROR(__xludf.DUMMYFUNCTION("""COMPUTED_VALUE"""),"9")</f>
        <v>9</v>
      </c>
      <c r="E58" s="1" t="str">
        <f>IFERROR(__xludf.DUMMYFUNCTION("""COMPUTED_VALUE"""),"A")</f>
        <v>A</v>
      </c>
      <c r="F58" s="1" t="str">
        <f>IFERROR(__xludf.DUMMYFUNCTION("""COMPUTED_VALUE"""),"Delhi")</f>
        <v>Delhi</v>
      </c>
      <c r="G58" s="1">
        <f>IFERROR(__xludf.DUMMYFUNCTION("""COMPUTED_VALUE"""),77.0)</f>
        <v>77</v>
      </c>
      <c r="H58" s="1">
        <f>IFERROR(__xludf.DUMMYFUNCTION("""COMPUTED_VALUE"""),83.0)</f>
        <v>83</v>
      </c>
      <c r="I58" s="1">
        <f>IFERROR(__xludf.DUMMYFUNCTION("""COMPUTED_VALUE"""),52.0)</f>
        <v>52</v>
      </c>
      <c r="J58" s="1">
        <f>IFERROR(__xludf.DUMMYFUNCTION("""COMPUTED_VALUE"""),98.0)</f>
        <v>98</v>
      </c>
      <c r="K58" s="1">
        <f>IFERROR(__xludf.DUMMYFUNCTION("""COMPUTED_VALUE"""),40.0)</f>
        <v>40</v>
      </c>
      <c r="L58" s="1">
        <f>IFERROR(__xludf.DUMMYFUNCTION("""COMPUTED_VALUE"""),350.0)</f>
        <v>350</v>
      </c>
      <c r="M58" s="1">
        <f>IFERROR(__xludf.DUMMYFUNCTION("""COMPUTED_VALUE"""),70.0)</f>
        <v>70</v>
      </c>
      <c r="N58" s="1">
        <f>IFERROR(__xludf.DUMMYFUNCTION("""COMPUTED_VALUE"""),73.0)</f>
        <v>73</v>
      </c>
      <c r="O58" s="1" t="str">
        <f>IFERROR(__xludf.DUMMYFUNCTION("""COMPUTED_VALUE"""),"Pass")</f>
        <v>Pass</v>
      </c>
    </row>
    <row r="59" ht="15.75" customHeight="1">
      <c r="A59" s="1" t="str">
        <f>IFERROR(__xludf.DUMMYFUNCTION("""COMPUTED_VALUE"""),"STD-1153")</f>
        <v>STD-1153</v>
      </c>
      <c r="B59" s="1" t="str">
        <f>IFERROR(__xludf.DUMMYFUNCTION("""COMPUTED_VALUE"""),"Neha Kaur")</f>
        <v>Neha Kaur</v>
      </c>
      <c r="C59" s="1" t="str">
        <f>IFERROR(__xludf.DUMMYFUNCTION("""COMPUTED_VALUE"""),"Female")</f>
        <v>Female</v>
      </c>
      <c r="D59" s="1" t="str">
        <f>IFERROR(__xludf.DUMMYFUNCTION("""COMPUTED_VALUE"""),"8")</f>
        <v>8</v>
      </c>
      <c r="E59" s="1" t="str">
        <f>IFERROR(__xludf.DUMMYFUNCTION("""COMPUTED_VALUE"""),"A")</f>
        <v>A</v>
      </c>
      <c r="F59" s="1" t="str">
        <f>IFERROR(__xludf.DUMMYFUNCTION("""COMPUTED_VALUE"""),"Kolkata")</f>
        <v>Kolkata</v>
      </c>
      <c r="G59" s="1">
        <f>IFERROR(__xludf.DUMMYFUNCTION("""COMPUTED_VALUE"""),92.0)</f>
        <v>92</v>
      </c>
      <c r="H59" s="1">
        <f>IFERROR(__xludf.DUMMYFUNCTION("""COMPUTED_VALUE"""),81.0)</f>
        <v>81</v>
      </c>
      <c r="I59" s="1">
        <f>IFERROR(__xludf.DUMMYFUNCTION("""COMPUTED_VALUE"""),54.0)</f>
        <v>54</v>
      </c>
      <c r="J59" s="1">
        <f>IFERROR(__xludf.DUMMYFUNCTION("""COMPUTED_VALUE"""),46.0)</f>
        <v>46</v>
      </c>
      <c r="K59" s="1">
        <f>IFERROR(__xludf.DUMMYFUNCTION("""COMPUTED_VALUE"""),62.0)</f>
        <v>62</v>
      </c>
      <c r="L59" s="1">
        <f>IFERROR(__xludf.DUMMYFUNCTION("""COMPUTED_VALUE"""),335.0)</f>
        <v>335</v>
      </c>
      <c r="M59" s="1">
        <f>IFERROR(__xludf.DUMMYFUNCTION("""COMPUTED_VALUE"""),67.0)</f>
        <v>67</v>
      </c>
      <c r="N59" s="1">
        <f>IFERROR(__xludf.DUMMYFUNCTION("""COMPUTED_VALUE"""),72.0)</f>
        <v>72</v>
      </c>
      <c r="O59" s="1" t="str">
        <f>IFERROR(__xludf.DUMMYFUNCTION("""COMPUTED_VALUE"""),"Pass")</f>
        <v>Pass</v>
      </c>
    </row>
    <row r="60" ht="15.75" customHeight="1">
      <c r="A60" s="1" t="str">
        <f>IFERROR(__xludf.DUMMYFUNCTION("""COMPUTED_VALUE"""),"STD-1155")</f>
        <v>STD-1155</v>
      </c>
      <c r="B60" s="1" t="str">
        <f>IFERROR(__xludf.DUMMYFUNCTION("""COMPUTED_VALUE"""),"Tanvi Verma")</f>
        <v>Tanvi Verma</v>
      </c>
      <c r="C60" s="1" t="str">
        <f>IFERROR(__xludf.DUMMYFUNCTION("""COMPUTED_VALUE"""),"Female")</f>
        <v>Female</v>
      </c>
      <c r="D60" s="1" t="str">
        <f>IFERROR(__xludf.DUMMYFUNCTION("""COMPUTED_VALUE"""),"10")</f>
        <v>10</v>
      </c>
      <c r="E60" s="1" t="str">
        <f>IFERROR(__xludf.DUMMYFUNCTION("""COMPUTED_VALUE"""),"C")</f>
        <v>C</v>
      </c>
      <c r="F60" s="1" t="str">
        <f>IFERROR(__xludf.DUMMYFUNCTION("""COMPUTED_VALUE"""),"Lucknow")</f>
        <v>Lucknow</v>
      </c>
      <c r="G60" s="1">
        <f>IFERROR(__xludf.DUMMYFUNCTION("""COMPUTED_VALUE"""),76.0)</f>
        <v>76</v>
      </c>
      <c r="H60" s="1">
        <f>IFERROR(__xludf.DUMMYFUNCTION("""COMPUTED_VALUE"""),57.0)</f>
        <v>57</v>
      </c>
      <c r="I60" s="1">
        <f>IFERROR(__xludf.DUMMYFUNCTION("""COMPUTED_VALUE"""),85.0)</f>
        <v>85</v>
      </c>
      <c r="J60" s="1">
        <f>IFERROR(__xludf.DUMMYFUNCTION("""COMPUTED_VALUE"""),46.0)</f>
        <v>46</v>
      </c>
      <c r="K60" s="1">
        <f>IFERROR(__xludf.DUMMYFUNCTION("""COMPUTED_VALUE"""),84.0)</f>
        <v>84</v>
      </c>
      <c r="L60" s="1">
        <f>IFERROR(__xludf.DUMMYFUNCTION("""COMPUTED_VALUE"""),348.0)</f>
        <v>348</v>
      </c>
      <c r="M60" s="1">
        <f>IFERROR(__xludf.DUMMYFUNCTION("""COMPUTED_VALUE"""),69.6)</f>
        <v>69.6</v>
      </c>
      <c r="N60" s="1">
        <f>IFERROR(__xludf.DUMMYFUNCTION("""COMPUTED_VALUE"""),60.0)</f>
        <v>60</v>
      </c>
      <c r="O60" s="1" t="str">
        <f>IFERROR(__xludf.DUMMYFUNCTION("""COMPUTED_VALUE"""),"Pass")</f>
        <v>Pass</v>
      </c>
    </row>
    <row r="61" ht="15.75" customHeight="1">
      <c r="A61" s="1" t="str">
        <f>IFERROR(__xludf.DUMMYFUNCTION("""COMPUTED_VALUE"""),"STD-1157")</f>
        <v>STD-1157</v>
      </c>
      <c r="B61" s="1" t="str">
        <f>IFERROR(__xludf.DUMMYFUNCTION("""COMPUTED_VALUE"""),"Aarav Iyer")</f>
        <v>Aarav Iyer</v>
      </c>
      <c r="C61" s="1" t="str">
        <f>IFERROR(__xludf.DUMMYFUNCTION("""COMPUTED_VALUE"""),"Female")</f>
        <v>Female</v>
      </c>
      <c r="D61" s="1" t="str">
        <f>IFERROR(__xludf.DUMMYFUNCTION("""COMPUTED_VALUE"""),"8")</f>
        <v>8</v>
      </c>
      <c r="E61" s="1" t="str">
        <f>IFERROR(__xludf.DUMMYFUNCTION("""COMPUTED_VALUE"""),"B")</f>
        <v>B</v>
      </c>
      <c r="F61" s="1" t="str">
        <f>IFERROR(__xludf.DUMMYFUNCTION("""COMPUTED_VALUE"""),"Chandigarh")</f>
        <v>Chandigarh</v>
      </c>
      <c r="G61" s="1">
        <f>IFERROR(__xludf.DUMMYFUNCTION("""COMPUTED_VALUE"""),50.0)</f>
        <v>50</v>
      </c>
      <c r="H61" s="1">
        <f>IFERROR(__xludf.DUMMYFUNCTION("""COMPUTED_VALUE"""),64.0)</f>
        <v>64</v>
      </c>
      <c r="I61" s="1">
        <f>IFERROR(__xludf.DUMMYFUNCTION("""COMPUTED_VALUE"""),59.0)</f>
        <v>59</v>
      </c>
      <c r="J61" s="1">
        <f>IFERROR(__xludf.DUMMYFUNCTION("""COMPUTED_VALUE"""),86.0)</f>
        <v>86</v>
      </c>
      <c r="K61" s="1">
        <f>IFERROR(__xludf.DUMMYFUNCTION("""COMPUTED_VALUE"""),52.0)</f>
        <v>52</v>
      </c>
      <c r="L61" s="1">
        <f>IFERROR(__xludf.DUMMYFUNCTION("""COMPUTED_VALUE"""),311.0)</f>
        <v>311</v>
      </c>
      <c r="M61" s="1">
        <f>IFERROR(__xludf.DUMMYFUNCTION("""COMPUTED_VALUE"""),62.2)</f>
        <v>62.2</v>
      </c>
      <c r="N61" s="1">
        <f>IFERROR(__xludf.DUMMYFUNCTION("""COMPUTED_VALUE"""),69.0)</f>
        <v>69</v>
      </c>
      <c r="O61" s="1" t="str">
        <f>IFERROR(__xludf.DUMMYFUNCTION("""COMPUTED_VALUE"""),"Pass")</f>
        <v>Pass</v>
      </c>
    </row>
    <row r="62" ht="15.75" customHeight="1">
      <c r="A62" s="1" t="str">
        <f>IFERROR(__xludf.DUMMYFUNCTION("""COMPUTED_VALUE"""),"STD-1162")</f>
        <v>STD-1162</v>
      </c>
      <c r="B62" s="1" t="str">
        <f>IFERROR(__xludf.DUMMYFUNCTION("""COMPUTED_VALUE"""),"Kavya Verma")</f>
        <v>Kavya Verma</v>
      </c>
      <c r="C62" s="1" t="str">
        <f>IFERROR(__xludf.DUMMYFUNCTION("""COMPUTED_VALUE"""),"Male")</f>
        <v>Male</v>
      </c>
      <c r="D62" s="1" t="str">
        <f>IFERROR(__xludf.DUMMYFUNCTION("""COMPUTED_VALUE"""),"10")</f>
        <v>10</v>
      </c>
      <c r="E62" s="1" t="str">
        <f>IFERROR(__xludf.DUMMYFUNCTION("""COMPUTED_VALUE"""),"C")</f>
        <v>C</v>
      </c>
      <c r="F62" s="1" t="str">
        <f>IFERROR(__xludf.DUMMYFUNCTION("""COMPUTED_VALUE"""),"Patna")</f>
        <v>Patna</v>
      </c>
      <c r="G62" s="1">
        <f>IFERROR(__xludf.DUMMYFUNCTION("""COMPUTED_VALUE"""),54.0)</f>
        <v>54</v>
      </c>
      <c r="H62" s="1">
        <f>IFERROR(__xludf.DUMMYFUNCTION("""COMPUTED_VALUE"""),52.0)</f>
        <v>52</v>
      </c>
      <c r="I62" s="1">
        <f>IFERROR(__xludf.DUMMYFUNCTION("""COMPUTED_VALUE"""),70.0)</f>
        <v>70</v>
      </c>
      <c r="J62" s="1">
        <f>IFERROR(__xludf.DUMMYFUNCTION("""COMPUTED_VALUE"""),72.0)</f>
        <v>72</v>
      </c>
      <c r="K62" s="1">
        <f>IFERROR(__xludf.DUMMYFUNCTION("""COMPUTED_VALUE"""),92.0)</f>
        <v>92</v>
      </c>
      <c r="L62" s="1">
        <f>IFERROR(__xludf.DUMMYFUNCTION("""COMPUTED_VALUE"""),340.0)</f>
        <v>340</v>
      </c>
      <c r="M62" s="1">
        <f>IFERROR(__xludf.DUMMYFUNCTION("""COMPUTED_VALUE"""),68.0)</f>
        <v>68</v>
      </c>
      <c r="N62" s="1">
        <f>IFERROR(__xludf.DUMMYFUNCTION("""COMPUTED_VALUE"""),73.0)</f>
        <v>73</v>
      </c>
      <c r="O62" s="1" t="str">
        <f>IFERROR(__xludf.DUMMYFUNCTION("""COMPUTED_VALUE"""),"Pass")</f>
        <v>Pass</v>
      </c>
    </row>
    <row r="63" ht="15.75" customHeight="1">
      <c r="A63" s="1" t="str">
        <f>IFERROR(__xludf.DUMMYFUNCTION("""COMPUTED_VALUE"""),"STD-1163")</f>
        <v>STD-1163</v>
      </c>
      <c r="B63" s="1" t="str">
        <f>IFERROR(__xludf.DUMMYFUNCTION("""COMPUTED_VALUE"""),"Kavya Jain")</f>
        <v>Kavya Jain</v>
      </c>
      <c r="C63" s="1" t="str">
        <f>IFERROR(__xludf.DUMMYFUNCTION("""COMPUTED_VALUE"""),"Male")</f>
        <v>Male</v>
      </c>
      <c r="D63" s="1" t="str">
        <f>IFERROR(__xludf.DUMMYFUNCTION("""COMPUTED_VALUE"""),"8")</f>
        <v>8</v>
      </c>
      <c r="E63" s="1" t="str">
        <f>IFERROR(__xludf.DUMMYFUNCTION("""COMPUTED_VALUE"""),"B")</f>
        <v>B</v>
      </c>
      <c r="F63" s="1" t="str">
        <f>IFERROR(__xludf.DUMMYFUNCTION("""COMPUTED_VALUE"""),"Mumbai")</f>
        <v>Mumbai</v>
      </c>
      <c r="G63" s="1">
        <f>IFERROR(__xludf.DUMMYFUNCTION("""COMPUTED_VALUE"""),77.0)</f>
        <v>77</v>
      </c>
      <c r="H63" s="1">
        <f>IFERROR(__xludf.DUMMYFUNCTION("""COMPUTED_VALUE"""),70.0)</f>
        <v>70</v>
      </c>
      <c r="I63" s="1">
        <f>IFERROR(__xludf.DUMMYFUNCTION("""COMPUTED_VALUE"""),51.0)</f>
        <v>51</v>
      </c>
      <c r="J63" s="1">
        <f>IFERROR(__xludf.DUMMYFUNCTION("""COMPUTED_VALUE"""),90.0)</f>
        <v>90</v>
      </c>
      <c r="K63" s="1">
        <f>IFERROR(__xludf.DUMMYFUNCTION("""COMPUTED_VALUE"""),61.0)</f>
        <v>61</v>
      </c>
      <c r="L63" s="1">
        <f>IFERROR(__xludf.DUMMYFUNCTION("""COMPUTED_VALUE"""),349.0)</f>
        <v>349</v>
      </c>
      <c r="M63" s="1">
        <f>IFERROR(__xludf.DUMMYFUNCTION("""COMPUTED_VALUE"""),69.8)</f>
        <v>69.8</v>
      </c>
      <c r="N63" s="1">
        <f>IFERROR(__xludf.DUMMYFUNCTION("""COMPUTED_VALUE"""),63.0)</f>
        <v>63</v>
      </c>
      <c r="O63" s="1" t="str">
        <f>IFERROR(__xludf.DUMMYFUNCTION("""COMPUTED_VALUE"""),"Pass")</f>
        <v>Pass</v>
      </c>
    </row>
    <row r="64" ht="15.75" customHeight="1">
      <c r="A64" s="1" t="str">
        <f>IFERROR(__xludf.DUMMYFUNCTION("""COMPUTED_VALUE"""),"STD-1166")</f>
        <v>STD-1166</v>
      </c>
      <c r="B64" s="1" t="str">
        <f>IFERROR(__xludf.DUMMYFUNCTION("""COMPUTED_VALUE"""),"Priya Iyer")</f>
        <v>Priya Iyer</v>
      </c>
      <c r="C64" s="1" t="str">
        <f>IFERROR(__xludf.DUMMYFUNCTION("""COMPUTED_VALUE"""),"Male")</f>
        <v>Male</v>
      </c>
      <c r="D64" s="1" t="str">
        <f>IFERROR(__xludf.DUMMYFUNCTION("""COMPUTED_VALUE"""),"10")</f>
        <v>10</v>
      </c>
      <c r="E64" s="1" t="str">
        <f>IFERROR(__xludf.DUMMYFUNCTION("""COMPUTED_VALUE"""),"B")</f>
        <v>B</v>
      </c>
      <c r="F64" s="1" t="str">
        <f>IFERROR(__xludf.DUMMYFUNCTION("""COMPUTED_VALUE"""),"Patna")</f>
        <v>Patna</v>
      </c>
      <c r="G64" s="1">
        <f>IFERROR(__xludf.DUMMYFUNCTION("""COMPUTED_VALUE"""),41.0)</f>
        <v>41</v>
      </c>
      <c r="H64" s="1">
        <f>IFERROR(__xludf.DUMMYFUNCTION("""COMPUTED_VALUE"""),91.0)</f>
        <v>91</v>
      </c>
      <c r="I64" s="1">
        <f>IFERROR(__xludf.DUMMYFUNCTION("""COMPUTED_VALUE"""),89.0)</f>
        <v>89</v>
      </c>
      <c r="J64" s="1">
        <f>IFERROR(__xludf.DUMMYFUNCTION("""COMPUTED_VALUE"""),80.0)</f>
        <v>80</v>
      </c>
      <c r="K64" s="1">
        <f>IFERROR(__xludf.DUMMYFUNCTION("""COMPUTED_VALUE"""),57.0)</f>
        <v>57</v>
      </c>
      <c r="L64" s="1">
        <f>IFERROR(__xludf.DUMMYFUNCTION("""COMPUTED_VALUE"""),358.0)</f>
        <v>358</v>
      </c>
      <c r="M64" s="1">
        <f>IFERROR(__xludf.DUMMYFUNCTION("""COMPUTED_VALUE"""),71.6)</f>
        <v>71.6</v>
      </c>
      <c r="N64" s="1">
        <f>IFERROR(__xludf.DUMMYFUNCTION("""COMPUTED_VALUE"""),64.0)</f>
        <v>64</v>
      </c>
      <c r="O64" s="1" t="str">
        <f>IFERROR(__xludf.DUMMYFUNCTION("""COMPUTED_VALUE"""),"Pass")</f>
        <v>Pass</v>
      </c>
    </row>
    <row r="65" ht="15.75" customHeight="1">
      <c r="A65" s="1" t="str">
        <f>IFERROR(__xludf.DUMMYFUNCTION("""COMPUTED_VALUE"""),"STD-1167")</f>
        <v>STD-1167</v>
      </c>
      <c r="B65" s="1" t="str">
        <f>IFERROR(__xludf.DUMMYFUNCTION("""COMPUTED_VALUE"""),"Meera Singh")</f>
        <v>Meera Singh</v>
      </c>
      <c r="C65" s="1" t="str">
        <f>IFERROR(__xludf.DUMMYFUNCTION("""COMPUTED_VALUE"""),"Male")</f>
        <v>Male</v>
      </c>
      <c r="D65" s="1" t="str">
        <f>IFERROR(__xludf.DUMMYFUNCTION("""COMPUTED_VALUE"""),"9")</f>
        <v>9</v>
      </c>
      <c r="E65" s="1" t="str">
        <f>IFERROR(__xludf.DUMMYFUNCTION("""COMPUTED_VALUE"""),"B")</f>
        <v>B</v>
      </c>
      <c r="F65" s="1" t="str">
        <f>IFERROR(__xludf.DUMMYFUNCTION("""COMPUTED_VALUE"""),"Mumbai")</f>
        <v>Mumbai</v>
      </c>
      <c r="G65" s="1">
        <f>IFERROR(__xludf.DUMMYFUNCTION("""COMPUTED_VALUE"""),47.0)</f>
        <v>47</v>
      </c>
      <c r="H65" s="1">
        <f>IFERROR(__xludf.DUMMYFUNCTION("""COMPUTED_VALUE"""),61.0)</f>
        <v>61</v>
      </c>
      <c r="I65" s="1">
        <f>IFERROR(__xludf.DUMMYFUNCTION("""COMPUTED_VALUE"""),44.0)</f>
        <v>44</v>
      </c>
      <c r="J65" s="1">
        <f>IFERROR(__xludf.DUMMYFUNCTION("""COMPUTED_VALUE"""),93.0)</f>
        <v>93</v>
      </c>
      <c r="K65" s="1">
        <f>IFERROR(__xludf.DUMMYFUNCTION("""COMPUTED_VALUE"""),41.0)</f>
        <v>41</v>
      </c>
      <c r="L65" s="1">
        <f>IFERROR(__xludf.DUMMYFUNCTION("""COMPUTED_VALUE"""),286.0)</f>
        <v>286</v>
      </c>
      <c r="M65" s="1">
        <f>IFERROR(__xludf.DUMMYFUNCTION("""COMPUTED_VALUE"""),57.2)</f>
        <v>57.2</v>
      </c>
      <c r="N65" s="1">
        <f>IFERROR(__xludf.DUMMYFUNCTION("""COMPUTED_VALUE"""),63.0)</f>
        <v>63</v>
      </c>
      <c r="O65" s="1" t="str">
        <f>IFERROR(__xludf.DUMMYFUNCTION("""COMPUTED_VALUE"""),"Pass")</f>
        <v>Pass</v>
      </c>
    </row>
    <row r="66" ht="15.75" customHeight="1">
      <c r="A66" s="1" t="str">
        <f>IFERROR(__xludf.DUMMYFUNCTION("""COMPUTED_VALUE"""),"STD-1173")</f>
        <v>STD-1173</v>
      </c>
      <c r="B66" s="1" t="str">
        <f>IFERROR(__xludf.DUMMYFUNCTION("""COMPUTED_VALUE"""),"Aditya Sharma")</f>
        <v>Aditya Sharma</v>
      </c>
      <c r="C66" s="1" t="str">
        <f>IFERROR(__xludf.DUMMYFUNCTION("""COMPUTED_VALUE"""),"Male")</f>
        <v>Male</v>
      </c>
      <c r="D66" s="1" t="str">
        <f>IFERROR(__xludf.DUMMYFUNCTION("""COMPUTED_VALUE"""),"10")</f>
        <v>10</v>
      </c>
      <c r="E66" s="1" t="str">
        <f>IFERROR(__xludf.DUMMYFUNCTION("""COMPUTED_VALUE"""),"A")</f>
        <v>A</v>
      </c>
      <c r="F66" s="1" t="str">
        <f>IFERROR(__xludf.DUMMYFUNCTION("""COMPUTED_VALUE"""),"Chandigarh")</f>
        <v>Chandigarh</v>
      </c>
      <c r="G66" s="1">
        <f>IFERROR(__xludf.DUMMYFUNCTION("""COMPUTED_VALUE"""),67.0)</f>
        <v>67</v>
      </c>
      <c r="H66" s="1">
        <f>IFERROR(__xludf.DUMMYFUNCTION("""COMPUTED_VALUE"""),51.0)</f>
        <v>51</v>
      </c>
      <c r="I66" s="1">
        <f>IFERROR(__xludf.DUMMYFUNCTION("""COMPUTED_VALUE"""),77.0)</f>
        <v>77</v>
      </c>
      <c r="J66" s="1">
        <f>IFERROR(__xludf.DUMMYFUNCTION("""COMPUTED_VALUE"""),75.0)</f>
        <v>75</v>
      </c>
      <c r="K66" s="1">
        <f>IFERROR(__xludf.DUMMYFUNCTION("""COMPUTED_VALUE"""),51.0)</f>
        <v>51</v>
      </c>
      <c r="L66" s="1">
        <f>IFERROR(__xludf.DUMMYFUNCTION("""COMPUTED_VALUE"""),321.0)</f>
        <v>321</v>
      </c>
      <c r="M66" s="1">
        <f>IFERROR(__xludf.DUMMYFUNCTION("""COMPUTED_VALUE"""),64.2)</f>
        <v>64.2</v>
      </c>
      <c r="N66" s="1">
        <f>IFERROR(__xludf.DUMMYFUNCTION("""COMPUTED_VALUE"""),61.0)</f>
        <v>61</v>
      </c>
      <c r="O66" s="1" t="str">
        <f>IFERROR(__xludf.DUMMYFUNCTION("""COMPUTED_VALUE"""),"Pass")</f>
        <v>Pass</v>
      </c>
    </row>
    <row r="67" ht="15.75" customHeight="1">
      <c r="A67" s="1" t="str">
        <f>IFERROR(__xludf.DUMMYFUNCTION("""COMPUTED_VALUE"""),"STD-1175")</f>
        <v>STD-1175</v>
      </c>
      <c r="B67" s="1" t="str">
        <f>IFERROR(__xludf.DUMMYFUNCTION("""COMPUTED_VALUE"""),"Rahul Sharma")</f>
        <v>Rahul Sharma</v>
      </c>
      <c r="C67" s="1" t="str">
        <f>IFERROR(__xludf.DUMMYFUNCTION("""COMPUTED_VALUE"""),"Female")</f>
        <v>Female</v>
      </c>
      <c r="D67" s="1" t="str">
        <f>IFERROR(__xludf.DUMMYFUNCTION("""COMPUTED_VALUE"""),"10")</f>
        <v>10</v>
      </c>
      <c r="E67" s="1" t="str">
        <f>IFERROR(__xludf.DUMMYFUNCTION("""COMPUTED_VALUE"""),"C")</f>
        <v>C</v>
      </c>
      <c r="F67" s="1" t="str">
        <f>IFERROR(__xludf.DUMMYFUNCTION("""COMPUTED_VALUE"""),"Lucknow")</f>
        <v>Lucknow</v>
      </c>
      <c r="G67" s="1">
        <f>IFERROR(__xludf.DUMMYFUNCTION("""COMPUTED_VALUE"""),88.0)</f>
        <v>88</v>
      </c>
      <c r="H67" s="1">
        <f>IFERROR(__xludf.DUMMYFUNCTION("""COMPUTED_VALUE"""),77.0)</f>
        <v>77</v>
      </c>
      <c r="I67" s="1">
        <f>IFERROR(__xludf.DUMMYFUNCTION("""COMPUTED_VALUE"""),88.0)</f>
        <v>88</v>
      </c>
      <c r="J67" s="1">
        <f>IFERROR(__xludf.DUMMYFUNCTION("""COMPUTED_VALUE"""),46.0)</f>
        <v>46</v>
      </c>
      <c r="K67" s="1">
        <f>IFERROR(__xludf.DUMMYFUNCTION("""COMPUTED_VALUE"""),53.0)</f>
        <v>53</v>
      </c>
      <c r="L67" s="1">
        <f>IFERROR(__xludf.DUMMYFUNCTION("""COMPUTED_VALUE"""),352.0)</f>
        <v>352</v>
      </c>
      <c r="M67" s="1">
        <f>IFERROR(__xludf.DUMMYFUNCTION("""COMPUTED_VALUE"""),70.4)</f>
        <v>70.4</v>
      </c>
      <c r="N67" s="1">
        <f>IFERROR(__xludf.DUMMYFUNCTION("""COMPUTED_VALUE"""),68.0)</f>
        <v>68</v>
      </c>
      <c r="O67" s="1" t="str">
        <f>IFERROR(__xludf.DUMMYFUNCTION("""COMPUTED_VALUE"""),"Pass")</f>
        <v>Pass</v>
      </c>
    </row>
    <row r="68" ht="15.75" customHeight="1">
      <c r="A68" s="1" t="str">
        <f>IFERROR(__xludf.DUMMYFUNCTION("""COMPUTED_VALUE"""),"STD-1177")</f>
        <v>STD-1177</v>
      </c>
      <c r="B68" s="1" t="str">
        <f>IFERROR(__xludf.DUMMYFUNCTION("""COMPUTED_VALUE"""),"Meera Jain")</f>
        <v>Meera Jain</v>
      </c>
      <c r="C68" s="1" t="str">
        <f>IFERROR(__xludf.DUMMYFUNCTION("""COMPUTED_VALUE"""),"Female")</f>
        <v>Female</v>
      </c>
      <c r="D68" s="1" t="str">
        <f>IFERROR(__xludf.DUMMYFUNCTION("""COMPUTED_VALUE"""),"6")</f>
        <v>6</v>
      </c>
      <c r="E68" s="1" t="str">
        <f>IFERROR(__xludf.DUMMYFUNCTION("""COMPUTED_VALUE"""),"C")</f>
        <v>C</v>
      </c>
      <c r="F68" s="1" t="str">
        <f>IFERROR(__xludf.DUMMYFUNCTION("""COMPUTED_VALUE"""),"Mumbai")</f>
        <v>Mumbai</v>
      </c>
      <c r="G68" s="1">
        <f>IFERROR(__xludf.DUMMYFUNCTION("""COMPUTED_VALUE"""),59.0)</f>
        <v>59</v>
      </c>
      <c r="H68" s="1">
        <f>IFERROR(__xludf.DUMMYFUNCTION("""COMPUTED_VALUE"""),91.0)</f>
        <v>91</v>
      </c>
      <c r="I68" s="1">
        <f>IFERROR(__xludf.DUMMYFUNCTION("""COMPUTED_VALUE"""),63.0)</f>
        <v>63</v>
      </c>
      <c r="J68" s="1">
        <f>IFERROR(__xludf.DUMMYFUNCTION("""COMPUTED_VALUE"""),76.0)</f>
        <v>76</v>
      </c>
      <c r="K68" s="1">
        <f>IFERROR(__xludf.DUMMYFUNCTION("""COMPUTED_VALUE"""),100.0)</f>
        <v>100</v>
      </c>
      <c r="L68" s="1">
        <f>IFERROR(__xludf.DUMMYFUNCTION("""COMPUTED_VALUE"""),389.0)</f>
        <v>389</v>
      </c>
      <c r="M68" s="1">
        <f>IFERROR(__xludf.DUMMYFUNCTION("""COMPUTED_VALUE"""),77.8)</f>
        <v>77.8</v>
      </c>
      <c r="N68" s="1">
        <f>IFERROR(__xludf.DUMMYFUNCTION("""COMPUTED_VALUE"""),65.0)</f>
        <v>65</v>
      </c>
      <c r="O68" s="1" t="str">
        <f>IFERROR(__xludf.DUMMYFUNCTION("""COMPUTED_VALUE"""),"Pass")</f>
        <v>Pass</v>
      </c>
    </row>
    <row r="69" ht="15.75" customHeight="1">
      <c r="A69" s="1" t="str">
        <f>IFERROR(__xludf.DUMMYFUNCTION("""COMPUTED_VALUE"""),"STD-1179")</f>
        <v>STD-1179</v>
      </c>
      <c r="B69" s="1" t="str">
        <f>IFERROR(__xludf.DUMMYFUNCTION("""COMPUTED_VALUE"""),"Ishita Sharma")</f>
        <v>Ishita Sharma</v>
      </c>
      <c r="C69" s="1" t="str">
        <f>IFERROR(__xludf.DUMMYFUNCTION("""COMPUTED_VALUE"""),"Female")</f>
        <v>Female</v>
      </c>
      <c r="D69" s="1" t="str">
        <f>IFERROR(__xludf.DUMMYFUNCTION("""COMPUTED_VALUE"""),"7")</f>
        <v>7</v>
      </c>
      <c r="E69" s="1" t="str">
        <f>IFERROR(__xludf.DUMMYFUNCTION("""COMPUTED_VALUE"""),"A")</f>
        <v>A</v>
      </c>
      <c r="F69" s="1" t="str">
        <f>IFERROR(__xludf.DUMMYFUNCTION("""COMPUTED_VALUE"""),"Lucknow")</f>
        <v>Lucknow</v>
      </c>
      <c r="G69" s="1">
        <f>IFERROR(__xludf.DUMMYFUNCTION("""COMPUTED_VALUE"""),86.0)</f>
        <v>86</v>
      </c>
      <c r="H69" s="1">
        <f>IFERROR(__xludf.DUMMYFUNCTION("""COMPUTED_VALUE"""),64.0)</f>
        <v>64</v>
      </c>
      <c r="I69" s="1">
        <f>IFERROR(__xludf.DUMMYFUNCTION("""COMPUTED_VALUE"""),82.0)</f>
        <v>82</v>
      </c>
      <c r="J69" s="1">
        <f>IFERROR(__xludf.DUMMYFUNCTION("""COMPUTED_VALUE"""),45.0)</f>
        <v>45</v>
      </c>
      <c r="K69" s="1">
        <f>IFERROR(__xludf.DUMMYFUNCTION("""COMPUTED_VALUE"""),57.0)</f>
        <v>57</v>
      </c>
      <c r="L69" s="1">
        <f>IFERROR(__xludf.DUMMYFUNCTION("""COMPUTED_VALUE"""),334.0)</f>
        <v>334</v>
      </c>
      <c r="M69" s="1">
        <f>IFERROR(__xludf.DUMMYFUNCTION("""COMPUTED_VALUE"""),66.8)</f>
        <v>66.8</v>
      </c>
      <c r="N69" s="1">
        <f>IFERROR(__xludf.DUMMYFUNCTION("""COMPUTED_VALUE"""),65.0)</f>
        <v>65</v>
      </c>
      <c r="O69" s="1" t="str">
        <f>IFERROR(__xludf.DUMMYFUNCTION("""COMPUTED_VALUE"""),"Pass")</f>
        <v>Pass</v>
      </c>
    </row>
    <row r="70" ht="15.75" customHeight="1">
      <c r="A70" s="1" t="str">
        <f>IFERROR(__xludf.DUMMYFUNCTION("""COMPUTED_VALUE"""),"STD-1185")</f>
        <v>STD-1185</v>
      </c>
      <c r="B70" s="1" t="str">
        <f>IFERROR(__xludf.DUMMYFUNCTION("""COMPUTED_VALUE"""),"Vivaan Kaur")</f>
        <v>Vivaan Kaur</v>
      </c>
      <c r="C70" s="1" t="str">
        <f>IFERROR(__xludf.DUMMYFUNCTION("""COMPUTED_VALUE"""),"Female")</f>
        <v>Female</v>
      </c>
      <c r="D70" s="1" t="str">
        <f>IFERROR(__xludf.DUMMYFUNCTION("""COMPUTED_VALUE"""),"6")</f>
        <v>6</v>
      </c>
      <c r="E70" s="1" t="str">
        <f>IFERROR(__xludf.DUMMYFUNCTION("""COMPUTED_VALUE"""),"A")</f>
        <v>A</v>
      </c>
      <c r="F70" s="1" t="str">
        <f>IFERROR(__xludf.DUMMYFUNCTION("""COMPUTED_VALUE"""),"Bhopal")</f>
        <v>Bhopal</v>
      </c>
      <c r="G70" s="1">
        <f>IFERROR(__xludf.DUMMYFUNCTION("""COMPUTED_VALUE"""),73.0)</f>
        <v>73</v>
      </c>
      <c r="H70" s="1">
        <f>IFERROR(__xludf.DUMMYFUNCTION("""COMPUTED_VALUE"""),53.0)</f>
        <v>53</v>
      </c>
      <c r="I70" s="1">
        <f>IFERROR(__xludf.DUMMYFUNCTION("""COMPUTED_VALUE"""),73.0)</f>
        <v>73</v>
      </c>
      <c r="J70" s="1">
        <f>IFERROR(__xludf.DUMMYFUNCTION("""COMPUTED_VALUE"""),77.0)</f>
        <v>77</v>
      </c>
      <c r="K70" s="1">
        <f>IFERROR(__xludf.DUMMYFUNCTION("""COMPUTED_VALUE"""),83.0)</f>
        <v>83</v>
      </c>
      <c r="L70" s="1">
        <f>IFERROR(__xludf.DUMMYFUNCTION("""COMPUTED_VALUE"""),359.0)</f>
        <v>359</v>
      </c>
      <c r="M70" s="1">
        <f>IFERROR(__xludf.DUMMYFUNCTION("""COMPUTED_VALUE"""),71.8)</f>
        <v>71.8</v>
      </c>
      <c r="N70" s="1">
        <f>IFERROR(__xludf.DUMMYFUNCTION("""COMPUTED_VALUE"""),67.0)</f>
        <v>67</v>
      </c>
      <c r="O70" s="1" t="str">
        <f>IFERROR(__xludf.DUMMYFUNCTION("""COMPUTED_VALUE"""),"Pass")</f>
        <v>Pass</v>
      </c>
    </row>
    <row r="71" ht="15.75" customHeight="1">
      <c r="A71" s="1" t="str">
        <f>IFERROR(__xludf.DUMMYFUNCTION("""COMPUTED_VALUE"""),"STD-1186")</f>
        <v>STD-1186</v>
      </c>
      <c r="B71" s="1" t="str">
        <f>IFERROR(__xludf.DUMMYFUNCTION("""COMPUTED_VALUE"""),"Tanvi Nair")</f>
        <v>Tanvi Nair</v>
      </c>
      <c r="C71" s="1" t="str">
        <f>IFERROR(__xludf.DUMMYFUNCTION("""COMPUTED_VALUE"""),"Female")</f>
        <v>Female</v>
      </c>
      <c r="D71" s="1" t="str">
        <f>IFERROR(__xludf.DUMMYFUNCTION("""COMPUTED_VALUE"""),"7")</f>
        <v>7</v>
      </c>
      <c r="E71" s="1" t="str">
        <f>IFERROR(__xludf.DUMMYFUNCTION("""COMPUTED_VALUE"""),"A")</f>
        <v>A</v>
      </c>
      <c r="F71" s="1" t="str">
        <f>IFERROR(__xludf.DUMMYFUNCTION("""COMPUTED_VALUE"""),"Patna")</f>
        <v>Patna</v>
      </c>
      <c r="G71" s="1">
        <f>IFERROR(__xludf.DUMMYFUNCTION("""COMPUTED_VALUE"""),43.0)</f>
        <v>43</v>
      </c>
      <c r="H71" s="1">
        <f>IFERROR(__xludf.DUMMYFUNCTION("""COMPUTED_VALUE"""),83.0)</f>
        <v>83</v>
      </c>
      <c r="I71" s="1">
        <f>IFERROR(__xludf.DUMMYFUNCTION("""COMPUTED_VALUE"""),62.0)</f>
        <v>62</v>
      </c>
      <c r="J71" s="1">
        <f>IFERROR(__xludf.DUMMYFUNCTION("""COMPUTED_VALUE"""),76.0)</f>
        <v>76</v>
      </c>
      <c r="K71" s="1">
        <f>IFERROR(__xludf.DUMMYFUNCTION("""COMPUTED_VALUE"""),65.0)</f>
        <v>65</v>
      </c>
      <c r="L71" s="1">
        <f>IFERROR(__xludf.DUMMYFUNCTION("""COMPUTED_VALUE"""),329.0)</f>
        <v>329</v>
      </c>
      <c r="M71" s="1">
        <f>IFERROR(__xludf.DUMMYFUNCTION("""COMPUTED_VALUE"""),65.8)</f>
        <v>65.8</v>
      </c>
      <c r="N71" s="1">
        <f>IFERROR(__xludf.DUMMYFUNCTION("""COMPUTED_VALUE"""),72.0)</f>
        <v>72</v>
      </c>
      <c r="O71" s="1" t="str">
        <f>IFERROR(__xludf.DUMMYFUNCTION("""COMPUTED_VALUE"""),"Pass")</f>
        <v>Pass</v>
      </c>
    </row>
    <row r="72" ht="15.75" customHeight="1">
      <c r="A72" s="1" t="str">
        <f>IFERROR(__xludf.DUMMYFUNCTION("""COMPUTED_VALUE"""),"STD-1187")</f>
        <v>STD-1187</v>
      </c>
      <c r="B72" s="1" t="str">
        <f>IFERROR(__xludf.DUMMYFUNCTION("""COMPUTED_VALUE"""),"Ritika Gupta")</f>
        <v>Ritika Gupta</v>
      </c>
      <c r="C72" s="1" t="str">
        <f>IFERROR(__xludf.DUMMYFUNCTION("""COMPUTED_VALUE"""),"Male")</f>
        <v>Male</v>
      </c>
      <c r="D72" s="1" t="str">
        <f>IFERROR(__xludf.DUMMYFUNCTION("""COMPUTED_VALUE"""),"10")</f>
        <v>10</v>
      </c>
      <c r="E72" s="1" t="str">
        <f>IFERROR(__xludf.DUMMYFUNCTION("""COMPUTED_VALUE"""),"C")</f>
        <v>C</v>
      </c>
      <c r="F72" s="1" t="str">
        <f>IFERROR(__xludf.DUMMYFUNCTION("""COMPUTED_VALUE"""),"Mumbai")</f>
        <v>Mumbai</v>
      </c>
      <c r="G72" s="1">
        <f>IFERROR(__xludf.DUMMYFUNCTION("""COMPUTED_VALUE"""),44.0)</f>
        <v>44</v>
      </c>
      <c r="H72" s="1">
        <f>IFERROR(__xludf.DUMMYFUNCTION("""COMPUTED_VALUE"""),78.0)</f>
        <v>78</v>
      </c>
      <c r="I72" s="1">
        <f>IFERROR(__xludf.DUMMYFUNCTION("""COMPUTED_VALUE"""),90.0)</f>
        <v>90</v>
      </c>
      <c r="J72" s="1">
        <f>IFERROR(__xludf.DUMMYFUNCTION("""COMPUTED_VALUE"""),52.0)</f>
        <v>52</v>
      </c>
      <c r="K72" s="1">
        <f>IFERROR(__xludf.DUMMYFUNCTION("""COMPUTED_VALUE"""),90.0)</f>
        <v>90</v>
      </c>
      <c r="L72" s="1">
        <f>IFERROR(__xludf.DUMMYFUNCTION("""COMPUTED_VALUE"""),354.0)</f>
        <v>354</v>
      </c>
      <c r="M72" s="1">
        <f>IFERROR(__xludf.DUMMYFUNCTION("""COMPUTED_VALUE"""),70.8)</f>
        <v>70.8</v>
      </c>
      <c r="N72" s="1">
        <f>IFERROR(__xludf.DUMMYFUNCTION("""COMPUTED_VALUE"""),65.0)</f>
        <v>65</v>
      </c>
      <c r="O72" s="1" t="str">
        <f>IFERROR(__xludf.DUMMYFUNCTION("""COMPUTED_VALUE"""),"Pass")</f>
        <v>Pass</v>
      </c>
    </row>
    <row r="73" ht="15.75" customHeight="1">
      <c r="A73" s="1" t="str">
        <f>IFERROR(__xludf.DUMMYFUNCTION("""COMPUTED_VALUE"""),"STD-1188")</f>
        <v>STD-1188</v>
      </c>
      <c r="B73" s="1" t="str">
        <f>IFERROR(__xludf.DUMMYFUNCTION("""COMPUTED_VALUE"""),"Ishita Banerjee")</f>
        <v>Ishita Banerjee</v>
      </c>
      <c r="C73" s="1" t="str">
        <f>IFERROR(__xludf.DUMMYFUNCTION("""COMPUTED_VALUE"""),"Female")</f>
        <v>Female</v>
      </c>
      <c r="D73" s="1" t="str">
        <f>IFERROR(__xludf.DUMMYFUNCTION("""COMPUTED_VALUE"""),"7")</f>
        <v>7</v>
      </c>
      <c r="E73" s="1" t="str">
        <f>IFERROR(__xludf.DUMMYFUNCTION("""COMPUTED_VALUE"""),"C")</f>
        <v>C</v>
      </c>
      <c r="F73" s="1" t="str">
        <f>IFERROR(__xludf.DUMMYFUNCTION("""COMPUTED_VALUE"""),"Lucknow")</f>
        <v>Lucknow</v>
      </c>
      <c r="G73" s="1">
        <f>IFERROR(__xludf.DUMMYFUNCTION("""COMPUTED_VALUE"""),80.0)</f>
        <v>80</v>
      </c>
      <c r="H73" s="1">
        <f>IFERROR(__xludf.DUMMYFUNCTION("""COMPUTED_VALUE"""),70.0)</f>
        <v>70</v>
      </c>
      <c r="I73" s="1">
        <f>IFERROR(__xludf.DUMMYFUNCTION("""COMPUTED_VALUE"""),50.0)</f>
        <v>50</v>
      </c>
      <c r="J73" s="1">
        <f>IFERROR(__xludf.DUMMYFUNCTION("""COMPUTED_VALUE"""),67.0)</f>
        <v>67</v>
      </c>
      <c r="K73" s="1">
        <f>IFERROR(__xludf.DUMMYFUNCTION("""COMPUTED_VALUE"""),91.0)</f>
        <v>91</v>
      </c>
      <c r="L73" s="1">
        <f>IFERROR(__xludf.DUMMYFUNCTION("""COMPUTED_VALUE"""),358.0)</f>
        <v>358</v>
      </c>
      <c r="M73" s="1">
        <f>IFERROR(__xludf.DUMMYFUNCTION("""COMPUTED_VALUE"""),71.6)</f>
        <v>71.6</v>
      </c>
      <c r="N73" s="1">
        <f>IFERROR(__xludf.DUMMYFUNCTION("""COMPUTED_VALUE"""),71.0)</f>
        <v>71</v>
      </c>
      <c r="O73" s="1" t="str">
        <f>IFERROR(__xludf.DUMMYFUNCTION("""COMPUTED_VALUE"""),"Pass")</f>
        <v>Pass</v>
      </c>
    </row>
    <row r="74" ht="15.75" customHeight="1">
      <c r="A74" s="1" t="str">
        <f>IFERROR(__xludf.DUMMYFUNCTION("""COMPUTED_VALUE"""),"STD-1189")</f>
        <v>STD-1189</v>
      </c>
      <c r="B74" s="1" t="str">
        <f>IFERROR(__xludf.DUMMYFUNCTION("""COMPUTED_VALUE"""),"Kavya Patel")</f>
        <v>Kavya Patel</v>
      </c>
      <c r="C74" s="1" t="str">
        <f>IFERROR(__xludf.DUMMYFUNCTION("""COMPUTED_VALUE"""),"Female")</f>
        <v>Female</v>
      </c>
      <c r="D74" s="1" t="str">
        <f>IFERROR(__xludf.DUMMYFUNCTION("""COMPUTED_VALUE"""),"10")</f>
        <v>10</v>
      </c>
      <c r="E74" s="1" t="str">
        <f>IFERROR(__xludf.DUMMYFUNCTION("""COMPUTED_VALUE"""),"A")</f>
        <v>A</v>
      </c>
      <c r="F74" s="1" t="str">
        <f>IFERROR(__xludf.DUMMYFUNCTION("""COMPUTED_VALUE"""),"Kolkata")</f>
        <v>Kolkata</v>
      </c>
      <c r="G74" s="1">
        <f>IFERROR(__xludf.DUMMYFUNCTION("""COMPUTED_VALUE"""),63.0)</f>
        <v>63</v>
      </c>
      <c r="H74" s="1">
        <f>IFERROR(__xludf.DUMMYFUNCTION("""COMPUTED_VALUE"""),94.0)</f>
        <v>94</v>
      </c>
      <c r="I74" s="1">
        <f>IFERROR(__xludf.DUMMYFUNCTION("""COMPUTED_VALUE"""),46.0)</f>
        <v>46</v>
      </c>
      <c r="J74" s="1">
        <f>IFERROR(__xludf.DUMMYFUNCTION("""COMPUTED_VALUE"""),75.0)</f>
        <v>75</v>
      </c>
      <c r="K74" s="1">
        <f>IFERROR(__xludf.DUMMYFUNCTION("""COMPUTED_VALUE"""),86.0)</f>
        <v>86</v>
      </c>
      <c r="L74" s="1">
        <f>IFERROR(__xludf.DUMMYFUNCTION("""COMPUTED_VALUE"""),364.0)</f>
        <v>364</v>
      </c>
      <c r="M74" s="1">
        <f>IFERROR(__xludf.DUMMYFUNCTION("""COMPUTED_VALUE"""),72.8)</f>
        <v>72.8</v>
      </c>
      <c r="N74" s="1">
        <f>IFERROR(__xludf.DUMMYFUNCTION("""COMPUTED_VALUE"""),65.0)</f>
        <v>65</v>
      </c>
      <c r="O74" s="1" t="str">
        <f>IFERROR(__xludf.DUMMYFUNCTION("""COMPUTED_VALUE"""),"Pass")</f>
        <v>Pass</v>
      </c>
    </row>
    <row r="75" ht="15.75" customHeight="1">
      <c r="A75" s="1" t="str">
        <f>IFERROR(__xludf.DUMMYFUNCTION("""COMPUTED_VALUE"""),"STD-1190")</f>
        <v>STD-1190</v>
      </c>
      <c r="B75" s="1" t="str">
        <f>IFERROR(__xludf.DUMMYFUNCTION("""COMPUTED_VALUE"""),"Aarav Choudhary")</f>
        <v>Aarav Choudhary</v>
      </c>
      <c r="C75" s="1" t="str">
        <f>IFERROR(__xludf.DUMMYFUNCTION("""COMPUTED_VALUE"""),"Female")</f>
        <v>Female</v>
      </c>
      <c r="D75" s="1" t="str">
        <f>IFERROR(__xludf.DUMMYFUNCTION("""COMPUTED_VALUE"""),"6")</f>
        <v>6</v>
      </c>
      <c r="E75" s="1" t="str">
        <f>IFERROR(__xludf.DUMMYFUNCTION("""COMPUTED_VALUE"""),"A")</f>
        <v>A</v>
      </c>
      <c r="F75" s="1" t="str">
        <f>IFERROR(__xludf.DUMMYFUNCTION("""COMPUTED_VALUE"""),"Bhopal")</f>
        <v>Bhopal</v>
      </c>
      <c r="G75" s="1">
        <f>IFERROR(__xludf.DUMMYFUNCTION("""COMPUTED_VALUE"""),52.0)</f>
        <v>52</v>
      </c>
      <c r="H75" s="1">
        <f>IFERROR(__xludf.DUMMYFUNCTION("""COMPUTED_VALUE"""),83.0)</f>
        <v>83</v>
      </c>
      <c r="I75" s="1">
        <f>IFERROR(__xludf.DUMMYFUNCTION("""COMPUTED_VALUE"""),45.0)</f>
        <v>45</v>
      </c>
      <c r="J75" s="1">
        <f>IFERROR(__xludf.DUMMYFUNCTION("""COMPUTED_VALUE"""),46.0)</f>
        <v>46</v>
      </c>
      <c r="K75" s="1">
        <f>IFERROR(__xludf.DUMMYFUNCTION("""COMPUTED_VALUE"""),63.0)</f>
        <v>63</v>
      </c>
      <c r="L75" s="1">
        <f>IFERROR(__xludf.DUMMYFUNCTION("""COMPUTED_VALUE"""),289.0)</f>
        <v>289</v>
      </c>
      <c r="M75" s="1">
        <f>IFERROR(__xludf.DUMMYFUNCTION("""COMPUTED_VALUE"""),57.8)</f>
        <v>57.8</v>
      </c>
      <c r="N75" s="1">
        <f>IFERROR(__xludf.DUMMYFUNCTION("""COMPUTED_VALUE"""),68.0)</f>
        <v>68</v>
      </c>
      <c r="O75" s="1" t="str">
        <f>IFERROR(__xludf.DUMMYFUNCTION("""COMPUTED_VALUE"""),"Pass")</f>
        <v>Pass</v>
      </c>
    </row>
    <row r="76" ht="15.75" customHeight="1">
      <c r="A76" s="1" t="str">
        <f>IFERROR(__xludf.DUMMYFUNCTION("""COMPUTED_VALUE"""),"STD-1193")</f>
        <v>STD-1193</v>
      </c>
      <c r="B76" s="1" t="str">
        <f>IFERROR(__xludf.DUMMYFUNCTION("""COMPUTED_VALUE"""),"Pooja Iyer")</f>
        <v>Pooja Iyer</v>
      </c>
      <c r="C76" s="1" t="str">
        <f>IFERROR(__xludf.DUMMYFUNCTION("""COMPUTED_VALUE"""),"Male")</f>
        <v>Male</v>
      </c>
      <c r="D76" s="1" t="str">
        <f>IFERROR(__xludf.DUMMYFUNCTION("""COMPUTED_VALUE"""),"8")</f>
        <v>8</v>
      </c>
      <c r="E76" s="1" t="str">
        <f>IFERROR(__xludf.DUMMYFUNCTION("""COMPUTED_VALUE"""),"C")</f>
        <v>C</v>
      </c>
      <c r="F76" s="1" t="str">
        <f>IFERROR(__xludf.DUMMYFUNCTION("""COMPUTED_VALUE"""),"Lucknow")</f>
        <v>Lucknow</v>
      </c>
      <c r="G76" s="1">
        <f>IFERROR(__xludf.DUMMYFUNCTION("""COMPUTED_VALUE"""),48.0)</f>
        <v>48</v>
      </c>
      <c r="H76" s="1">
        <f>IFERROR(__xludf.DUMMYFUNCTION("""COMPUTED_VALUE"""),65.0)</f>
        <v>65</v>
      </c>
      <c r="I76" s="1">
        <f>IFERROR(__xludf.DUMMYFUNCTION("""COMPUTED_VALUE"""),72.0)</f>
        <v>72</v>
      </c>
      <c r="J76" s="1">
        <f>IFERROR(__xludf.DUMMYFUNCTION("""COMPUTED_VALUE"""),49.0)</f>
        <v>49</v>
      </c>
      <c r="K76" s="1">
        <f>IFERROR(__xludf.DUMMYFUNCTION("""COMPUTED_VALUE"""),62.0)</f>
        <v>62</v>
      </c>
      <c r="L76" s="1">
        <f>IFERROR(__xludf.DUMMYFUNCTION("""COMPUTED_VALUE"""),296.0)</f>
        <v>296</v>
      </c>
      <c r="M76" s="1">
        <f>IFERROR(__xludf.DUMMYFUNCTION("""COMPUTED_VALUE"""),59.2)</f>
        <v>59.2</v>
      </c>
      <c r="N76" s="1">
        <f>IFERROR(__xludf.DUMMYFUNCTION("""COMPUTED_VALUE"""),66.0)</f>
        <v>66</v>
      </c>
      <c r="O76" s="1" t="str">
        <f>IFERROR(__xludf.DUMMYFUNCTION("""COMPUTED_VALUE"""),"Pass")</f>
        <v>Pass</v>
      </c>
    </row>
    <row r="77" ht="15.75" customHeight="1">
      <c r="A77" s="1" t="str">
        <f>IFERROR(__xludf.DUMMYFUNCTION("""COMPUTED_VALUE"""),"STD-1195")</f>
        <v>STD-1195</v>
      </c>
      <c r="B77" s="1" t="str">
        <f>IFERROR(__xludf.DUMMYFUNCTION("""COMPUTED_VALUE"""),"Aditya Das")</f>
        <v>Aditya Das</v>
      </c>
      <c r="C77" s="1" t="str">
        <f>IFERROR(__xludf.DUMMYFUNCTION("""COMPUTED_VALUE"""),"Female")</f>
        <v>Female</v>
      </c>
      <c r="D77" s="1" t="str">
        <f>IFERROR(__xludf.DUMMYFUNCTION("""COMPUTED_VALUE"""),"8")</f>
        <v>8</v>
      </c>
      <c r="E77" s="1" t="str">
        <f>IFERROR(__xludf.DUMMYFUNCTION("""COMPUTED_VALUE"""),"C")</f>
        <v>C</v>
      </c>
      <c r="F77" s="1" t="str">
        <f>IFERROR(__xludf.DUMMYFUNCTION("""COMPUTED_VALUE"""),"Bhopal")</f>
        <v>Bhopal</v>
      </c>
      <c r="G77" s="1">
        <f>IFERROR(__xludf.DUMMYFUNCTION("""COMPUTED_VALUE"""),46.0)</f>
        <v>46</v>
      </c>
      <c r="H77" s="1">
        <f>IFERROR(__xludf.DUMMYFUNCTION("""COMPUTED_VALUE"""),84.0)</f>
        <v>84</v>
      </c>
      <c r="I77" s="1">
        <f>IFERROR(__xludf.DUMMYFUNCTION("""COMPUTED_VALUE"""),72.0)</f>
        <v>72</v>
      </c>
      <c r="J77" s="1">
        <f>IFERROR(__xludf.DUMMYFUNCTION("""COMPUTED_VALUE"""),48.0)</f>
        <v>48</v>
      </c>
      <c r="K77" s="1">
        <f>IFERROR(__xludf.DUMMYFUNCTION("""COMPUTED_VALUE"""),70.0)</f>
        <v>70</v>
      </c>
      <c r="L77" s="1">
        <f>IFERROR(__xludf.DUMMYFUNCTION("""COMPUTED_VALUE"""),320.0)</f>
        <v>320</v>
      </c>
      <c r="M77" s="1">
        <f>IFERROR(__xludf.DUMMYFUNCTION("""COMPUTED_VALUE"""),64.0)</f>
        <v>64</v>
      </c>
      <c r="N77" s="1">
        <f>IFERROR(__xludf.DUMMYFUNCTION("""COMPUTED_VALUE"""),68.0)</f>
        <v>68</v>
      </c>
      <c r="O77" s="1" t="str">
        <f>IFERROR(__xludf.DUMMYFUNCTION("""COMPUTED_VALUE"""),"Pass")</f>
        <v>Pass</v>
      </c>
    </row>
    <row r="78" ht="15.75" customHeight="1">
      <c r="A78" s="1" t="str">
        <f>IFERROR(__xludf.DUMMYFUNCTION("""COMPUTED_VALUE"""),"STD-1196")</f>
        <v>STD-1196</v>
      </c>
      <c r="B78" s="1" t="str">
        <f>IFERROR(__xludf.DUMMYFUNCTION("""COMPUTED_VALUE"""),"Kavya Nair")</f>
        <v>Kavya Nair</v>
      </c>
      <c r="C78" s="1" t="str">
        <f>IFERROR(__xludf.DUMMYFUNCTION("""COMPUTED_VALUE"""),"Male")</f>
        <v>Male</v>
      </c>
      <c r="D78" s="1" t="str">
        <f>IFERROR(__xludf.DUMMYFUNCTION("""COMPUTED_VALUE"""),"6")</f>
        <v>6</v>
      </c>
      <c r="E78" s="1" t="str">
        <f>IFERROR(__xludf.DUMMYFUNCTION("""COMPUTED_VALUE"""),"B")</f>
        <v>B</v>
      </c>
      <c r="F78" s="1" t="str">
        <f>IFERROR(__xludf.DUMMYFUNCTION("""COMPUTED_VALUE"""),"Lucknow")</f>
        <v>Lucknow</v>
      </c>
      <c r="G78" s="1">
        <f>IFERROR(__xludf.DUMMYFUNCTION("""COMPUTED_VALUE"""),84.0)</f>
        <v>84</v>
      </c>
      <c r="H78" s="1">
        <f>IFERROR(__xludf.DUMMYFUNCTION("""COMPUTED_VALUE"""),54.0)</f>
        <v>54</v>
      </c>
      <c r="I78" s="1">
        <f>IFERROR(__xludf.DUMMYFUNCTION("""COMPUTED_VALUE"""),54.0)</f>
        <v>54</v>
      </c>
      <c r="J78" s="1">
        <f>IFERROR(__xludf.DUMMYFUNCTION("""COMPUTED_VALUE"""),53.0)</f>
        <v>53</v>
      </c>
      <c r="K78" s="1">
        <f>IFERROR(__xludf.DUMMYFUNCTION("""COMPUTED_VALUE"""),46.0)</f>
        <v>46</v>
      </c>
      <c r="L78" s="1">
        <f>IFERROR(__xludf.DUMMYFUNCTION("""COMPUTED_VALUE"""),291.0)</f>
        <v>291</v>
      </c>
      <c r="M78" s="1">
        <f>IFERROR(__xludf.DUMMYFUNCTION("""COMPUTED_VALUE"""),58.2)</f>
        <v>58.2</v>
      </c>
      <c r="N78" s="1">
        <f>IFERROR(__xludf.DUMMYFUNCTION("""COMPUTED_VALUE"""),64.0)</f>
        <v>64</v>
      </c>
      <c r="O78" s="1" t="str">
        <f>IFERROR(__xludf.DUMMYFUNCTION("""COMPUTED_VALUE"""),"Pass")</f>
        <v>Pass</v>
      </c>
    </row>
    <row r="79" ht="15.75" customHeight="1">
      <c r="A79" s="1" t="str">
        <f>IFERROR(__xludf.DUMMYFUNCTION("""COMPUTED_VALUE"""),"STD-1199")</f>
        <v>STD-1199</v>
      </c>
      <c r="B79" s="1" t="str">
        <f>IFERROR(__xludf.DUMMYFUNCTION("""COMPUTED_VALUE"""),"Ritika Das")</f>
        <v>Ritika Das</v>
      </c>
      <c r="C79" s="1" t="str">
        <f>IFERROR(__xludf.DUMMYFUNCTION("""COMPUTED_VALUE"""),"Female")</f>
        <v>Female</v>
      </c>
      <c r="D79" s="1" t="str">
        <f>IFERROR(__xludf.DUMMYFUNCTION("""COMPUTED_VALUE"""),"10")</f>
        <v>10</v>
      </c>
      <c r="E79" s="1" t="str">
        <f>IFERROR(__xludf.DUMMYFUNCTION("""COMPUTED_VALUE"""),"A")</f>
        <v>A</v>
      </c>
      <c r="F79" s="1" t="str">
        <f>IFERROR(__xludf.DUMMYFUNCTION("""COMPUTED_VALUE"""),"Mumbai")</f>
        <v>Mumbai</v>
      </c>
      <c r="G79" s="1">
        <f>IFERROR(__xludf.DUMMYFUNCTION("""COMPUTED_VALUE"""),82.0)</f>
        <v>82</v>
      </c>
      <c r="H79" s="1">
        <f>IFERROR(__xludf.DUMMYFUNCTION("""COMPUTED_VALUE"""),89.0)</f>
        <v>89</v>
      </c>
      <c r="I79" s="1">
        <f>IFERROR(__xludf.DUMMYFUNCTION("""COMPUTED_VALUE"""),48.0)</f>
        <v>48</v>
      </c>
      <c r="J79" s="1">
        <f>IFERROR(__xludf.DUMMYFUNCTION("""COMPUTED_VALUE"""),60.0)</f>
        <v>60</v>
      </c>
      <c r="K79" s="1">
        <f>IFERROR(__xludf.DUMMYFUNCTION("""COMPUTED_VALUE"""),59.0)</f>
        <v>59</v>
      </c>
      <c r="L79" s="1">
        <f>IFERROR(__xludf.DUMMYFUNCTION("""COMPUTED_VALUE"""),338.0)</f>
        <v>338</v>
      </c>
      <c r="M79" s="1">
        <f>IFERROR(__xludf.DUMMYFUNCTION("""COMPUTED_VALUE"""),67.6)</f>
        <v>67.6</v>
      </c>
      <c r="N79" s="1">
        <f>IFERROR(__xludf.DUMMYFUNCTION("""COMPUTED_VALUE"""),60.0)</f>
        <v>60</v>
      </c>
      <c r="O79" s="1" t="str">
        <f>IFERROR(__xludf.DUMMYFUNCTION("""COMPUTED_VALUE"""),"Pass")</f>
        <v>Pass</v>
      </c>
    </row>
    <row r="80" ht="15.75" customHeight="1">
      <c r="A80" s="1" t="str">
        <f>IFERROR(__xludf.DUMMYFUNCTION("""COMPUTED_VALUE"""),"STD-1201")</f>
        <v>STD-1201</v>
      </c>
      <c r="B80" s="1" t="str">
        <f>IFERROR(__xludf.DUMMYFUNCTION("""COMPUTED_VALUE"""),"Tanvi Patel")</f>
        <v>Tanvi Patel</v>
      </c>
      <c r="C80" s="1" t="str">
        <f>IFERROR(__xludf.DUMMYFUNCTION("""COMPUTED_VALUE"""),"Female")</f>
        <v>Female</v>
      </c>
      <c r="D80" s="1" t="str">
        <f>IFERROR(__xludf.DUMMYFUNCTION("""COMPUTED_VALUE"""),"8")</f>
        <v>8</v>
      </c>
      <c r="E80" s="1" t="str">
        <f>IFERROR(__xludf.DUMMYFUNCTION("""COMPUTED_VALUE"""),"C")</f>
        <v>C</v>
      </c>
      <c r="F80" s="1" t="str">
        <f>IFERROR(__xludf.DUMMYFUNCTION("""COMPUTED_VALUE"""),"Chandigarh")</f>
        <v>Chandigarh</v>
      </c>
      <c r="G80" s="1">
        <f>IFERROR(__xludf.DUMMYFUNCTION("""COMPUTED_VALUE"""),76.0)</f>
        <v>76</v>
      </c>
      <c r="H80" s="1">
        <f>IFERROR(__xludf.DUMMYFUNCTION("""COMPUTED_VALUE"""),86.0)</f>
        <v>86</v>
      </c>
      <c r="I80" s="1">
        <f>IFERROR(__xludf.DUMMYFUNCTION("""COMPUTED_VALUE"""),94.0)</f>
        <v>94</v>
      </c>
      <c r="J80" s="1">
        <f>IFERROR(__xludf.DUMMYFUNCTION("""COMPUTED_VALUE"""),79.0)</f>
        <v>79</v>
      </c>
      <c r="K80" s="1">
        <f>IFERROR(__xludf.DUMMYFUNCTION("""COMPUTED_VALUE"""),64.0)</f>
        <v>64</v>
      </c>
      <c r="L80" s="1">
        <f>IFERROR(__xludf.DUMMYFUNCTION("""COMPUTED_VALUE"""),399.0)</f>
        <v>399</v>
      </c>
      <c r="M80" s="1">
        <f>IFERROR(__xludf.DUMMYFUNCTION("""COMPUTED_VALUE"""),79.8)</f>
        <v>79.8</v>
      </c>
      <c r="N80" s="1">
        <f>IFERROR(__xludf.DUMMYFUNCTION("""COMPUTED_VALUE"""),66.0)</f>
        <v>66</v>
      </c>
      <c r="O80" s="1" t="str">
        <f>IFERROR(__xludf.DUMMYFUNCTION("""COMPUTED_VALUE"""),"Pass")</f>
        <v>Pass</v>
      </c>
    </row>
    <row r="81" ht="15.75" customHeight="1">
      <c r="A81" s="1" t="str">
        <f>IFERROR(__xludf.DUMMYFUNCTION("""COMPUTED_VALUE"""),"STD-1204")</f>
        <v>STD-1204</v>
      </c>
      <c r="B81" s="1" t="str">
        <f>IFERROR(__xludf.DUMMYFUNCTION("""COMPUTED_VALUE"""),"Ritika Das")</f>
        <v>Ritika Das</v>
      </c>
      <c r="C81" s="1" t="str">
        <f>IFERROR(__xludf.DUMMYFUNCTION("""COMPUTED_VALUE"""),"Male")</f>
        <v>Male</v>
      </c>
      <c r="D81" s="1" t="str">
        <f>IFERROR(__xludf.DUMMYFUNCTION("""COMPUTED_VALUE"""),"6")</f>
        <v>6</v>
      </c>
      <c r="E81" s="1" t="str">
        <f>IFERROR(__xludf.DUMMYFUNCTION("""COMPUTED_VALUE"""),"B")</f>
        <v>B</v>
      </c>
      <c r="F81" s="1" t="str">
        <f>IFERROR(__xludf.DUMMYFUNCTION("""COMPUTED_VALUE"""),"Lucknow")</f>
        <v>Lucknow</v>
      </c>
      <c r="G81" s="1">
        <f>IFERROR(__xludf.DUMMYFUNCTION("""COMPUTED_VALUE"""),77.0)</f>
        <v>77</v>
      </c>
      <c r="H81" s="1">
        <f>IFERROR(__xludf.DUMMYFUNCTION("""COMPUTED_VALUE"""),96.0)</f>
        <v>96</v>
      </c>
      <c r="I81" s="1">
        <f>IFERROR(__xludf.DUMMYFUNCTION("""COMPUTED_VALUE"""),98.0)</f>
        <v>98</v>
      </c>
      <c r="J81" s="1">
        <f>IFERROR(__xludf.DUMMYFUNCTION("""COMPUTED_VALUE"""),96.0)</f>
        <v>96</v>
      </c>
      <c r="K81" s="1">
        <f>IFERROR(__xludf.DUMMYFUNCTION("""COMPUTED_VALUE"""),58.0)</f>
        <v>58</v>
      </c>
      <c r="L81" s="1">
        <f>IFERROR(__xludf.DUMMYFUNCTION("""COMPUTED_VALUE"""),425.0)</f>
        <v>425</v>
      </c>
      <c r="M81" s="1">
        <f>IFERROR(__xludf.DUMMYFUNCTION("""COMPUTED_VALUE"""),85.0)</f>
        <v>85</v>
      </c>
      <c r="N81" s="1">
        <f>IFERROR(__xludf.DUMMYFUNCTION("""COMPUTED_VALUE"""),66.0)</f>
        <v>66</v>
      </c>
      <c r="O81" s="1" t="str">
        <f>IFERROR(__xludf.DUMMYFUNCTION("""COMPUTED_VALUE"""),"Pass")</f>
        <v>Pass</v>
      </c>
    </row>
    <row r="82" ht="15.75" customHeight="1">
      <c r="A82" s="1" t="str">
        <f>IFERROR(__xludf.DUMMYFUNCTION("""COMPUTED_VALUE"""),"STD-1208")</f>
        <v>STD-1208</v>
      </c>
      <c r="B82" s="1" t="str">
        <f>IFERROR(__xludf.DUMMYFUNCTION("""COMPUTED_VALUE"""),"Aditya Sharma")</f>
        <v>Aditya Sharma</v>
      </c>
      <c r="C82" s="1" t="str">
        <f>IFERROR(__xludf.DUMMYFUNCTION("""COMPUTED_VALUE"""),"Female")</f>
        <v>Female</v>
      </c>
      <c r="D82" s="1" t="str">
        <f>IFERROR(__xludf.DUMMYFUNCTION("""COMPUTED_VALUE"""),"10")</f>
        <v>10</v>
      </c>
      <c r="E82" s="1" t="str">
        <f>IFERROR(__xludf.DUMMYFUNCTION("""COMPUTED_VALUE"""),"C")</f>
        <v>C</v>
      </c>
      <c r="F82" s="1" t="str">
        <f>IFERROR(__xludf.DUMMYFUNCTION("""COMPUTED_VALUE"""),"Patna")</f>
        <v>Patna</v>
      </c>
      <c r="G82" s="1">
        <f>IFERROR(__xludf.DUMMYFUNCTION("""COMPUTED_VALUE"""),77.0)</f>
        <v>77</v>
      </c>
      <c r="H82" s="1">
        <f>IFERROR(__xludf.DUMMYFUNCTION("""COMPUTED_VALUE"""),55.0)</f>
        <v>55</v>
      </c>
      <c r="I82" s="1">
        <f>IFERROR(__xludf.DUMMYFUNCTION("""COMPUTED_VALUE"""),79.0)</f>
        <v>79</v>
      </c>
      <c r="J82" s="1">
        <f>IFERROR(__xludf.DUMMYFUNCTION("""COMPUTED_VALUE"""),93.0)</f>
        <v>93</v>
      </c>
      <c r="K82" s="1">
        <f>IFERROR(__xludf.DUMMYFUNCTION("""COMPUTED_VALUE"""),68.0)</f>
        <v>68</v>
      </c>
      <c r="L82" s="1">
        <f>IFERROR(__xludf.DUMMYFUNCTION("""COMPUTED_VALUE"""),372.0)</f>
        <v>372</v>
      </c>
      <c r="M82" s="1">
        <f>IFERROR(__xludf.DUMMYFUNCTION("""COMPUTED_VALUE"""),74.4)</f>
        <v>74.4</v>
      </c>
      <c r="N82" s="1">
        <f>IFERROR(__xludf.DUMMYFUNCTION("""COMPUTED_VALUE"""),61.0)</f>
        <v>61</v>
      </c>
      <c r="O82" s="1" t="str">
        <f>IFERROR(__xludf.DUMMYFUNCTION("""COMPUTED_VALUE"""),"Pass")</f>
        <v>Pass</v>
      </c>
    </row>
    <row r="83" ht="15.75" customHeight="1">
      <c r="A83" s="1" t="str">
        <f>IFERROR(__xludf.DUMMYFUNCTION("""COMPUTED_VALUE"""),"STD-1210")</f>
        <v>STD-1210</v>
      </c>
      <c r="B83" s="1" t="str">
        <f>IFERROR(__xludf.DUMMYFUNCTION("""COMPUTED_VALUE"""),"Meera Yadav")</f>
        <v>Meera Yadav</v>
      </c>
      <c r="C83" s="1" t="str">
        <f>IFERROR(__xludf.DUMMYFUNCTION("""COMPUTED_VALUE"""),"Male")</f>
        <v>Male</v>
      </c>
      <c r="D83" s="1" t="str">
        <f>IFERROR(__xludf.DUMMYFUNCTION("""COMPUTED_VALUE"""),"6")</f>
        <v>6</v>
      </c>
      <c r="E83" s="1" t="str">
        <f>IFERROR(__xludf.DUMMYFUNCTION("""COMPUTED_VALUE"""),"C")</f>
        <v>C</v>
      </c>
      <c r="F83" s="1" t="str">
        <f>IFERROR(__xludf.DUMMYFUNCTION("""COMPUTED_VALUE"""),"Bhopal")</f>
        <v>Bhopal</v>
      </c>
      <c r="G83" s="1">
        <f>IFERROR(__xludf.DUMMYFUNCTION("""COMPUTED_VALUE"""),54.0)</f>
        <v>54</v>
      </c>
      <c r="H83" s="1">
        <f>IFERROR(__xludf.DUMMYFUNCTION("""COMPUTED_VALUE"""),56.0)</f>
        <v>56</v>
      </c>
      <c r="I83" s="1">
        <f>IFERROR(__xludf.DUMMYFUNCTION("""COMPUTED_VALUE"""),62.0)</f>
        <v>62</v>
      </c>
      <c r="J83" s="1">
        <f>IFERROR(__xludf.DUMMYFUNCTION("""COMPUTED_VALUE"""),94.0)</f>
        <v>94</v>
      </c>
      <c r="K83" s="1">
        <f>IFERROR(__xludf.DUMMYFUNCTION("""COMPUTED_VALUE"""),68.0)</f>
        <v>68</v>
      </c>
      <c r="L83" s="1">
        <f>IFERROR(__xludf.DUMMYFUNCTION("""COMPUTED_VALUE"""),334.0)</f>
        <v>334</v>
      </c>
      <c r="M83" s="1">
        <f>IFERROR(__xludf.DUMMYFUNCTION("""COMPUTED_VALUE"""),66.8)</f>
        <v>66.8</v>
      </c>
      <c r="N83" s="1">
        <f>IFERROR(__xludf.DUMMYFUNCTION("""COMPUTED_VALUE"""),68.0)</f>
        <v>68</v>
      </c>
      <c r="O83" s="1" t="str">
        <f>IFERROR(__xludf.DUMMYFUNCTION("""COMPUTED_VALUE"""),"Pass")</f>
        <v>Pass</v>
      </c>
    </row>
    <row r="84" ht="15.75" customHeight="1">
      <c r="A84" s="1" t="str">
        <f>IFERROR(__xludf.DUMMYFUNCTION("""COMPUTED_VALUE"""),"STD-1211")</f>
        <v>STD-1211</v>
      </c>
      <c r="B84" s="1" t="str">
        <f>IFERROR(__xludf.DUMMYFUNCTION("""COMPUTED_VALUE"""),"Simran Nair")</f>
        <v>Simran Nair</v>
      </c>
      <c r="C84" s="1" t="str">
        <f>IFERROR(__xludf.DUMMYFUNCTION("""COMPUTED_VALUE"""),"Male")</f>
        <v>Male</v>
      </c>
      <c r="D84" s="1" t="str">
        <f>IFERROR(__xludf.DUMMYFUNCTION("""COMPUTED_VALUE"""),"6")</f>
        <v>6</v>
      </c>
      <c r="E84" s="1" t="str">
        <f>IFERROR(__xludf.DUMMYFUNCTION("""COMPUTED_VALUE"""),"A")</f>
        <v>A</v>
      </c>
      <c r="F84" s="1" t="str">
        <f>IFERROR(__xludf.DUMMYFUNCTION("""COMPUTED_VALUE"""),"Delhi")</f>
        <v>Delhi</v>
      </c>
      <c r="G84" s="1">
        <f>IFERROR(__xludf.DUMMYFUNCTION("""COMPUTED_VALUE"""),45.0)</f>
        <v>45</v>
      </c>
      <c r="H84" s="1">
        <f>IFERROR(__xludf.DUMMYFUNCTION("""COMPUTED_VALUE"""),86.0)</f>
        <v>86</v>
      </c>
      <c r="I84" s="1">
        <f>IFERROR(__xludf.DUMMYFUNCTION("""COMPUTED_VALUE"""),65.0)</f>
        <v>65</v>
      </c>
      <c r="J84" s="1">
        <f>IFERROR(__xludf.DUMMYFUNCTION("""COMPUTED_VALUE"""),53.0)</f>
        <v>53</v>
      </c>
      <c r="K84" s="1">
        <f>IFERROR(__xludf.DUMMYFUNCTION("""COMPUTED_VALUE"""),98.0)</f>
        <v>98</v>
      </c>
      <c r="L84" s="1">
        <f>IFERROR(__xludf.DUMMYFUNCTION("""COMPUTED_VALUE"""),347.0)</f>
        <v>347</v>
      </c>
      <c r="M84" s="1">
        <f>IFERROR(__xludf.DUMMYFUNCTION("""COMPUTED_VALUE"""),69.4)</f>
        <v>69.4</v>
      </c>
      <c r="N84" s="1">
        <f>IFERROR(__xludf.DUMMYFUNCTION("""COMPUTED_VALUE"""),68.0)</f>
        <v>68</v>
      </c>
      <c r="O84" s="1" t="str">
        <f>IFERROR(__xludf.DUMMYFUNCTION("""COMPUTED_VALUE"""),"Pass")</f>
        <v>Pass</v>
      </c>
    </row>
    <row r="85" ht="15.75" customHeight="1">
      <c r="A85" s="1" t="str">
        <f>IFERROR(__xludf.DUMMYFUNCTION("""COMPUTED_VALUE"""),"STD-1213")</f>
        <v>STD-1213</v>
      </c>
      <c r="B85" s="1" t="str">
        <f>IFERROR(__xludf.DUMMYFUNCTION("""COMPUTED_VALUE"""),"Ananya Reddy")</f>
        <v>Ananya Reddy</v>
      </c>
      <c r="C85" s="1" t="str">
        <f>IFERROR(__xludf.DUMMYFUNCTION("""COMPUTED_VALUE"""),"Female")</f>
        <v>Female</v>
      </c>
      <c r="D85" s="1" t="str">
        <f>IFERROR(__xludf.DUMMYFUNCTION("""COMPUTED_VALUE"""),"9")</f>
        <v>9</v>
      </c>
      <c r="E85" s="1" t="str">
        <f>IFERROR(__xludf.DUMMYFUNCTION("""COMPUTED_VALUE"""),"B")</f>
        <v>B</v>
      </c>
      <c r="F85" s="1" t="str">
        <f>IFERROR(__xludf.DUMMYFUNCTION("""COMPUTED_VALUE"""),"Bhopal")</f>
        <v>Bhopal</v>
      </c>
      <c r="G85" s="1">
        <f>IFERROR(__xludf.DUMMYFUNCTION("""COMPUTED_VALUE"""),71.0)</f>
        <v>71</v>
      </c>
      <c r="H85" s="1">
        <f>IFERROR(__xludf.DUMMYFUNCTION("""COMPUTED_VALUE"""),89.0)</f>
        <v>89</v>
      </c>
      <c r="I85" s="1">
        <f>IFERROR(__xludf.DUMMYFUNCTION("""COMPUTED_VALUE"""),79.0)</f>
        <v>79</v>
      </c>
      <c r="J85" s="1">
        <f>IFERROR(__xludf.DUMMYFUNCTION("""COMPUTED_VALUE"""),45.0)</f>
        <v>45</v>
      </c>
      <c r="K85" s="1">
        <f>IFERROR(__xludf.DUMMYFUNCTION("""COMPUTED_VALUE"""),77.0)</f>
        <v>77</v>
      </c>
      <c r="L85" s="1">
        <f>IFERROR(__xludf.DUMMYFUNCTION("""COMPUTED_VALUE"""),361.0)</f>
        <v>361</v>
      </c>
      <c r="M85" s="1">
        <f>IFERROR(__xludf.DUMMYFUNCTION("""COMPUTED_VALUE"""),72.2)</f>
        <v>72.2</v>
      </c>
      <c r="N85" s="1">
        <f>IFERROR(__xludf.DUMMYFUNCTION("""COMPUTED_VALUE"""),71.0)</f>
        <v>71</v>
      </c>
      <c r="O85" s="1" t="str">
        <f>IFERROR(__xludf.DUMMYFUNCTION("""COMPUTED_VALUE"""),"Pass")</f>
        <v>Pass</v>
      </c>
    </row>
    <row r="86" ht="15.75" customHeight="1">
      <c r="A86" s="1" t="str">
        <f>IFERROR(__xludf.DUMMYFUNCTION("""COMPUTED_VALUE"""),"STD-1215")</f>
        <v>STD-1215</v>
      </c>
      <c r="B86" s="1" t="str">
        <f>IFERROR(__xludf.DUMMYFUNCTION("""COMPUTED_VALUE"""),"Priya Reddy")</f>
        <v>Priya Reddy</v>
      </c>
      <c r="C86" s="1" t="str">
        <f>IFERROR(__xludf.DUMMYFUNCTION("""COMPUTED_VALUE"""),"Female")</f>
        <v>Female</v>
      </c>
      <c r="D86" s="1" t="str">
        <f>IFERROR(__xludf.DUMMYFUNCTION("""COMPUTED_VALUE"""),"10")</f>
        <v>10</v>
      </c>
      <c r="E86" s="1" t="str">
        <f>IFERROR(__xludf.DUMMYFUNCTION("""COMPUTED_VALUE"""),"C")</f>
        <v>C</v>
      </c>
      <c r="F86" s="1" t="str">
        <f>IFERROR(__xludf.DUMMYFUNCTION("""COMPUTED_VALUE"""),"Chandigarh")</f>
        <v>Chandigarh</v>
      </c>
      <c r="G86" s="1">
        <f>IFERROR(__xludf.DUMMYFUNCTION("""COMPUTED_VALUE"""),50.0)</f>
        <v>50</v>
      </c>
      <c r="H86" s="1">
        <f>IFERROR(__xludf.DUMMYFUNCTION("""COMPUTED_VALUE"""),68.0)</f>
        <v>68</v>
      </c>
      <c r="I86" s="1">
        <f>IFERROR(__xludf.DUMMYFUNCTION("""COMPUTED_VALUE"""),69.0)</f>
        <v>69</v>
      </c>
      <c r="J86" s="1">
        <f>IFERROR(__xludf.DUMMYFUNCTION("""COMPUTED_VALUE"""),62.0)</f>
        <v>62</v>
      </c>
      <c r="K86" s="1">
        <f>IFERROR(__xludf.DUMMYFUNCTION("""COMPUTED_VALUE"""),42.0)</f>
        <v>42</v>
      </c>
      <c r="L86" s="1">
        <f>IFERROR(__xludf.DUMMYFUNCTION("""COMPUTED_VALUE"""),291.0)</f>
        <v>291</v>
      </c>
      <c r="M86" s="1">
        <f>IFERROR(__xludf.DUMMYFUNCTION("""COMPUTED_VALUE"""),58.2)</f>
        <v>58.2</v>
      </c>
      <c r="N86" s="1">
        <f>IFERROR(__xludf.DUMMYFUNCTION("""COMPUTED_VALUE"""),69.0)</f>
        <v>69</v>
      </c>
      <c r="O86" s="1" t="str">
        <f>IFERROR(__xludf.DUMMYFUNCTION("""COMPUTED_VALUE"""),"Pass")</f>
        <v>Pass</v>
      </c>
    </row>
    <row r="87" ht="15.75" customHeight="1">
      <c r="A87" s="1" t="str">
        <f>IFERROR(__xludf.DUMMYFUNCTION("""COMPUTED_VALUE"""),"STD-1218")</f>
        <v>STD-1218</v>
      </c>
      <c r="B87" s="1" t="str">
        <f>IFERROR(__xludf.DUMMYFUNCTION("""COMPUTED_VALUE"""),"Aditya Kulkarni")</f>
        <v>Aditya Kulkarni</v>
      </c>
      <c r="C87" s="1" t="str">
        <f>IFERROR(__xludf.DUMMYFUNCTION("""COMPUTED_VALUE"""),"Female")</f>
        <v>Female</v>
      </c>
      <c r="D87" s="1" t="str">
        <f>IFERROR(__xludf.DUMMYFUNCTION("""COMPUTED_VALUE"""),"6")</f>
        <v>6</v>
      </c>
      <c r="E87" s="1" t="str">
        <f>IFERROR(__xludf.DUMMYFUNCTION("""COMPUTED_VALUE"""),"B")</f>
        <v>B</v>
      </c>
      <c r="F87" s="1" t="str">
        <f>IFERROR(__xludf.DUMMYFUNCTION("""COMPUTED_VALUE"""),"Bhopal")</f>
        <v>Bhopal</v>
      </c>
      <c r="G87" s="1">
        <f>IFERROR(__xludf.DUMMYFUNCTION("""COMPUTED_VALUE"""),78.0)</f>
        <v>78</v>
      </c>
      <c r="H87" s="1">
        <f>IFERROR(__xludf.DUMMYFUNCTION("""COMPUTED_VALUE"""),60.0)</f>
        <v>60</v>
      </c>
      <c r="I87" s="1">
        <f>IFERROR(__xludf.DUMMYFUNCTION("""COMPUTED_VALUE"""),45.0)</f>
        <v>45</v>
      </c>
      <c r="J87" s="1">
        <f>IFERROR(__xludf.DUMMYFUNCTION("""COMPUTED_VALUE"""),77.0)</f>
        <v>77</v>
      </c>
      <c r="K87" s="1">
        <f>IFERROR(__xludf.DUMMYFUNCTION("""COMPUTED_VALUE"""),53.0)</f>
        <v>53</v>
      </c>
      <c r="L87" s="1">
        <f>IFERROR(__xludf.DUMMYFUNCTION("""COMPUTED_VALUE"""),313.0)</f>
        <v>313</v>
      </c>
      <c r="M87" s="1">
        <f>IFERROR(__xludf.DUMMYFUNCTION("""COMPUTED_VALUE"""),62.6)</f>
        <v>62.6</v>
      </c>
      <c r="N87" s="1">
        <f>IFERROR(__xludf.DUMMYFUNCTION("""COMPUTED_VALUE"""),65.0)</f>
        <v>65</v>
      </c>
      <c r="O87" s="1" t="str">
        <f>IFERROR(__xludf.DUMMYFUNCTION("""COMPUTED_VALUE"""),"Pass")</f>
        <v>Pass</v>
      </c>
    </row>
    <row r="88" ht="15.75" customHeight="1">
      <c r="A88" s="1" t="str">
        <f>IFERROR(__xludf.DUMMYFUNCTION("""COMPUTED_VALUE"""),"STD-1219")</f>
        <v>STD-1219</v>
      </c>
      <c r="B88" s="1" t="str">
        <f>IFERROR(__xludf.DUMMYFUNCTION("""COMPUTED_VALUE"""),"Sai Kaur")</f>
        <v>Sai Kaur</v>
      </c>
      <c r="C88" s="1" t="str">
        <f>IFERROR(__xludf.DUMMYFUNCTION("""COMPUTED_VALUE"""),"Male")</f>
        <v>Male</v>
      </c>
      <c r="D88" s="1" t="str">
        <f>IFERROR(__xludf.DUMMYFUNCTION("""COMPUTED_VALUE"""),"9")</f>
        <v>9</v>
      </c>
      <c r="E88" s="1" t="str">
        <f>IFERROR(__xludf.DUMMYFUNCTION("""COMPUTED_VALUE"""),"A")</f>
        <v>A</v>
      </c>
      <c r="F88" s="1" t="str">
        <f>IFERROR(__xludf.DUMMYFUNCTION("""COMPUTED_VALUE"""),"Bhopal")</f>
        <v>Bhopal</v>
      </c>
      <c r="G88" s="1">
        <f>IFERROR(__xludf.DUMMYFUNCTION("""COMPUTED_VALUE"""),85.0)</f>
        <v>85</v>
      </c>
      <c r="H88" s="1">
        <f>IFERROR(__xludf.DUMMYFUNCTION("""COMPUTED_VALUE"""),51.0)</f>
        <v>51</v>
      </c>
      <c r="I88" s="1">
        <f>IFERROR(__xludf.DUMMYFUNCTION("""COMPUTED_VALUE"""),52.0)</f>
        <v>52</v>
      </c>
      <c r="J88" s="1">
        <f>IFERROR(__xludf.DUMMYFUNCTION("""COMPUTED_VALUE"""),73.0)</f>
        <v>73</v>
      </c>
      <c r="K88" s="1">
        <f>IFERROR(__xludf.DUMMYFUNCTION("""COMPUTED_VALUE"""),94.0)</f>
        <v>94</v>
      </c>
      <c r="L88" s="1">
        <f>IFERROR(__xludf.DUMMYFUNCTION("""COMPUTED_VALUE"""),355.0)</f>
        <v>355</v>
      </c>
      <c r="M88" s="1">
        <f>IFERROR(__xludf.DUMMYFUNCTION("""COMPUTED_VALUE"""),71.0)</f>
        <v>71</v>
      </c>
      <c r="N88" s="1">
        <f>IFERROR(__xludf.DUMMYFUNCTION("""COMPUTED_VALUE"""),69.0)</f>
        <v>69</v>
      </c>
      <c r="O88" s="1" t="str">
        <f>IFERROR(__xludf.DUMMYFUNCTION("""COMPUTED_VALUE"""),"Pass")</f>
        <v>Pass</v>
      </c>
    </row>
    <row r="89" ht="15.75" customHeight="1">
      <c r="A89" s="1" t="str">
        <f>IFERROR(__xludf.DUMMYFUNCTION("""COMPUTED_VALUE"""),"STD-1220")</f>
        <v>STD-1220</v>
      </c>
      <c r="B89" s="1" t="str">
        <f>IFERROR(__xludf.DUMMYFUNCTION("""COMPUTED_VALUE"""),"Priya Jain")</f>
        <v>Priya Jain</v>
      </c>
      <c r="C89" s="1" t="str">
        <f>IFERROR(__xludf.DUMMYFUNCTION("""COMPUTED_VALUE"""),"Male")</f>
        <v>Male</v>
      </c>
      <c r="D89" s="1" t="str">
        <f>IFERROR(__xludf.DUMMYFUNCTION("""COMPUTED_VALUE"""),"9")</f>
        <v>9</v>
      </c>
      <c r="E89" s="1" t="str">
        <f>IFERROR(__xludf.DUMMYFUNCTION("""COMPUTED_VALUE"""),"C")</f>
        <v>C</v>
      </c>
      <c r="F89" s="1" t="str">
        <f>IFERROR(__xludf.DUMMYFUNCTION("""COMPUTED_VALUE"""),"Chandigarh")</f>
        <v>Chandigarh</v>
      </c>
      <c r="G89" s="1">
        <f>IFERROR(__xludf.DUMMYFUNCTION("""COMPUTED_VALUE"""),67.0)</f>
        <v>67</v>
      </c>
      <c r="H89" s="1">
        <f>IFERROR(__xludf.DUMMYFUNCTION("""COMPUTED_VALUE"""),43.0)</f>
        <v>43</v>
      </c>
      <c r="I89" s="1">
        <f>IFERROR(__xludf.DUMMYFUNCTION("""COMPUTED_VALUE"""),90.0)</f>
        <v>90</v>
      </c>
      <c r="J89" s="1">
        <f>IFERROR(__xludf.DUMMYFUNCTION("""COMPUTED_VALUE"""),81.0)</f>
        <v>81</v>
      </c>
      <c r="K89" s="1">
        <f>IFERROR(__xludf.DUMMYFUNCTION("""COMPUTED_VALUE"""),67.0)</f>
        <v>67</v>
      </c>
      <c r="L89" s="1">
        <f>IFERROR(__xludf.DUMMYFUNCTION("""COMPUTED_VALUE"""),348.0)</f>
        <v>348</v>
      </c>
      <c r="M89" s="1">
        <f>IFERROR(__xludf.DUMMYFUNCTION("""COMPUTED_VALUE"""),69.6)</f>
        <v>69.6</v>
      </c>
      <c r="N89" s="1">
        <f>IFERROR(__xludf.DUMMYFUNCTION("""COMPUTED_VALUE"""),64.0)</f>
        <v>64</v>
      </c>
      <c r="O89" s="1" t="str">
        <f>IFERROR(__xludf.DUMMYFUNCTION("""COMPUTED_VALUE"""),"Pass")</f>
        <v>Pass</v>
      </c>
    </row>
    <row r="90" ht="15.75" customHeight="1">
      <c r="A90" s="1" t="str">
        <f>IFERROR(__xludf.DUMMYFUNCTION("""COMPUTED_VALUE"""),"STD-1224")</f>
        <v>STD-1224</v>
      </c>
      <c r="B90" s="1" t="str">
        <f>IFERROR(__xludf.DUMMYFUNCTION("""COMPUTED_VALUE"""),"Ananya Jain")</f>
        <v>Ananya Jain</v>
      </c>
      <c r="C90" s="1" t="str">
        <f>IFERROR(__xludf.DUMMYFUNCTION("""COMPUTED_VALUE"""),"Female")</f>
        <v>Female</v>
      </c>
      <c r="D90" s="1" t="str">
        <f>IFERROR(__xludf.DUMMYFUNCTION("""COMPUTED_VALUE"""),"7")</f>
        <v>7</v>
      </c>
      <c r="E90" s="1" t="str">
        <f>IFERROR(__xludf.DUMMYFUNCTION("""COMPUTED_VALUE"""),"A")</f>
        <v>A</v>
      </c>
      <c r="F90" s="1" t="str">
        <f>IFERROR(__xludf.DUMMYFUNCTION("""COMPUTED_VALUE"""),"Lucknow")</f>
        <v>Lucknow</v>
      </c>
      <c r="G90" s="1">
        <f>IFERROR(__xludf.DUMMYFUNCTION("""COMPUTED_VALUE"""),96.0)</f>
        <v>96</v>
      </c>
      <c r="H90" s="1">
        <f>IFERROR(__xludf.DUMMYFUNCTION("""COMPUTED_VALUE"""),62.0)</f>
        <v>62</v>
      </c>
      <c r="I90" s="1">
        <f>IFERROR(__xludf.DUMMYFUNCTION("""COMPUTED_VALUE"""),73.0)</f>
        <v>73</v>
      </c>
      <c r="J90" s="1">
        <f>IFERROR(__xludf.DUMMYFUNCTION("""COMPUTED_VALUE"""),68.0)</f>
        <v>68</v>
      </c>
      <c r="K90" s="1">
        <f>IFERROR(__xludf.DUMMYFUNCTION("""COMPUTED_VALUE"""),99.0)</f>
        <v>99</v>
      </c>
      <c r="L90" s="1">
        <f>IFERROR(__xludf.DUMMYFUNCTION("""COMPUTED_VALUE"""),398.0)</f>
        <v>398</v>
      </c>
      <c r="M90" s="1">
        <f>IFERROR(__xludf.DUMMYFUNCTION("""COMPUTED_VALUE"""),79.6)</f>
        <v>79.6</v>
      </c>
      <c r="N90" s="1">
        <f>IFERROR(__xludf.DUMMYFUNCTION("""COMPUTED_VALUE"""),62.0)</f>
        <v>62</v>
      </c>
      <c r="O90" s="1" t="str">
        <f>IFERROR(__xludf.DUMMYFUNCTION("""COMPUTED_VALUE"""),"Pass")</f>
        <v>Pass</v>
      </c>
    </row>
    <row r="91" ht="15.75" customHeight="1">
      <c r="A91" s="1" t="str">
        <f>IFERROR(__xludf.DUMMYFUNCTION("""COMPUTED_VALUE"""),"STD-1227")</f>
        <v>STD-1227</v>
      </c>
      <c r="B91" s="1" t="str">
        <f>IFERROR(__xludf.DUMMYFUNCTION("""COMPUTED_VALUE"""),"Sneha Nair")</f>
        <v>Sneha Nair</v>
      </c>
      <c r="C91" s="1" t="str">
        <f>IFERROR(__xludf.DUMMYFUNCTION("""COMPUTED_VALUE"""),"Female")</f>
        <v>Female</v>
      </c>
      <c r="D91" s="1" t="str">
        <f>IFERROR(__xludf.DUMMYFUNCTION("""COMPUTED_VALUE"""),"10")</f>
        <v>10</v>
      </c>
      <c r="E91" s="1" t="str">
        <f>IFERROR(__xludf.DUMMYFUNCTION("""COMPUTED_VALUE"""),"A")</f>
        <v>A</v>
      </c>
      <c r="F91" s="1" t="str">
        <f>IFERROR(__xludf.DUMMYFUNCTION("""COMPUTED_VALUE"""),"Kolkata")</f>
        <v>Kolkata</v>
      </c>
      <c r="G91" s="1">
        <f>IFERROR(__xludf.DUMMYFUNCTION("""COMPUTED_VALUE"""),99.0)</f>
        <v>99</v>
      </c>
      <c r="H91" s="1">
        <f>IFERROR(__xludf.DUMMYFUNCTION("""COMPUTED_VALUE"""),52.0)</f>
        <v>52</v>
      </c>
      <c r="I91" s="1">
        <f>IFERROR(__xludf.DUMMYFUNCTION("""COMPUTED_VALUE"""),89.0)</f>
        <v>89</v>
      </c>
      <c r="J91" s="1">
        <f>IFERROR(__xludf.DUMMYFUNCTION("""COMPUTED_VALUE"""),80.0)</f>
        <v>80</v>
      </c>
      <c r="K91" s="1">
        <f>IFERROR(__xludf.DUMMYFUNCTION("""COMPUTED_VALUE"""),82.0)</f>
        <v>82</v>
      </c>
      <c r="L91" s="1">
        <f>IFERROR(__xludf.DUMMYFUNCTION("""COMPUTED_VALUE"""),402.0)</f>
        <v>402</v>
      </c>
      <c r="M91" s="1">
        <f>IFERROR(__xludf.DUMMYFUNCTION("""COMPUTED_VALUE"""),80.4)</f>
        <v>80.4</v>
      </c>
      <c r="N91" s="1">
        <f>IFERROR(__xludf.DUMMYFUNCTION("""COMPUTED_VALUE"""),66.0)</f>
        <v>66</v>
      </c>
      <c r="O91" s="1" t="str">
        <f>IFERROR(__xludf.DUMMYFUNCTION("""COMPUTED_VALUE"""),"Pass")</f>
        <v>Pass</v>
      </c>
    </row>
    <row r="92" ht="15.75" customHeight="1">
      <c r="A92" s="1" t="str">
        <f>IFERROR(__xludf.DUMMYFUNCTION("""COMPUTED_VALUE"""),"STD-1229")</f>
        <v>STD-1229</v>
      </c>
      <c r="B92" s="1" t="str">
        <f>IFERROR(__xludf.DUMMYFUNCTION("""COMPUTED_VALUE"""),"Simran Singh")</f>
        <v>Simran Singh</v>
      </c>
      <c r="C92" s="1" t="str">
        <f>IFERROR(__xludf.DUMMYFUNCTION("""COMPUTED_VALUE"""),"Female")</f>
        <v>Female</v>
      </c>
      <c r="D92" s="1" t="str">
        <f>IFERROR(__xludf.DUMMYFUNCTION("""COMPUTED_VALUE"""),"7")</f>
        <v>7</v>
      </c>
      <c r="E92" s="1" t="str">
        <f>IFERROR(__xludf.DUMMYFUNCTION("""COMPUTED_VALUE"""),"C")</f>
        <v>C</v>
      </c>
      <c r="F92" s="1" t="str">
        <f>IFERROR(__xludf.DUMMYFUNCTION("""COMPUTED_VALUE"""),"Bhopal")</f>
        <v>Bhopal</v>
      </c>
      <c r="G92" s="1">
        <f>IFERROR(__xludf.DUMMYFUNCTION("""COMPUTED_VALUE"""),44.0)</f>
        <v>44</v>
      </c>
      <c r="H92" s="1">
        <f>IFERROR(__xludf.DUMMYFUNCTION("""COMPUTED_VALUE"""),100.0)</f>
        <v>100</v>
      </c>
      <c r="I92" s="1">
        <f>IFERROR(__xludf.DUMMYFUNCTION("""COMPUTED_VALUE"""),97.0)</f>
        <v>97</v>
      </c>
      <c r="J92" s="1">
        <f>IFERROR(__xludf.DUMMYFUNCTION("""COMPUTED_VALUE"""),49.0)</f>
        <v>49</v>
      </c>
      <c r="K92" s="1">
        <f>IFERROR(__xludf.DUMMYFUNCTION("""COMPUTED_VALUE"""),54.0)</f>
        <v>54</v>
      </c>
      <c r="L92" s="1">
        <f>IFERROR(__xludf.DUMMYFUNCTION("""COMPUTED_VALUE"""),344.0)</f>
        <v>344</v>
      </c>
      <c r="M92" s="1">
        <f>IFERROR(__xludf.DUMMYFUNCTION("""COMPUTED_VALUE"""),68.8)</f>
        <v>68.8</v>
      </c>
      <c r="N92" s="1">
        <f>IFERROR(__xludf.DUMMYFUNCTION("""COMPUTED_VALUE"""),72.0)</f>
        <v>72</v>
      </c>
      <c r="O92" s="1" t="str">
        <f>IFERROR(__xludf.DUMMYFUNCTION("""COMPUTED_VALUE"""),"Pass")</f>
        <v>Pass</v>
      </c>
    </row>
    <row r="93" ht="15.75" customHeight="1">
      <c r="A93" s="1" t="str">
        <f>IFERROR(__xludf.DUMMYFUNCTION("""COMPUTED_VALUE"""),"STD-1232")</f>
        <v>STD-1232</v>
      </c>
      <c r="B93" s="1" t="str">
        <f>IFERROR(__xludf.DUMMYFUNCTION("""COMPUTED_VALUE"""),"Priya Choudhary")</f>
        <v>Priya Choudhary</v>
      </c>
      <c r="C93" s="1" t="str">
        <f>IFERROR(__xludf.DUMMYFUNCTION("""COMPUTED_VALUE"""),"Female")</f>
        <v>Female</v>
      </c>
      <c r="D93" s="1" t="str">
        <f>IFERROR(__xludf.DUMMYFUNCTION("""COMPUTED_VALUE"""),"7")</f>
        <v>7</v>
      </c>
      <c r="E93" s="1" t="str">
        <f>IFERROR(__xludf.DUMMYFUNCTION("""COMPUTED_VALUE"""),"B")</f>
        <v>B</v>
      </c>
      <c r="F93" s="1" t="str">
        <f>IFERROR(__xludf.DUMMYFUNCTION("""COMPUTED_VALUE"""),"Chandigarh")</f>
        <v>Chandigarh</v>
      </c>
      <c r="G93" s="1">
        <f>IFERROR(__xludf.DUMMYFUNCTION("""COMPUTED_VALUE"""),88.0)</f>
        <v>88</v>
      </c>
      <c r="H93" s="1">
        <f>IFERROR(__xludf.DUMMYFUNCTION("""COMPUTED_VALUE"""),94.0)</f>
        <v>94</v>
      </c>
      <c r="I93" s="1">
        <f>IFERROR(__xludf.DUMMYFUNCTION("""COMPUTED_VALUE"""),84.0)</f>
        <v>84</v>
      </c>
      <c r="J93" s="1">
        <f>IFERROR(__xludf.DUMMYFUNCTION("""COMPUTED_VALUE"""),76.0)</f>
        <v>76</v>
      </c>
      <c r="K93" s="1">
        <f>IFERROR(__xludf.DUMMYFUNCTION("""COMPUTED_VALUE"""),95.0)</f>
        <v>95</v>
      </c>
      <c r="L93" s="1">
        <f>IFERROR(__xludf.DUMMYFUNCTION("""COMPUTED_VALUE"""),437.0)</f>
        <v>437</v>
      </c>
      <c r="M93" s="1">
        <f>IFERROR(__xludf.DUMMYFUNCTION("""COMPUTED_VALUE"""),87.4)</f>
        <v>87.4</v>
      </c>
      <c r="N93" s="1">
        <f>IFERROR(__xludf.DUMMYFUNCTION("""COMPUTED_VALUE"""),62.0)</f>
        <v>62</v>
      </c>
      <c r="O93" s="1" t="str">
        <f>IFERROR(__xludf.DUMMYFUNCTION("""COMPUTED_VALUE"""),"Pass")</f>
        <v>Pass</v>
      </c>
    </row>
    <row r="94" ht="15.75" customHeight="1">
      <c r="A94" s="1" t="str">
        <f>IFERROR(__xludf.DUMMYFUNCTION("""COMPUTED_VALUE"""),"STD-1233")</f>
        <v>STD-1233</v>
      </c>
      <c r="B94" s="1" t="str">
        <f>IFERROR(__xludf.DUMMYFUNCTION("""COMPUTED_VALUE"""),"Ritika Kulkarni")</f>
        <v>Ritika Kulkarni</v>
      </c>
      <c r="C94" s="1" t="str">
        <f>IFERROR(__xludf.DUMMYFUNCTION("""COMPUTED_VALUE"""),"Female")</f>
        <v>Female</v>
      </c>
      <c r="D94" s="1" t="str">
        <f>IFERROR(__xludf.DUMMYFUNCTION("""COMPUTED_VALUE"""),"7")</f>
        <v>7</v>
      </c>
      <c r="E94" s="1" t="str">
        <f>IFERROR(__xludf.DUMMYFUNCTION("""COMPUTED_VALUE"""),"A")</f>
        <v>A</v>
      </c>
      <c r="F94" s="1" t="str">
        <f>IFERROR(__xludf.DUMMYFUNCTION("""COMPUTED_VALUE"""),"Mumbai")</f>
        <v>Mumbai</v>
      </c>
      <c r="G94" s="1">
        <f>IFERROR(__xludf.DUMMYFUNCTION("""COMPUTED_VALUE"""),69.0)</f>
        <v>69</v>
      </c>
      <c r="H94" s="1">
        <f>IFERROR(__xludf.DUMMYFUNCTION("""COMPUTED_VALUE"""),90.0)</f>
        <v>90</v>
      </c>
      <c r="I94" s="1">
        <f>IFERROR(__xludf.DUMMYFUNCTION("""COMPUTED_VALUE"""),46.0)</f>
        <v>46</v>
      </c>
      <c r="J94" s="1">
        <f>IFERROR(__xludf.DUMMYFUNCTION("""COMPUTED_VALUE"""),40.0)</f>
        <v>40</v>
      </c>
      <c r="K94" s="1">
        <f>IFERROR(__xludf.DUMMYFUNCTION("""COMPUTED_VALUE"""),81.0)</f>
        <v>81</v>
      </c>
      <c r="L94" s="1">
        <f>IFERROR(__xludf.DUMMYFUNCTION("""COMPUTED_VALUE"""),326.0)</f>
        <v>326</v>
      </c>
      <c r="M94" s="1">
        <f>IFERROR(__xludf.DUMMYFUNCTION("""COMPUTED_VALUE"""),65.2)</f>
        <v>65.2</v>
      </c>
      <c r="N94" s="1">
        <f>IFERROR(__xludf.DUMMYFUNCTION("""COMPUTED_VALUE"""),70.0)</f>
        <v>70</v>
      </c>
      <c r="O94" s="1" t="str">
        <f>IFERROR(__xludf.DUMMYFUNCTION("""COMPUTED_VALUE"""),"Pass")</f>
        <v>Pass</v>
      </c>
    </row>
    <row r="95" ht="15.75" customHeight="1">
      <c r="A95" s="1" t="str">
        <f>IFERROR(__xludf.DUMMYFUNCTION("""COMPUTED_VALUE"""),"STD-1239")</f>
        <v>STD-1239</v>
      </c>
      <c r="B95" s="1" t="str">
        <f>IFERROR(__xludf.DUMMYFUNCTION("""COMPUTED_VALUE"""),"Meera Reddy")</f>
        <v>Meera Reddy</v>
      </c>
      <c r="C95" s="1" t="str">
        <f>IFERROR(__xludf.DUMMYFUNCTION("""COMPUTED_VALUE"""),"Male")</f>
        <v>Male</v>
      </c>
      <c r="D95" s="1" t="str">
        <f>IFERROR(__xludf.DUMMYFUNCTION("""COMPUTED_VALUE"""),"8")</f>
        <v>8</v>
      </c>
      <c r="E95" s="1" t="str">
        <f>IFERROR(__xludf.DUMMYFUNCTION("""COMPUTED_VALUE"""),"A")</f>
        <v>A</v>
      </c>
      <c r="F95" s="1" t="str">
        <f>IFERROR(__xludf.DUMMYFUNCTION("""COMPUTED_VALUE"""),"Chandigarh")</f>
        <v>Chandigarh</v>
      </c>
      <c r="G95" s="1">
        <f>IFERROR(__xludf.DUMMYFUNCTION("""COMPUTED_VALUE"""),92.0)</f>
        <v>92</v>
      </c>
      <c r="H95" s="1">
        <f>IFERROR(__xludf.DUMMYFUNCTION("""COMPUTED_VALUE"""),54.0)</f>
        <v>54</v>
      </c>
      <c r="I95" s="1">
        <f>IFERROR(__xludf.DUMMYFUNCTION("""COMPUTED_VALUE"""),81.0)</f>
        <v>81</v>
      </c>
      <c r="J95" s="1">
        <f>IFERROR(__xludf.DUMMYFUNCTION("""COMPUTED_VALUE"""),65.0)</f>
        <v>65</v>
      </c>
      <c r="K95" s="1">
        <f>IFERROR(__xludf.DUMMYFUNCTION("""COMPUTED_VALUE"""),51.0)</f>
        <v>51</v>
      </c>
      <c r="L95" s="1">
        <f>IFERROR(__xludf.DUMMYFUNCTION("""COMPUTED_VALUE"""),343.0)</f>
        <v>343</v>
      </c>
      <c r="M95" s="1">
        <f>IFERROR(__xludf.DUMMYFUNCTION("""COMPUTED_VALUE"""),68.6)</f>
        <v>68.6</v>
      </c>
      <c r="N95" s="1">
        <f>IFERROR(__xludf.DUMMYFUNCTION("""COMPUTED_VALUE"""),71.0)</f>
        <v>71</v>
      </c>
      <c r="O95" s="1" t="str">
        <f>IFERROR(__xludf.DUMMYFUNCTION("""COMPUTED_VALUE"""),"Pass")</f>
        <v>Pass</v>
      </c>
    </row>
    <row r="96" ht="15.75" customHeight="1">
      <c r="A96" s="1" t="str">
        <f>IFERROR(__xludf.DUMMYFUNCTION("""COMPUTED_VALUE"""),"STD-1242")</f>
        <v>STD-1242</v>
      </c>
      <c r="B96" s="1" t="str">
        <f>IFERROR(__xludf.DUMMYFUNCTION("""COMPUTED_VALUE"""),"Kavya Iyer")</f>
        <v>Kavya Iyer</v>
      </c>
      <c r="C96" s="1" t="str">
        <f>IFERROR(__xludf.DUMMYFUNCTION("""COMPUTED_VALUE"""),"Female")</f>
        <v>Female</v>
      </c>
      <c r="D96" s="1" t="str">
        <f>IFERROR(__xludf.DUMMYFUNCTION("""COMPUTED_VALUE"""),"6")</f>
        <v>6</v>
      </c>
      <c r="E96" s="1" t="str">
        <f>IFERROR(__xludf.DUMMYFUNCTION("""COMPUTED_VALUE"""),"B")</f>
        <v>B</v>
      </c>
      <c r="F96" s="1" t="str">
        <f>IFERROR(__xludf.DUMMYFUNCTION("""COMPUTED_VALUE"""),"Lucknow")</f>
        <v>Lucknow</v>
      </c>
      <c r="G96" s="1">
        <f>IFERROR(__xludf.DUMMYFUNCTION("""COMPUTED_VALUE"""),48.0)</f>
        <v>48</v>
      </c>
      <c r="H96" s="1">
        <f>IFERROR(__xludf.DUMMYFUNCTION("""COMPUTED_VALUE"""),77.0)</f>
        <v>77</v>
      </c>
      <c r="I96" s="1">
        <f>IFERROR(__xludf.DUMMYFUNCTION("""COMPUTED_VALUE"""),90.0)</f>
        <v>90</v>
      </c>
      <c r="J96" s="1">
        <f>IFERROR(__xludf.DUMMYFUNCTION("""COMPUTED_VALUE"""),88.0)</f>
        <v>88</v>
      </c>
      <c r="K96" s="1">
        <f>IFERROR(__xludf.DUMMYFUNCTION("""COMPUTED_VALUE"""),70.0)</f>
        <v>70</v>
      </c>
      <c r="L96" s="1">
        <f>IFERROR(__xludf.DUMMYFUNCTION("""COMPUTED_VALUE"""),373.0)</f>
        <v>373</v>
      </c>
      <c r="M96" s="1">
        <f>IFERROR(__xludf.DUMMYFUNCTION("""COMPUTED_VALUE"""),74.6)</f>
        <v>74.6</v>
      </c>
      <c r="N96" s="1">
        <f>IFERROR(__xludf.DUMMYFUNCTION("""COMPUTED_VALUE"""),72.0)</f>
        <v>72</v>
      </c>
      <c r="O96" s="1" t="str">
        <f>IFERROR(__xludf.DUMMYFUNCTION("""COMPUTED_VALUE"""),"Pass")</f>
        <v>Pass</v>
      </c>
    </row>
    <row r="97" ht="15.75" customHeight="1">
      <c r="A97" s="1" t="str">
        <f>IFERROR(__xludf.DUMMYFUNCTION("""COMPUTED_VALUE"""),"STD-1246")</f>
        <v>STD-1246</v>
      </c>
      <c r="B97" s="1" t="str">
        <f>IFERROR(__xludf.DUMMYFUNCTION("""COMPUTED_VALUE"""),"Ritika Kulkarni")</f>
        <v>Ritika Kulkarni</v>
      </c>
      <c r="C97" s="1" t="str">
        <f>IFERROR(__xludf.DUMMYFUNCTION("""COMPUTED_VALUE"""),"Male")</f>
        <v>Male</v>
      </c>
      <c r="D97" s="1" t="str">
        <f>IFERROR(__xludf.DUMMYFUNCTION("""COMPUTED_VALUE"""),"7")</f>
        <v>7</v>
      </c>
      <c r="E97" s="1" t="str">
        <f>IFERROR(__xludf.DUMMYFUNCTION("""COMPUTED_VALUE"""),"B")</f>
        <v>B</v>
      </c>
      <c r="F97" s="1" t="str">
        <f>IFERROR(__xludf.DUMMYFUNCTION("""COMPUTED_VALUE"""),"Jaipur")</f>
        <v>Jaipur</v>
      </c>
      <c r="G97" s="1">
        <f>IFERROR(__xludf.DUMMYFUNCTION("""COMPUTED_VALUE"""),58.0)</f>
        <v>58</v>
      </c>
      <c r="H97" s="1">
        <f>IFERROR(__xludf.DUMMYFUNCTION("""COMPUTED_VALUE"""),91.0)</f>
        <v>91</v>
      </c>
      <c r="I97" s="1">
        <f>IFERROR(__xludf.DUMMYFUNCTION("""COMPUTED_VALUE"""),47.0)</f>
        <v>47</v>
      </c>
      <c r="J97" s="1">
        <f>IFERROR(__xludf.DUMMYFUNCTION("""COMPUTED_VALUE"""),98.0)</f>
        <v>98</v>
      </c>
      <c r="K97" s="1">
        <f>IFERROR(__xludf.DUMMYFUNCTION("""COMPUTED_VALUE"""),50.0)</f>
        <v>50</v>
      </c>
      <c r="L97" s="1">
        <f>IFERROR(__xludf.DUMMYFUNCTION("""COMPUTED_VALUE"""),344.0)</f>
        <v>344</v>
      </c>
      <c r="M97" s="1">
        <f>IFERROR(__xludf.DUMMYFUNCTION("""COMPUTED_VALUE"""),68.8)</f>
        <v>68.8</v>
      </c>
      <c r="N97" s="1">
        <f>IFERROR(__xludf.DUMMYFUNCTION("""COMPUTED_VALUE"""),73.0)</f>
        <v>73</v>
      </c>
      <c r="O97" s="1" t="str">
        <f>IFERROR(__xludf.DUMMYFUNCTION("""COMPUTED_VALUE"""),"Pass")</f>
        <v>Pass</v>
      </c>
    </row>
    <row r="98" ht="15.75" customHeight="1">
      <c r="A98" s="1" t="str">
        <f>IFERROR(__xludf.DUMMYFUNCTION("""COMPUTED_VALUE"""),"STD-1247")</f>
        <v>STD-1247</v>
      </c>
      <c r="B98" s="1" t="str">
        <f>IFERROR(__xludf.DUMMYFUNCTION("""COMPUTED_VALUE"""),"Ananya Das")</f>
        <v>Ananya Das</v>
      </c>
      <c r="C98" s="1" t="str">
        <f>IFERROR(__xludf.DUMMYFUNCTION("""COMPUTED_VALUE"""),"Female")</f>
        <v>Female</v>
      </c>
      <c r="D98" s="1" t="str">
        <f>IFERROR(__xludf.DUMMYFUNCTION("""COMPUTED_VALUE"""),"8")</f>
        <v>8</v>
      </c>
      <c r="E98" s="1" t="str">
        <f>IFERROR(__xludf.DUMMYFUNCTION("""COMPUTED_VALUE"""),"C")</f>
        <v>C</v>
      </c>
      <c r="F98" s="1" t="str">
        <f>IFERROR(__xludf.DUMMYFUNCTION("""COMPUTED_VALUE"""),"Patna")</f>
        <v>Patna</v>
      </c>
      <c r="G98" s="1">
        <f>IFERROR(__xludf.DUMMYFUNCTION("""COMPUTED_VALUE"""),67.0)</f>
        <v>67</v>
      </c>
      <c r="H98" s="1">
        <f>IFERROR(__xludf.DUMMYFUNCTION("""COMPUTED_VALUE"""),69.0)</f>
        <v>69</v>
      </c>
      <c r="I98" s="1">
        <f>IFERROR(__xludf.DUMMYFUNCTION("""COMPUTED_VALUE"""),91.0)</f>
        <v>91</v>
      </c>
      <c r="J98" s="1">
        <f>IFERROR(__xludf.DUMMYFUNCTION("""COMPUTED_VALUE"""),61.0)</f>
        <v>61</v>
      </c>
      <c r="K98" s="1">
        <f>IFERROR(__xludf.DUMMYFUNCTION("""COMPUTED_VALUE"""),85.0)</f>
        <v>85</v>
      </c>
      <c r="L98" s="1">
        <f>IFERROR(__xludf.DUMMYFUNCTION("""COMPUTED_VALUE"""),373.0)</f>
        <v>373</v>
      </c>
      <c r="M98" s="1">
        <f>IFERROR(__xludf.DUMMYFUNCTION("""COMPUTED_VALUE"""),74.6)</f>
        <v>74.6</v>
      </c>
      <c r="N98" s="1">
        <f>IFERROR(__xludf.DUMMYFUNCTION("""COMPUTED_VALUE"""),62.0)</f>
        <v>62</v>
      </c>
      <c r="O98" s="1" t="str">
        <f>IFERROR(__xludf.DUMMYFUNCTION("""COMPUTED_VALUE"""),"Pass")</f>
        <v>Pass</v>
      </c>
    </row>
    <row r="99" ht="15.75" customHeight="1">
      <c r="A99" s="1" t="str">
        <f>IFERROR(__xludf.DUMMYFUNCTION("""COMPUTED_VALUE"""),"STD-1249")</f>
        <v>STD-1249</v>
      </c>
      <c r="B99" s="1" t="str">
        <f>IFERROR(__xludf.DUMMYFUNCTION("""COMPUTED_VALUE"""),"Rahul Iyer")</f>
        <v>Rahul Iyer</v>
      </c>
      <c r="C99" s="1" t="str">
        <f>IFERROR(__xludf.DUMMYFUNCTION("""COMPUTED_VALUE"""),"Male")</f>
        <v>Male</v>
      </c>
      <c r="D99" s="1" t="str">
        <f>IFERROR(__xludf.DUMMYFUNCTION("""COMPUTED_VALUE"""),"6")</f>
        <v>6</v>
      </c>
      <c r="E99" s="1" t="str">
        <f>IFERROR(__xludf.DUMMYFUNCTION("""COMPUTED_VALUE"""),"C")</f>
        <v>C</v>
      </c>
      <c r="F99" s="1" t="str">
        <f>IFERROR(__xludf.DUMMYFUNCTION("""COMPUTED_VALUE"""),"Lucknow")</f>
        <v>Lucknow</v>
      </c>
      <c r="G99" s="1">
        <f>IFERROR(__xludf.DUMMYFUNCTION("""COMPUTED_VALUE"""),70.0)</f>
        <v>70</v>
      </c>
      <c r="H99" s="1">
        <f>IFERROR(__xludf.DUMMYFUNCTION("""COMPUTED_VALUE"""),76.0)</f>
        <v>76</v>
      </c>
      <c r="I99" s="1">
        <f>IFERROR(__xludf.DUMMYFUNCTION("""COMPUTED_VALUE"""),67.0)</f>
        <v>67</v>
      </c>
      <c r="J99" s="1">
        <f>IFERROR(__xludf.DUMMYFUNCTION("""COMPUTED_VALUE"""),64.0)</f>
        <v>64</v>
      </c>
      <c r="K99" s="1">
        <f>IFERROR(__xludf.DUMMYFUNCTION("""COMPUTED_VALUE"""),50.0)</f>
        <v>50</v>
      </c>
      <c r="L99" s="1">
        <f>IFERROR(__xludf.DUMMYFUNCTION("""COMPUTED_VALUE"""),327.0)</f>
        <v>327</v>
      </c>
      <c r="M99" s="1">
        <f>IFERROR(__xludf.DUMMYFUNCTION("""COMPUTED_VALUE"""),65.4)</f>
        <v>65.4</v>
      </c>
      <c r="N99" s="1">
        <f>IFERROR(__xludf.DUMMYFUNCTION("""COMPUTED_VALUE"""),72.0)</f>
        <v>72</v>
      </c>
      <c r="O99" s="1" t="str">
        <f>IFERROR(__xludf.DUMMYFUNCTION("""COMPUTED_VALUE"""),"Pass")</f>
        <v>Pass</v>
      </c>
    </row>
    <row r="100" ht="15.75" customHeight="1">
      <c r="A100" s="1" t="str">
        <f>IFERROR(__xludf.DUMMYFUNCTION("""COMPUTED_VALUE"""),"STD-1250")</f>
        <v>STD-1250</v>
      </c>
      <c r="B100" s="1" t="str">
        <f>IFERROR(__xludf.DUMMYFUNCTION("""COMPUTED_VALUE"""),"Tanvi Choudhary")</f>
        <v>Tanvi Choudhary</v>
      </c>
      <c r="C100" s="1" t="str">
        <f>IFERROR(__xludf.DUMMYFUNCTION("""COMPUTED_VALUE"""),"Female")</f>
        <v>Female</v>
      </c>
      <c r="D100" s="1" t="str">
        <f>IFERROR(__xludf.DUMMYFUNCTION("""COMPUTED_VALUE"""),"6")</f>
        <v>6</v>
      </c>
      <c r="E100" s="1" t="str">
        <f>IFERROR(__xludf.DUMMYFUNCTION("""COMPUTED_VALUE"""),"A")</f>
        <v>A</v>
      </c>
      <c r="F100" s="1" t="str">
        <f>IFERROR(__xludf.DUMMYFUNCTION("""COMPUTED_VALUE"""),"Bhopal")</f>
        <v>Bhopal</v>
      </c>
      <c r="G100" s="1">
        <f>IFERROR(__xludf.DUMMYFUNCTION("""COMPUTED_VALUE"""),98.0)</f>
        <v>98</v>
      </c>
      <c r="H100" s="1">
        <f>IFERROR(__xludf.DUMMYFUNCTION("""COMPUTED_VALUE"""),89.0)</f>
        <v>89</v>
      </c>
      <c r="I100" s="1">
        <f>IFERROR(__xludf.DUMMYFUNCTION("""COMPUTED_VALUE"""),44.0)</f>
        <v>44</v>
      </c>
      <c r="J100" s="1">
        <f>IFERROR(__xludf.DUMMYFUNCTION("""COMPUTED_VALUE"""),59.0)</f>
        <v>59</v>
      </c>
      <c r="K100" s="1">
        <f>IFERROR(__xludf.DUMMYFUNCTION("""COMPUTED_VALUE"""),98.0)</f>
        <v>98</v>
      </c>
      <c r="L100" s="1">
        <f>IFERROR(__xludf.DUMMYFUNCTION("""COMPUTED_VALUE"""),388.0)</f>
        <v>388</v>
      </c>
      <c r="M100" s="1">
        <f>IFERROR(__xludf.DUMMYFUNCTION("""COMPUTED_VALUE"""),77.6)</f>
        <v>77.6</v>
      </c>
      <c r="N100" s="1">
        <f>IFERROR(__xludf.DUMMYFUNCTION("""COMPUTED_VALUE"""),74.0)</f>
        <v>74</v>
      </c>
      <c r="O100" s="1" t="str">
        <f>IFERROR(__xludf.DUMMYFUNCTION("""COMPUTED_VALUE"""),"Pass")</f>
        <v>Pass</v>
      </c>
    </row>
    <row r="101" ht="15.75" customHeight="1">
      <c r="A101" s="1" t="str">
        <f>IFERROR(__xludf.DUMMYFUNCTION("""COMPUTED_VALUE"""),"STD-1251")</f>
        <v>STD-1251</v>
      </c>
      <c r="B101" s="1" t="str">
        <f>IFERROR(__xludf.DUMMYFUNCTION("""COMPUTED_VALUE"""),"Shreya Choudhary")</f>
        <v>Shreya Choudhary</v>
      </c>
      <c r="C101" s="1" t="str">
        <f>IFERROR(__xludf.DUMMYFUNCTION("""COMPUTED_VALUE"""),"Female")</f>
        <v>Female</v>
      </c>
      <c r="D101" s="1" t="str">
        <f>IFERROR(__xludf.DUMMYFUNCTION("""COMPUTED_VALUE"""),"10")</f>
        <v>10</v>
      </c>
      <c r="E101" s="1" t="str">
        <f>IFERROR(__xludf.DUMMYFUNCTION("""COMPUTED_VALUE"""),"B")</f>
        <v>B</v>
      </c>
      <c r="F101" s="1" t="str">
        <f>IFERROR(__xludf.DUMMYFUNCTION("""COMPUTED_VALUE"""),"Lucknow")</f>
        <v>Lucknow</v>
      </c>
      <c r="G101" s="1">
        <f>IFERROR(__xludf.DUMMYFUNCTION("""COMPUTED_VALUE"""),92.0)</f>
        <v>92</v>
      </c>
      <c r="H101" s="1">
        <f>IFERROR(__xludf.DUMMYFUNCTION("""COMPUTED_VALUE"""),92.0)</f>
        <v>92</v>
      </c>
      <c r="I101" s="1">
        <f>IFERROR(__xludf.DUMMYFUNCTION("""COMPUTED_VALUE"""),94.0)</f>
        <v>94</v>
      </c>
      <c r="J101" s="1">
        <f>IFERROR(__xludf.DUMMYFUNCTION("""COMPUTED_VALUE"""),52.0)</f>
        <v>52</v>
      </c>
      <c r="K101" s="1">
        <f>IFERROR(__xludf.DUMMYFUNCTION("""COMPUTED_VALUE"""),68.0)</f>
        <v>68</v>
      </c>
      <c r="L101" s="1">
        <f>IFERROR(__xludf.DUMMYFUNCTION("""COMPUTED_VALUE"""),398.0)</f>
        <v>398</v>
      </c>
      <c r="M101" s="1">
        <f>IFERROR(__xludf.DUMMYFUNCTION("""COMPUTED_VALUE"""),79.6)</f>
        <v>79.6</v>
      </c>
      <c r="N101" s="1">
        <f>IFERROR(__xludf.DUMMYFUNCTION("""COMPUTED_VALUE"""),67.0)</f>
        <v>67</v>
      </c>
      <c r="O101" s="1" t="str">
        <f>IFERROR(__xludf.DUMMYFUNCTION("""COMPUTED_VALUE"""),"Pass")</f>
        <v>Pass</v>
      </c>
    </row>
    <row r="102" ht="15.75" customHeight="1">
      <c r="A102" s="1" t="str">
        <f>IFERROR(__xludf.DUMMYFUNCTION("""COMPUTED_VALUE"""),"STD-1255")</f>
        <v>STD-1255</v>
      </c>
      <c r="B102" s="1" t="str">
        <f>IFERROR(__xludf.DUMMYFUNCTION("""COMPUTED_VALUE"""),"Pooja Iyer")</f>
        <v>Pooja Iyer</v>
      </c>
      <c r="C102" s="1" t="str">
        <f>IFERROR(__xludf.DUMMYFUNCTION("""COMPUTED_VALUE"""),"Male")</f>
        <v>Male</v>
      </c>
      <c r="D102" s="1" t="str">
        <f>IFERROR(__xludf.DUMMYFUNCTION("""COMPUTED_VALUE"""),"8")</f>
        <v>8</v>
      </c>
      <c r="E102" s="1" t="str">
        <f>IFERROR(__xludf.DUMMYFUNCTION("""COMPUTED_VALUE"""),"B")</f>
        <v>B</v>
      </c>
      <c r="F102" s="1" t="str">
        <f>IFERROR(__xludf.DUMMYFUNCTION("""COMPUTED_VALUE"""),"Lucknow")</f>
        <v>Lucknow</v>
      </c>
      <c r="G102" s="1">
        <f>IFERROR(__xludf.DUMMYFUNCTION("""COMPUTED_VALUE"""),80.0)</f>
        <v>80</v>
      </c>
      <c r="H102" s="1">
        <f>IFERROR(__xludf.DUMMYFUNCTION("""COMPUTED_VALUE"""),63.0)</f>
        <v>63</v>
      </c>
      <c r="I102" s="1">
        <f>IFERROR(__xludf.DUMMYFUNCTION("""COMPUTED_VALUE"""),50.0)</f>
        <v>50</v>
      </c>
      <c r="J102" s="1">
        <f>IFERROR(__xludf.DUMMYFUNCTION("""COMPUTED_VALUE"""),59.0)</f>
        <v>59</v>
      </c>
      <c r="K102" s="1">
        <f>IFERROR(__xludf.DUMMYFUNCTION("""COMPUTED_VALUE"""),73.0)</f>
        <v>73</v>
      </c>
      <c r="L102" s="1">
        <f>IFERROR(__xludf.DUMMYFUNCTION("""COMPUTED_VALUE"""),325.0)</f>
        <v>325</v>
      </c>
      <c r="M102" s="1">
        <f>IFERROR(__xludf.DUMMYFUNCTION("""COMPUTED_VALUE"""),65.0)</f>
        <v>65</v>
      </c>
      <c r="N102" s="1">
        <f>IFERROR(__xludf.DUMMYFUNCTION("""COMPUTED_VALUE"""),65.0)</f>
        <v>65</v>
      </c>
      <c r="O102" s="1" t="str">
        <f>IFERROR(__xludf.DUMMYFUNCTION("""COMPUTED_VALUE"""),"Pass")</f>
        <v>Pass</v>
      </c>
    </row>
    <row r="103" ht="15.75" customHeight="1">
      <c r="A103" s="1" t="str">
        <f>IFERROR(__xludf.DUMMYFUNCTION("""COMPUTED_VALUE"""),"STD-1260")</f>
        <v>STD-1260</v>
      </c>
      <c r="B103" s="1" t="str">
        <f>IFERROR(__xludf.DUMMYFUNCTION("""COMPUTED_VALUE"""),"Sai Das")</f>
        <v>Sai Das</v>
      </c>
      <c r="C103" s="1" t="str">
        <f>IFERROR(__xludf.DUMMYFUNCTION("""COMPUTED_VALUE"""),"Female")</f>
        <v>Female</v>
      </c>
      <c r="D103" s="1" t="str">
        <f>IFERROR(__xludf.DUMMYFUNCTION("""COMPUTED_VALUE"""),"9")</f>
        <v>9</v>
      </c>
      <c r="E103" s="1" t="str">
        <f>IFERROR(__xludf.DUMMYFUNCTION("""COMPUTED_VALUE"""),"B")</f>
        <v>B</v>
      </c>
      <c r="F103" s="1" t="str">
        <f>IFERROR(__xludf.DUMMYFUNCTION("""COMPUTED_VALUE"""),"Delhi")</f>
        <v>Delhi</v>
      </c>
      <c r="G103" s="1">
        <f>IFERROR(__xludf.DUMMYFUNCTION("""COMPUTED_VALUE"""),59.0)</f>
        <v>59</v>
      </c>
      <c r="H103" s="1">
        <f>IFERROR(__xludf.DUMMYFUNCTION("""COMPUTED_VALUE"""),69.0)</f>
        <v>69</v>
      </c>
      <c r="I103" s="1">
        <f>IFERROR(__xludf.DUMMYFUNCTION("""COMPUTED_VALUE"""),44.0)</f>
        <v>44</v>
      </c>
      <c r="J103" s="1">
        <f>IFERROR(__xludf.DUMMYFUNCTION("""COMPUTED_VALUE"""),81.0)</f>
        <v>81</v>
      </c>
      <c r="K103" s="1">
        <f>IFERROR(__xludf.DUMMYFUNCTION("""COMPUTED_VALUE"""),89.0)</f>
        <v>89</v>
      </c>
      <c r="L103" s="1">
        <f>IFERROR(__xludf.DUMMYFUNCTION("""COMPUTED_VALUE"""),342.0)</f>
        <v>342</v>
      </c>
      <c r="M103" s="1">
        <f>IFERROR(__xludf.DUMMYFUNCTION("""COMPUTED_VALUE"""),68.4)</f>
        <v>68.4</v>
      </c>
      <c r="N103" s="1">
        <f>IFERROR(__xludf.DUMMYFUNCTION("""COMPUTED_VALUE"""),69.0)</f>
        <v>69</v>
      </c>
      <c r="O103" s="1" t="str">
        <f>IFERROR(__xludf.DUMMYFUNCTION("""COMPUTED_VALUE"""),"Pass")</f>
        <v>Pass</v>
      </c>
    </row>
    <row r="104" ht="15.75" customHeight="1">
      <c r="A104" s="1" t="str">
        <f>IFERROR(__xludf.DUMMYFUNCTION("""COMPUTED_VALUE"""),"STD-1264")</f>
        <v>STD-1264</v>
      </c>
      <c r="B104" s="1" t="str">
        <f>IFERROR(__xludf.DUMMYFUNCTION("""COMPUTED_VALUE"""),"Ishita Nair")</f>
        <v>Ishita Nair</v>
      </c>
      <c r="C104" s="1" t="str">
        <f>IFERROR(__xludf.DUMMYFUNCTION("""COMPUTED_VALUE"""),"Female")</f>
        <v>Female</v>
      </c>
      <c r="D104" s="1" t="str">
        <f>IFERROR(__xludf.DUMMYFUNCTION("""COMPUTED_VALUE"""),"7")</f>
        <v>7</v>
      </c>
      <c r="E104" s="1" t="str">
        <f>IFERROR(__xludf.DUMMYFUNCTION("""COMPUTED_VALUE"""),"C")</f>
        <v>C</v>
      </c>
      <c r="F104" s="1" t="str">
        <f>IFERROR(__xludf.DUMMYFUNCTION("""COMPUTED_VALUE"""),"Chandigarh")</f>
        <v>Chandigarh</v>
      </c>
      <c r="G104" s="1">
        <f>IFERROR(__xludf.DUMMYFUNCTION("""COMPUTED_VALUE"""),100.0)</f>
        <v>100</v>
      </c>
      <c r="H104" s="1">
        <f>IFERROR(__xludf.DUMMYFUNCTION("""COMPUTED_VALUE"""),95.0)</f>
        <v>95</v>
      </c>
      <c r="I104" s="1">
        <f>IFERROR(__xludf.DUMMYFUNCTION("""COMPUTED_VALUE"""),90.0)</f>
        <v>90</v>
      </c>
      <c r="J104" s="1">
        <f>IFERROR(__xludf.DUMMYFUNCTION("""COMPUTED_VALUE"""),49.0)</f>
        <v>49</v>
      </c>
      <c r="K104" s="1">
        <f>IFERROR(__xludf.DUMMYFUNCTION("""COMPUTED_VALUE"""),50.0)</f>
        <v>50</v>
      </c>
      <c r="L104" s="1">
        <f>IFERROR(__xludf.DUMMYFUNCTION("""COMPUTED_VALUE"""),384.0)</f>
        <v>384</v>
      </c>
      <c r="M104" s="1">
        <f>IFERROR(__xludf.DUMMYFUNCTION("""COMPUTED_VALUE"""),76.8)</f>
        <v>76.8</v>
      </c>
      <c r="N104" s="1">
        <f>IFERROR(__xludf.DUMMYFUNCTION("""COMPUTED_VALUE"""),70.0)</f>
        <v>70</v>
      </c>
      <c r="O104" s="1" t="str">
        <f>IFERROR(__xludf.DUMMYFUNCTION("""COMPUTED_VALUE"""),"Pass")</f>
        <v>Pass</v>
      </c>
    </row>
    <row r="105" ht="15.75" customHeight="1">
      <c r="A105" s="1" t="str">
        <f>IFERROR(__xludf.DUMMYFUNCTION("""COMPUTED_VALUE"""),"STD-1269")</f>
        <v>STD-1269</v>
      </c>
      <c r="B105" s="1" t="str">
        <f>IFERROR(__xludf.DUMMYFUNCTION("""COMPUTED_VALUE"""),"Aditya Kulkarni")</f>
        <v>Aditya Kulkarni</v>
      </c>
      <c r="C105" s="1" t="str">
        <f>IFERROR(__xludf.DUMMYFUNCTION("""COMPUTED_VALUE"""),"Male")</f>
        <v>Male</v>
      </c>
      <c r="D105" s="1" t="str">
        <f>IFERROR(__xludf.DUMMYFUNCTION("""COMPUTED_VALUE"""),"10")</f>
        <v>10</v>
      </c>
      <c r="E105" s="1" t="str">
        <f>IFERROR(__xludf.DUMMYFUNCTION("""COMPUTED_VALUE"""),"B")</f>
        <v>B</v>
      </c>
      <c r="F105" s="1" t="str">
        <f>IFERROR(__xludf.DUMMYFUNCTION("""COMPUTED_VALUE"""),"Chandigarh")</f>
        <v>Chandigarh</v>
      </c>
      <c r="G105" s="1">
        <f>IFERROR(__xludf.DUMMYFUNCTION("""COMPUTED_VALUE"""),91.0)</f>
        <v>91</v>
      </c>
      <c r="H105" s="1">
        <f>IFERROR(__xludf.DUMMYFUNCTION("""COMPUTED_VALUE"""),98.0)</f>
        <v>98</v>
      </c>
      <c r="I105" s="1">
        <f>IFERROR(__xludf.DUMMYFUNCTION("""COMPUTED_VALUE"""),55.0)</f>
        <v>55</v>
      </c>
      <c r="J105" s="1">
        <f>IFERROR(__xludf.DUMMYFUNCTION("""COMPUTED_VALUE"""),70.0)</f>
        <v>70</v>
      </c>
      <c r="K105" s="1">
        <f>IFERROR(__xludf.DUMMYFUNCTION("""COMPUTED_VALUE"""),87.0)</f>
        <v>87</v>
      </c>
      <c r="L105" s="1">
        <f>IFERROR(__xludf.DUMMYFUNCTION("""COMPUTED_VALUE"""),401.0)</f>
        <v>401</v>
      </c>
      <c r="M105" s="1">
        <f>IFERROR(__xludf.DUMMYFUNCTION("""COMPUTED_VALUE"""),80.2)</f>
        <v>80.2</v>
      </c>
      <c r="N105" s="1">
        <f>IFERROR(__xludf.DUMMYFUNCTION("""COMPUTED_VALUE"""),62.0)</f>
        <v>62</v>
      </c>
      <c r="O105" s="1" t="str">
        <f>IFERROR(__xludf.DUMMYFUNCTION("""COMPUTED_VALUE"""),"Pass")</f>
        <v>Pass</v>
      </c>
    </row>
    <row r="106" ht="15.75" customHeight="1">
      <c r="A106" s="1" t="str">
        <f>IFERROR(__xludf.DUMMYFUNCTION("""COMPUTED_VALUE"""),"STD-1274")</f>
        <v>STD-1274</v>
      </c>
      <c r="B106" s="1" t="str">
        <f>IFERROR(__xludf.DUMMYFUNCTION("""COMPUTED_VALUE"""),"Kavya Verma")</f>
        <v>Kavya Verma</v>
      </c>
      <c r="C106" s="1" t="str">
        <f>IFERROR(__xludf.DUMMYFUNCTION("""COMPUTED_VALUE"""),"Female")</f>
        <v>Female</v>
      </c>
      <c r="D106" s="1" t="str">
        <f>IFERROR(__xludf.DUMMYFUNCTION("""COMPUTED_VALUE"""),"6")</f>
        <v>6</v>
      </c>
      <c r="E106" s="1" t="str">
        <f>IFERROR(__xludf.DUMMYFUNCTION("""COMPUTED_VALUE"""),"B")</f>
        <v>B</v>
      </c>
      <c r="F106" s="1" t="str">
        <f>IFERROR(__xludf.DUMMYFUNCTION("""COMPUTED_VALUE"""),"Lucknow")</f>
        <v>Lucknow</v>
      </c>
      <c r="G106" s="1">
        <f>IFERROR(__xludf.DUMMYFUNCTION("""COMPUTED_VALUE"""),96.0)</f>
        <v>96</v>
      </c>
      <c r="H106" s="1">
        <f>IFERROR(__xludf.DUMMYFUNCTION("""COMPUTED_VALUE"""),78.0)</f>
        <v>78</v>
      </c>
      <c r="I106" s="1">
        <f>IFERROR(__xludf.DUMMYFUNCTION("""COMPUTED_VALUE"""),66.0)</f>
        <v>66</v>
      </c>
      <c r="J106" s="1">
        <f>IFERROR(__xludf.DUMMYFUNCTION("""COMPUTED_VALUE"""),59.0)</f>
        <v>59</v>
      </c>
      <c r="K106" s="1">
        <f>IFERROR(__xludf.DUMMYFUNCTION("""COMPUTED_VALUE"""),46.0)</f>
        <v>46</v>
      </c>
      <c r="L106" s="1">
        <f>IFERROR(__xludf.DUMMYFUNCTION("""COMPUTED_VALUE"""),345.0)</f>
        <v>345</v>
      </c>
      <c r="M106" s="1">
        <f>IFERROR(__xludf.DUMMYFUNCTION("""COMPUTED_VALUE"""),69.0)</f>
        <v>69</v>
      </c>
      <c r="N106" s="1">
        <f>IFERROR(__xludf.DUMMYFUNCTION("""COMPUTED_VALUE"""),71.0)</f>
        <v>71</v>
      </c>
      <c r="O106" s="1" t="str">
        <f>IFERROR(__xludf.DUMMYFUNCTION("""COMPUTED_VALUE"""),"Pass")</f>
        <v>Pass</v>
      </c>
    </row>
    <row r="107" ht="15.75" customHeight="1">
      <c r="A107" s="1" t="str">
        <f>IFERROR(__xludf.DUMMYFUNCTION("""COMPUTED_VALUE"""),"STD-1277")</f>
        <v>STD-1277</v>
      </c>
      <c r="B107" s="1" t="str">
        <f>IFERROR(__xludf.DUMMYFUNCTION("""COMPUTED_VALUE"""),"Ishita Banerjee")</f>
        <v>Ishita Banerjee</v>
      </c>
      <c r="C107" s="1" t="str">
        <f>IFERROR(__xludf.DUMMYFUNCTION("""COMPUTED_VALUE"""),"Male")</f>
        <v>Male</v>
      </c>
      <c r="D107" s="1" t="str">
        <f>IFERROR(__xludf.DUMMYFUNCTION("""COMPUTED_VALUE"""),"8")</f>
        <v>8</v>
      </c>
      <c r="E107" s="1" t="str">
        <f>IFERROR(__xludf.DUMMYFUNCTION("""COMPUTED_VALUE"""),"A")</f>
        <v>A</v>
      </c>
      <c r="F107" s="1" t="str">
        <f>IFERROR(__xludf.DUMMYFUNCTION("""COMPUTED_VALUE"""),"Lucknow")</f>
        <v>Lucknow</v>
      </c>
      <c r="G107" s="1">
        <f>IFERROR(__xludf.DUMMYFUNCTION("""COMPUTED_VALUE"""),85.0)</f>
        <v>85</v>
      </c>
      <c r="H107" s="1">
        <f>IFERROR(__xludf.DUMMYFUNCTION("""COMPUTED_VALUE"""),46.0)</f>
        <v>46</v>
      </c>
      <c r="I107" s="1">
        <f>IFERROR(__xludf.DUMMYFUNCTION("""COMPUTED_VALUE"""),72.0)</f>
        <v>72</v>
      </c>
      <c r="J107" s="1">
        <f>IFERROR(__xludf.DUMMYFUNCTION("""COMPUTED_VALUE"""),53.0)</f>
        <v>53</v>
      </c>
      <c r="K107" s="1">
        <f>IFERROR(__xludf.DUMMYFUNCTION("""COMPUTED_VALUE"""),64.0)</f>
        <v>64</v>
      </c>
      <c r="L107" s="1">
        <f>IFERROR(__xludf.DUMMYFUNCTION("""COMPUTED_VALUE"""),320.0)</f>
        <v>320</v>
      </c>
      <c r="M107" s="1">
        <f>IFERROR(__xludf.DUMMYFUNCTION("""COMPUTED_VALUE"""),64.0)</f>
        <v>64</v>
      </c>
      <c r="N107" s="1">
        <f>IFERROR(__xludf.DUMMYFUNCTION("""COMPUTED_VALUE"""),64.0)</f>
        <v>64</v>
      </c>
      <c r="O107" s="1" t="str">
        <f>IFERROR(__xludf.DUMMYFUNCTION("""COMPUTED_VALUE"""),"Pass")</f>
        <v>Pass</v>
      </c>
    </row>
    <row r="108" ht="15.75" customHeight="1">
      <c r="A108" s="1" t="str">
        <f>IFERROR(__xludf.DUMMYFUNCTION("""COMPUTED_VALUE"""),"STD-1282")</f>
        <v>STD-1282</v>
      </c>
      <c r="B108" s="1" t="str">
        <f>IFERROR(__xludf.DUMMYFUNCTION("""COMPUTED_VALUE"""),"Arjun Jain")</f>
        <v>Arjun Jain</v>
      </c>
      <c r="C108" s="1" t="str">
        <f>IFERROR(__xludf.DUMMYFUNCTION("""COMPUTED_VALUE"""),"Female")</f>
        <v>Female</v>
      </c>
      <c r="D108" s="1" t="str">
        <f>IFERROR(__xludf.DUMMYFUNCTION("""COMPUTED_VALUE"""),"10")</f>
        <v>10</v>
      </c>
      <c r="E108" s="1" t="str">
        <f>IFERROR(__xludf.DUMMYFUNCTION("""COMPUTED_VALUE"""),"A")</f>
        <v>A</v>
      </c>
      <c r="F108" s="1" t="str">
        <f>IFERROR(__xludf.DUMMYFUNCTION("""COMPUTED_VALUE"""),"Lucknow")</f>
        <v>Lucknow</v>
      </c>
      <c r="G108" s="1">
        <f>IFERROR(__xludf.DUMMYFUNCTION("""COMPUTED_VALUE"""),53.0)</f>
        <v>53</v>
      </c>
      <c r="H108" s="1">
        <f>IFERROR(__xludf.DUMMYFUNCTION("""COMPUTED_VALUE"""),86.0)</f>
        <v>86</v>
      </c>
      <c r="I108" s="1">
        <f>IFERROR(__xludf.DUMMYFUNCTION("""COMPUTED_VALUE"""),84.0)</f>
        <v>84</v>
      </c>
      <c r="J108" s="1">
        <f>IFERROR(__xludf.DUMMYFUNCTION("""COMPUTED_VALUE"""),54.0)</f>
        <v>54</v>
      </c>
      <c r="K108" s="1">
        <f>IFERROR(__xludf.DUMMYFUNCTION("""COMPUTED_VALUE"""),73.0)</f>
        <v>73</v>
      </c>
      <c r="L108" s="1">
        <f>IFERROR(__xludf.DUMMYFUNCTION("""COMPUTED_VALUE"""),350.0)</f>
        <v>350</v>
      </c>
      <c r="M108" s="1">
        <f>IFERROR(__xludf.DUMMYFUNCTION("""COMPUTED_VALUE"""),70.0)</f>
        <v>70</v>
      </c>
      <c r="N108" s="1">
        <f>IFERROR(__xludf.DUMMYFUNCTION("""COMPUTED_VALUE"""),72.0)</f>
        <v>72</v>
      </c>
      <c r="O108" s="1" t="str">
        <f>IFERROR(__xludf.DUMMYFUNCTION("""COMPUTED_VALUE"""),"Pass")</f>
        <v>Pass</v>
      </c>
    </row>
    <row r="109" ht="15.75" customHeight="1">
      <c r="A109" s="1" t="str">
        <f>IFERROR(__xludf.DUMMYFUNCTION("""COMPUTED_VALUE"""),"STD-1287")</f>
        <v>STD-1287</v>
      </c>
      <c r="B109" s="1" t="str">
        <f>IFERROR(__xludf.DUMMYFUNCTION("""COMPUTED_VALUE"""),"Simran Jain")</f>
        <v>Simran Jain</v>
      </c>
      <c r="C109" s="1" t="str">
        <f>IFERROR(__xludf.DUMMYFUNCTION("""COMPUTED_VALUE"""),"Female")</f>
        <v>Female</v>
      </c>
      <c r="D109" s="1" t="str">
        <f>IFERROR(__xludf.DUMMYFUNCTION("""COMPUTED_VALUE"""),"10")</f>
        <v>10</v>
      </c>
      <c r="E109" s="1" t="str">
        <f>IFERROR(__xludf.DUMMYFUNCTION("""COMPUTED_VALUE"""),"A")</f>
        <v>A</v>
      </c>
      <c r="F109" s="1" t="str">
        <f>IFERROR(__xludf.DUMMYFUNCTION("""COMPUTED_VALUE"""),"Patna")</f>
        <v>Patna</v>
      </c>
      <c r="G109" s="1">
        <f>IFERROR(__xludf.DUMMYFUNCTION("""COMPUTED_VALUE"""),48.0)</f>
        <v>48</v>
      </c>
      <c r="H109" s="1">
        <f>IFERROR(__xludf.DUMMYFUNCTION("""COMPUTED_VALUE"""),99.0)</f>
        <v>99</v>
      </c>
      <c r="I109" s="1">
        <f>IFERROR(__xludf.DUMMYFUNCTION("""COMPUTED_VALUE"""),78.0)</f>
        <v>78</v>
      </c>
      <c r="J109" s="1">
        <f>IFERROR(__xludf.DUMMYFUNCTION("""COMPUTED_VALUE"""),83.0)</f>
        <v>83</v>
      </c>
      <c r="K109" s="1">
        <f>IFERROR(__xludf.DUMMYFUNCTION("""COMPUTED_VALUE"""),52.0)</f>
        <v>52</v>
      </c>
      <c r="L109" s="1">
        <f>IFERROR(__xludf.DUMMYFUNCTION("""COMPUTED_VALUE"""),360.0)</f>
        <v>360</v>
      </c>
      <c r="M109" s="1">
        <f>IFERROR(__xludf.DUMMYFUNCTION("""COMPUTED_VALUE"""),72.0)</f>
        <v>72</v>
      </c>
      <c r="N109" s="1">
        <f>IFERROR(__xludf.DUMMYFUNCTION("""COMPUTED_VALUE"""),72.0)</f>
        <v>72</v>
      </c>
      <c r="O109" s="1" t="str">
        <f>IFERROR(__xludf.DUMMYFUNCTION("""COMPUTED_VALUE"""),"Pass")</f>
        <v>Pass</v>
      </c>
    </row>
    <row r="110" ht="15.75" customHeight="1">
      <c r="A110" s="1" t="str">
        <f>IFERROR(__xludf.DUMMYFUNCTION("""COMPUTED_VALUE"""),"STD-1288")</f>
        <v>STD-1288</v>
      </c>
      <c r="B110" s="1" t="str">
        <f>IFERROR(__xludf.DUMMYFUNCTION("""COMPUTED_VALUE"""),"Rohan Jain")</f>
        <v>Rohan Jain</v>
      </c>
      <c r="C110" s="1" t="str">
        <f>IFERROR(__xludf.DUMMYFUNCTION("""COMPUTED_VALUE"""),"Female")</f>
        <v>Female</v>
      </c>
      <c r="D110" s="1" t="str">
        <f>IFERROR(__xludf.DUMMYFUNCTION("""COMPUTED_VALUE"""),"8")</f>
        <v>8</v>
      </c>
      <c r="E110" s="1" t="str">
        <f>IFERROR(__xludf.DUMMYFUNCTION("""COMPUTED_VALUE"""),"B")</f>
        <v>B</v>
      </c>
      <c r="F110" s="1" t="str">
        <f>IFERROR(__xludf.DUMMYFUNCTION("""COMPUTED_VALUE"""),"Jaipur")</f>
        <v>Jaipur</v>
      </c>
      <c r="G110" s="1">
        <f>IFERROR(__xludf.DUMMYFUNCTION("""COMPUTED_VALUE"""),48.0)</f>
        <v>48</v>
      </c>
      <c r="H110" s="1">
        <f>IFERROR(__xludf.DUMMYFUNCTION("""COMPUTED_VALUE"""),96.0)</f>
        <v>96</v>
      </c>
      <c r="I110" s="1">
        <f>IFERROR(__xludf.DUMMYFUNCTION("""COMPUTED_VALUE"""),77.0)</f>
        <v>77</v>
      </c>
      <c r="J110" s="1">
        <f>IFERROR(__xludf.DUMMYFUNCTION("""COMPUTED_VALUE"""),91.0)</f>
        <v>91</v>
      </c>
      <c r="K110" s="1">
        <f>IFERROR(__xludf.DUMMYFUNCTION("""COMPUTED_VALUE"""),93.0)</f>
        <v>93</v>
      </c>
      <c r="L110" s="1">
        <f>IFERROR(__xludf.DUMMYFUNCTION("""COMPUTED_VALUE"""),405.0)</f>
        <v>405</v>
      </c>
      <c r="M110" s="1">
        <f>IFERROR(__xludf.DUMMYFUNCTION("""COMPUTED_VALUE"""),81.0)</f>
        <v>81</v>
      </c>
      <c r="N110" s="1">
        <f>IFERROR(__xludf.DUMMYFUNCTION("""COMPUTED_VALUE"""),68.0)</f>
        <v>68</v>
      </c>
      <c r="O110" s="1" t="str">
        <f>IFERROR(__xludf.DUMMYFUNCTION("""COMPUTED_VALUE"""),"Pass")</f>
        <v>Pass</v>
      </c>
    </row>
    <row r="111" ht="15.75" customHeight="1">
      <c r="A111" s="1" t="str">
        <f>IFERROR(__xludf.DUMMYFUNCTION("""COMPUTED_VALUE"""),"STD-1301")</f>
        <v>STD-1301</v>
      </c>
      <c r="B111" s="1" t="str">
        <f>IFERROR(__xludf.DUMMYFUNCTION("""COMPUTED_VALUE"""),"Arjun Kaur")</f>
        <v>Arjun Kaur</v>
      </c>
      <c r="C111" s="1" t="str">
        <f>IFERROR(__xludf.DUMMYFUNCTION("""COMPUTED_VALUE"""),"Female")</f>
        <v>Female</v>
      </c>
      <c r="D111" s="1" t="str">
        <f>IFERROR(__xludf.DUMMYFUNCTION("""COMPUTED_VALUE"""),"7")</f>
        <v>7</v>
      </c>
      <c r="E111" s="1" t="str">
        <f>IFERROR(__xludf.DUMMYFUNCTION("""COMPUTED_VALUE"""),"B")</f>
        <v>B</v>
      </c>
      <c r="F111" s="1" t="str">
        <f>IFERROR(__xludf.DUMMYFUNCTION("""COMPUTED_VALUE"""),"Chandigarh")</f>
        <v>Chandigarh</v>
      </c>
      <c r="G111" s="1">
        <f>IFERROR(__xludf.DUMMYFUNCTION("""COMPUTED_VALUE"""),55.0)</f>
        <v>55</v>
      </c>
      <c r="H111" s="1">
        <f>IFERROR(__xludf.DUMMYFUNCTION("""COMPUTED_VALUE"""),83.0)</f>
        <v>83</v>
      </c>
      <c r="I111" s="1">
        <f>IFERROR(__xludf.DUMMYFUNCTION("""COMPUTED_VALUE"""),80.0)</f>
        <v>80</v>
      </c>
      <c r="J111" s="1">
        <f>IFERROR(__xludf.DUMMYFUNCTION("""COMPUTED_VALUE"""),64.0)</f>
        <v>64</v>
      </c>
      <c r="K111" s="1">
        <f>IFERROR(__xludf.DUMMYFUNCTION("""COMPUTED_VALUE"""),64.0)</f>
        <v>64</v>
      </c>
      <c r="L111" s="1">
        <f>IFERROR(__xludf.DUMMYFUNCTION("""COMPUTED_VALUE"""),346.0)</f>
        <v>346</v>
      </c>
      <c r="M111" s="1">
        <f>IFERROR(__xludf.DUMMYFUNCTION("""COMPUTED_VALUE"""),69.2)</f>
        <v>69.2</v>
      </c>
      <c r="N111" s="1">
        <f>IFERROR(__xludf.DUMMYFUNCTION("""COMPUTED_VALUE"""),60.0)</f>
        <v>60</v>
      </c>
      <c r="O111" s="1" t="str">
        <f>IFERROR(__xludf.DUMMYFUNCTION("""COMPUTED_VALUE"""),"Pass")</f>
        <v>Pass</v>
      </c>
    </row>
    <row r="112" ht="15.75" customHeight="1">
      <c r="A112" s="1" t="str">
        <f>IFERROR(__xludf.DUMMYFUNCTION("""COMPUTED_VALUE"""),"STD-1302")</f>
        <v>STD-1302</v>
      </c>
      <c r="B112" s="1" t="str">
        <f>IFERROR(__xludf.DUMMYFUNCTION("""COMPUTED_VALUE"""),"Vivaan Nair")</f>
        <v>Vivaan Nair</v>
      </c>
      <c r="C112" s="1" t="str">
        <f>IFERROR(__xludf.DUMMYFUNCTION("""COMPUTED_VALUE"""),"Male")</f>
        <v>Male</v>
      </c>
      <c r="D112" s="1" t="str">
        <f>IFERROR(__xludf.DUMMYFUNCTION("""COMPUTED_VALUE"""),"10")</f>
        <v>10</v>
      </c>
      <c r="E112" s="1" t="str">
        <f>IFERROR(__xludf.DUMMYFUNCTION("""COMPUTED_VALUE"""),"C")</f>
        <v>C</v>
      </c>
      <c r="F112" s="1" t="str">
        <f>IFERROR(__xludf.DUMMYFUNCTION("""COMPUTED_VALUE"""),"Jaipur")</f>
        <v>Jaipur</v>
      </c>
      <c r="G112" s="1">
        <f>IFERROR(__xludf.DUMMYFUNCTION("""COMPUTED_VALUE"""),97.0)</f>
        <v>97</v>
      </c>
      <c r="H112" s="1">
        <f>IFERROR(__xludf.DUMMYFUNCTION("""COMPUTED_VALUE"""),52.0)</f>
        <v>52</v>
      </c>
      <c r="I112" s="1">
        <f>IFERROR(__xludf.DUMMYFUNCTION("""COMPUTED_VALUE"""),98.0)</f>
        <v>98</v>
      </c>
      <c r="J112" s="1">
        <f>IFERROR(__xludf.DUMMYFUNCTION("""COMPUTED_VALUE"""),78.0)</f>
        <v>78</v>
      </c>
      <c r="K112" s="1">
        <f>IFERROR(__xludf.DUMMYFUNCTION("""COMPUTED_VALUE"""),63.0)</f>
        <v>63</v>
      </c>
      <c r="L112" s="1">
        <f>IFERROR(__xludf.DUMMYFUNCTION("""COMPUTED_VALUE"""),388.0)</f>
        <v>388</v>
      </c>
      <c r="M112" s="1">
        <f>IFERROR(__xludf.DUMMYFUNCTION("""COMPUTED_VALUE"""),77.6)</f>
        <v>77.6</v>
      </c>
      <c r="N112" s="1">
        <f>IFERROR(__xludf.DUMMYFUNCTION("""COMPUTED_VALUE"""),70.0)</f>
        <v>70</v>
      </c>
      <c r="O112" s="1" t="str">
        <f>IFERROR(__xludf.DUMMYFUNCTION("""COMPUTED_VALUE"""),"Pass")</f>
        <v>Pass</v>
      </c>
    </row>
    <row r="113" ht="15.75" customHeight="1">
      <c r="A113" s="1" t="str">
        <f>IFERROR(__xludf.DUMMYFUNCTION("""COMPUTED_VALUE"""),"STD-1305")</f>
        <v>STD-1305</v>
      </c>
      <c r="B113" s="1" t="str">
        <f>IFERROR(__xludf.DUMMYFUNCTION("""COMPUTED_VALUE"""),"Vivaan Singh")</f>
        <v>Vivaan Singh</v>
      </c>
      <c r="C113" s="1" t="str">
        <f>IFERROR(__xludf.DUMMYFUNCTION("""COMPUTED_VALUE"""),"Female")</f>
        <v>Female</v>
      </c>
      <c r="D113" s="1" t="str">
        <f>IFERROR(__xludf.DUMMYFUNCTION("""COMPUTED_VALUE"""),"9")</f>
        <v>9</v>
      </c>
      <c r="E113" s="1" t="str">
        <f>IFERROR(__xludf.DUMMYFUNCTION("""COMPUTED_VALUE"""),"C")</f>
        <v>C</v>
      </c>
      <c r="F113" s="1" t="str">
        <f>IFERROR(__xludf.DUMMYFUNCTION("""COMPUTED_VALUE"""),"Jaipur")</f>
        <v>Jaipur</v>
      </c>
      <c r="G113" s="1">
        <f>IFERROR(__xludf.DUMMYFUNCTION("""COMPUTED_VALUE"""),69.0)</f>
        <v>69</v>
      </c>
      <c r="H113" s="1">
        <f>IFERROR(__xludf.DUMMYFUNCTION("""COMPUTED_VALUE"""),78.0)</f>
        <v>78</v>
      </c>
      <c r="I113" s="1">
        <f>IFERROR(__xludf.DUMMYFUNCTION("""COMPUTED_VALUE"""),64.0)</f>
        <v>64</v>
      </c>
      <c r="J113" s="1">
        <f>IFERROR(__xludf.DUMMYFUNCTION("""COMPUTED_VALUE"""),43.0)</f>
        <v>43</v>
      </c>
      <c r="K113" s="1">
        <f>IFERROR(__xludf.DUMMYFUNCTION("""COMPUTED_VALUE"""),52.0)</f>
        <v>52</v>
      </c>
      <c r="L113" s="1">
        <f>IFERROR(__xludf.DUMMYFUNCTION("""COMPUTED_VALUE"""),306.0)</f>
        <v>306</v>
      </c>
      <c r="M113" s="1">
        <f>IFERROR(__xludf.DUMMYFUNCTION("""COMPUTED_VALUE"""),61.2)</f>
        <v>61.2</v>
      </c>
      <c r="N113" s="1">
        <f>IFERROR(__xludf.DUMMYFUNCTION("""COMPUTED_VALUE"""),60.0)</f>
        <v>60</v>
      </c>
      <c r="O113" s="1" t="str">
        <f>IFERROR(__xludf.DUMMYFUNCTION("""COMPUTED_VALUE"""),"Pass")</f>
        <v>Pass</v>
      </c>
    </row>
    <row r="114" ht="15.75" customHeight="1">
      <c r="A114" s="1" t="str">
        <f>IFERROR(__xludf.DUMMYFUNCTION("""COMPUTED_VALUE"""),"STD-1310")</f>
        <v>STD-1310</v>
      </c>
      <c r="B114" s="1" t="str">
        <f>IFERROR(__xludf.DUMMYFUNCTION("""COMPUTED_VALUE"""),"Karan Das")</f>
        <v>Karan Das</v>
      </c>
      <c r="C114" s="1" t="str">
        <f>IFERROR(__xludf.DUMMYFUNCTION("""COMPUTED_VALUE"""),"Male")</f>
        <v>Male</v>
      </c>
      <c r="D114" s="1" t="str">
        <f>IFERROR(__xludf.DUMMYFUNCTION("""COMPUTED_VALUE"""),"10")</f>
        <v>10</v>
      </c>
      <c r="E114" s="1" t="str">
        <f>IFERROR(__xludf.DUMMYFUNCTION("""COMPUTED_VALUE"""),"A")</f>
        <v>A</v>
      </c>
      <c r="F114" s="1" t="str">
        <f>IFERROR(__xludf.DUMMYFUNCTION("""COMPUTED_VALUE"""),"Chandigarh")</f>
        <v>Chandigarh</v>
      </c>
      <c r="G114" s="1">
        <f>IFERROR(__xludf.DUMMYFUNCTION("""COMPUTED_VALUE"""),71.0)</f>
        <v>71</v>
      </c>
      <c r="H114" s="1">
        <f>IFERROR(__xludf.DUMMYFUNCTION("""COMPUTED_VALUE"""),97.0)</f>
        <v>97</v>
      </c>
      <c r="I114" s="1">
        <f>IFERROR(__xludf.DUMMYFUNCTION("""COMPUTED_VALUE"""),89.0)</f>
        <v>89</v>
      </c>
      <c r="J114" s="1">
        <f>IFERROR(__xludf.DUMMYFUNCTION("""COMPUTED_VALUE"""),60.0)</f>
        <v>60</v>
      </c>
      <c r="K114" s="1">
        <f>IFERROR(__xludf.DUMMYFUNCTION("""COMPUTED_VALUE"""),84.0)</f>
        <v>84</v>
      </c>
      <c r="L114" s="1">
        <f>IFERROR(__xludf.DUMMYFUNCTION("""COMPUTED_VALUE"""),401.0)</f>
        <v>401</v>
      </c>
      <c r="M114" s="1">
        <f>IFERROR(__xludf.DUMMYFUNCTION("""COMPUTED_VALUE"""),80.2)</f>
        <v>80.2</v>
      </c>
      <c r="N114" s="1">
        <f>IFERROR(__xludf.DUMMYFUNCTION("""COMPUTED_VALUE"""),68.0)</f>
        <v>68</v>
      </c>
      <c r="O114" s="1" t="str">
        <f>IFERROR(__xludf.DUMMYFUNCTION("""COMPUTED_VALUE"""),"Pass")</f>
        <v>Pass</v>
      </c>
    </row>
    <row r="115" ht="15.75" customHeight="1">
      <c r="A115" s="1" t="str">
        <f>IFERROR(__xludf.DUMMYFUNCTION("""COMPUTED_VALUE"""),"STD-1316")</f>
        <v>STD-1316</v>
      </c>
      <c r="B115" s="1" t="str">
        <f>IFERROR(__xludf.DUMMYFUNCTION("""COMPUTED_VALUE"""),"Sai Choudhary")</f>
        <v>Sai Choudhary</v>
      </c>
      <c r="C115" s="1" t="str">
        <f>IFERROR(__xludf.DUMMYFUNCTION("""COMPUTED_VALUE"""),"Female")</f>
        <v>Female</v>
      </c>
      <c r="D115" s="1" t="str">
        <f>IFERROR(__xludf.DUMMYFUNCTION("""COMPUTED_VALUE"""),"9")</f>
        <v>9</v>
      </c>
      <c r="E115" s="1" t="str">
        <f>IFERROR(__xludf.DUMMYFUNCTION("""COMPUTED_VALUE"""),"B")</f>
        <v>B</v>
      </c>
      <c r="F115" s="1" t="str">
        <f>IFERROR(__xludf.DUMMYFUNCTION("""COMPUTED_VALUE"""),"Jaipur")</f>
        <v>Jaipur</v>
      </c>
      <c r="G115" s="1">
        <f>IFERROR(__xludf.DUMMYFUNCTION("""COMPUTED_VALUE"""),74.0)</f>
        <v>74</v>
      </c>
      <c r="H115" s="1">
        <f>IFERROR(__xludf.DUMMYFUNCTION("""COMPUTED_VALUE"""),76.0)</f>
        <v>76</v>
      </c>
      <c r="I115" s="1">
        <f>IFERROR(__xludf.DUMMYFUNCTION("""COMPUTED_VALUE"""),78.0)</f>
        <v>78</v>
      </c>
      <c r="J115" s="1">
        <f>IFERROR(__xludf.DUMMYFUNCTION("""COMPUTED_VALUE"""),54.0)</f>
        <v>54</v>
      </c>
      <c r="K115" s="1">
        <f>IFERROR(__xludf.DUMMYFUNCTION("""COMPUTED_VALUE"""),52.0)</f>
        <v>52</v>
      </c>
      <c r="L115" s="1">
        <f>IFERROR(__xludf.DUMMYFUNCTION("""COMPUTED_VALUE"""),334.0)</f>
        <v>334</v>
      </c>
      <c r="M115" s="1">
        <f>IFERROR(__xludf.DUMMYFUNCTION("""COMPUTED_VALUE"""),66.8)</f>
        <v>66.8</v>
      </c>
      <c r="N115" s="1">
        <f>IFERROR(__xludf.DUMMYFUNCTION("""COMPUTED_VALUE"""),62.0)</f>
        <v>62</v>
      </c>
      <c r="O115" s="1" t="str">
        <f>IFERROR(__xludf.DUMMYFUNCTION("""COMPUTED_VALUE"""),"Pass")</f>
        <v>Pass</v>
      </c>
    </row>
    <row r="116" ht="15.75" customHeight="1">
      <c r="A116" s="1" t="str">
        <f>IFERROR(__xludf.DUMMYFUNCTION("""COMPUTED_VALUE"""),"STD-1325")</f>
        <v>STD-1325</v>
      </c>
      <c r="B116" s="1" t="str">
        <f>IFERROR(__xludf.DUMMYFUNCTION("""COMPUTED_VALUE"""),"Pooja Sharma")</f>
        <v>Pooja Sharma</v>
      </c>
      <c r="C116" s="1" t="str">
        <f>IFERROR(__xludf.DUMMYFUNCTION("""COMPUTED_VALUE"""),"Female")</f>
        <v>Female</v>
      </c>
      <c r="D116" s="1" t="str">
        <f>IFERROR(__xludf.DUMMYFUNCTION("""COMPUTED_VALUE"""),"9")</f>
        <v>9</v>
      </c>
      <c r="E116" s="1" t="str">
        <f>IFERROR(__xludf.DUMMYFUNCTION("""COMPUTED_VALUE"""),"B")</f>
        <v>B</v>
      </c>
      <c r="F116" s="1" t="str">
        <f>IFERROR(__xludf.DUMMYFUNCTION("""COMPUTED_VALUE"""),"Bhopal")</f>
        <v>Bhopal</v>
      </c>
      <c r="G116" s="1">
        <f>IFERROR(__xludf.DUMMYFUNCTION("""COMPUTED_VALUE"""),80.0)</f>
        <v>80</v>
      </c>
      <c r="H116" s="1">
        <f>IFERROR(__xludf.DUMMYFUNCTION("""COMPUTED_VALUE"""),96.0)</f>
        <v>96</v>
      </c>
      <c r="I116" s="1">
        <f>IFERROR(__xludf.DUMMYFUNCTION("""COMPUTED_VALUE"""),51.0)</f>
        <v>51</v>
      </c>
      <c r="J116" s="1">
        <f>IFERROR(__xludf.DUMMYFUNCTION("""COMPUTED_VALUE"""),91.0)</f>
        <v>91</v>
      </c>
      <c r="K116" s="1">
        <f>IFERROR(__xludf.DUMMYFUNCTION("""COMPUTED_VALUE"""),89.0)</f>
        <v>89</v>
      </c>
      <c r="L116" s="1">
        <f>IFERROR(__xludf.DUMMYFUNCTION("""COMPUTED_VALUE"""),407.0)</f>
        <v>407</v>
      </c>
      <c r="M116" s="1">
        <f>IFERROR(__xludf.DUMMYFUNCTION("""COMPUTED_VALUE"""),81.4)</f>
        <v>81.4</v>
      </c>
      <c r="N116" s="1">
        <f>IFERROR(__xludf.DUMMYFUNCTION("""COMPUTED_VALUE"""),68.0)</f>
        <v>68</v>
      </c>
      <c r="O116" s="1" t="str">
        <f>IFERROR(__xludf.DUMMYFUNCTION("""COMPUTED_VALUE"""),"Pass")</f>
        <v>Pass</v>
      </c>
    </row>
    <row r="117" ht="15.75" customHeight="1">
      <c r="A117" s="1" t="str">
        <f>IFERROR(__xludf.DUMMYFUNCTION("""COMPUTED_VALUE"""),"STD-1328")</f>
        <v>STD-1328</v>
      </c>
      <c r="B117" s="1" t="str">
        <f>IFERROR(__xludf.DUMMYFUNCTION("""COMPUTED_VALUE"""),"Tanvi Gupta")</f>
        <v>Tanvi Gupta</v>
      </c>
      <c r="C117" s="1" t="str">
        <f>IFERROR(__xludf.DUMMYFUNCTION("""COMPUTED_VALUE"""),"Male")</f>
        <v>Male</v>
      </c>
      <c r="D117" s="1" t="str">
        <f>IFERROR(__xludf.DUMMYFUNCTION("""COMPUTED_VALUE"""),"8")</f>
        <v>8</v>
      </c>
      <c r="E117" s="1" t="str">
        <f>IFERROR(__xludf.DUMMYFUNCTION("""COMPUTED_VALUE"""),"C")</f>
        <v>C</v>
      </c>
      <c r="F117" s="1" t="str">
        <f>IFERROR(__xludf.DUMMYFUNCTION("""COMPUTED_VALUE"""),"Lucknow")</f>
        <v>Lucknow</v>
      </c>
      <c r="G117" s="1">
        <f>IFERROR(__xludf.DUMMYFUNCTION("""COMPUTED_VALUE"""),94.0)</f>
        <v>94</v>
      </c>
      <c r="H117" s="1">
        <f>IFERROR(__xludf.DUMMYFUNCTION("""COMPUTED_VALUE"""),79.0)</f>
        <v>79</v>
      </c>
      <c r="I117" s="1">
        <f>IFERROR(__xludf.DUMMYFUNCTION("""COMPUTED_VALUE"""),86.0)</f>
        <v>86</v>
      </c>
      <c r="J117" s="1">
        <f>IFERROR(__xludf.DUMMYFUNCTION("""COMPUTED_VALUE"""),71.0)</f>
        <v>71</v>
      </c>
      <c r="K117" s="1">
        <f>IFERROR(__xludf.DUMMYFUNCTION("""COMPUTED_VALUE"""),58.0)</f>
        <v>58</v>
      </c>
      <c r="L117" s="1">
        <f>IFERROR(__xludf.DUMMYFUNCTION("""COMPUTED_VALUE"""),388.0)</f>
        <v>388</v>
      </c>
      <c r="M117" s="1">
        <f>IFERROR(__xludf.DUMMYFUNCTION("""COMPUTED_VALUE"""),77.6)</f>
        <v>77.6</v>
      </c>
      <c r="N117" s="1">
        <f>IFERROR(__xludf.DUMMYFUNCTION("""COMPUTED_VALUE"""),66.0)</f>
        <v>66</v>
      </c>
      <c r="O117" s="1" t="str">
        <f>IFERROR(__xludf.DUMMYFUNCTION("""COMPUTED_VALUE"""),"Pass")</f>
        <v>Pass</v>
      </c>
    </row>
    <row r="118" ht="15.75" customHeight="1">
      <c r="A118" s="1" t="str">
        <f>IFERROR(__xludf.DUMMYFUNCTION("""COMPUTED_VALUE"""),"STD-1329")</f>
        <v>STD-1329</v>
      </c>
      <c r="B118" s="1" t="str">
        <f>IFERROR(__xludf.DUMMYFUNCTION("""COMPUTED_VALUE"""),"Aarav Singh")</f>
        <v>Aarav Singh</v>
      </c>
      <c r="C118" s="1" t="str">
        <f>IFERROR(__xludf.DUMMYFUNCTION("""COMPUTED_VALUE"""),"Female")</f>
        <v>Female</v>
      </c>
      <c r="D118" s="1" t="str">
        <f>IFERROR(__xludf.DUMMYFUNCTION("""COMPUTED_VALUE"""),"9")</f>
        <v>9</v>
      </c>
      <c r="E118" s="1" t="str">
        <f>IFERROR(__xludf.DUMMYFUNCTION("""COMPUTED_VALUE"""),"A")</f>
        <v>A</v>
      </c>
      <c r="F118" s="1" t="str">
        <f>IFERROR(__xludf.DUMMYFUNCTION("""COMPUTED_VALUE"""),"Chandigarh")</f>
        <v>Chandigarh</v>
      </c>
      <c r="G118" s="1">
        <f>IFERROR(__xludf.DUMMYFUNCTION("""COMPUTED_VALUE"""),67.0)</f>
        <v>67</v>
      </c>
      <c r="H118" s="1">
        <f>IFERROR(__xludf.DUMMYFUNCTION("""COMPUTED_VALUE"""),41.0)</f>
        <v>41</v>
      </c>
      <c r="I118" s="1">
        <f>IFERROR(__xludf.DUMMYFUNCTION("""COMPUTED_VALUE"""),98.0)</f>
        <v>98</v>
      </c>
      <c r="J118" s="1">
        <f>IFERROR(__xludf.DUMMYFUNCTION("""COMPUTED_VALUE"""),67.0)</f>
        <v>67</v>
      </c>
      <c r="K118" s="1">
        <f>IFERROR(__xludf.DUMMYFUNCTION("""COMPUTED_VALUE"""),86.0)</f>
        <v>86</v>
      </c>
      <c r="L118" s="1">
        <f>IFERROR(__xludf.DUMMYFUNCTION("""COMPUTED_VALUE"""),359.0)</f>
        <v>359</v>
      </c>
      <c r="M118" s="1">
        <f>IFERROR(__xludf.DUMMYFUNCTION("""COMPUTED_VALUE"""),71.8)</f>
        <v>71.8</v>
      </c>
      <c r="N118" s="1">
        <f>IFERROR(__xludf.DUMMYFUNCTION("""COMPUTED_VALUE"""),68.0)</f>
        <v>68</v>
      </c>
      <c r="O118" s="1" t="str">
        <f>IFERROR(__xludf.DUMMYFUNCTION("""COMPUTED_VALUE"""),"Pass")</f>
        <v>Pass</v>
      </c>
    </row>
    <row r="119" ht="15.75" customHeight="1">
      <c r="A119" s="1" t="str">
        <f>IFERROR(__xludf.DUMMYFUNCTION("""COMPUTED_VALUE"""),"STD-1330")</f>
        <v>STD-1330</v>
      </c>
      <c r="B119" s="1" t="str">
        <f>IFERROR(__xludf.DUMMYFUNCTION("""COMPUTED_VALUE"""),"Pooja Patel")</f>
        <v>Pooja Patel</v>
      </c>
      <c r="C119" s="1" t="str">
        <f>IFERROR(__xludf.DUMMYFUNCTION("""COMPUTED_VALUE"""),"Female")</f>
        <v>Female</v>
      </c>
      <c r="D119" s="1" t="str">
        <f>IFERROR(__xludf.DUMMYFUNCTION("""COMPUTED_VALUE"""),"6")</f>
        <v>6</v>
      </c>
      <c r="E119" s="1" t="str">
        <f>IFERROR(__xludf.DUMMYFUNCTION("""COMPUTED_VALUE"""),"C")</f>
        <v>C</v>
      </c>
      <c r="F119" s="1" t="str">
        <f>IFERROR(__xludf.DUMMYFUNCTION("""COMPUTED_VALUE"""),"Chandigarh")</f>
        <v>Chandigarh</v>
      </c>
      <c r="G119" s="1">
        <f>IFERROR(__xludf.DUMMYFUNCTION("""COMPUTED_VALUE"""),56.0)</f>
        <v>56</v>
      </c>
      <c r="H119" s="1">
        <f>IFERROR(__xludf.DUMMYFUNCTION("""COMPUTED_VALUE"""),59.0)</f>
        <v>59</v>
      </c>
      <c r="I119" s="1">
        <f>IFERROR(__xludf.DUMMYFUNCTION("""COMPUTED_VALUE"""),57.0)</f>
        <v>57</v>
      </c>
      <c r="J119" s="1">
        <f>IFERROR(__xludf.DUMMYFUNCTION("""COMPUTED_VALUE"""),85.0)</f>
        <v>85</v>
      </c>
      <c r="K119" s="1">
        <f>IFERROR(__xludf.DUMMYFUNCTION("""COMPUTED_VALUE"""),87.0)</f>
        <v>87</v>
      </c>
      <c r="L119" s="1">
        <f>IFERROR(__xludf.DUMMYFUNCTION("""COMPUTED_VALUE"""),344.0)</f>
        <v>344</v>
      </c>
      <c r="M119" s="1">
        <f>IFERROR(__xludf.DUMMYFUNCTION("""COMPUTED_VALUE"""),68.8)</f>
        <v>68.8</v>
      </c>
      <c r="N119" s="1">
        <f>IFERROR(__xludf.DUMMYFUNCTION("""COMPUTED_VALUE"""),73.0)</f>
        <v>73</v>
      </c>
      <c r="O119" s="1" t="str">
        <f>IFERROR(__xludf.DUMMYFUNCTION("""COMPUTED_VALUE"""),"Pass")</f>
        <v>Pass</v>
      </c>
    </row>
    <row r="120" ht="15.75" customHeight="1">
      <c r="A120" s="1" t="str">
        <f>IFERROR(__xludf.DUMMYFUNCTION("""COMPUTED_VALUE"""),"STD-1337")</f>
        <v>STD-1337</v>
      </c>
      <c r="B120" s="1" t="str">
        <f>IFERROR(__xludf.DUMMYFUNCTION("""COMPUTED_VALUE"""),"Shreya Singh")</f>
        <v>Shreya Singh</v>
      </c>
      <c r="C120" s="1" t="str">
        <f>IFERROR(__xludf.DUMMYFUNCTION("""COMPUTED_VALUE"""),"Female")</f>
        <v>Female</v>
      </c>
      <c r="D120" s="1" t="str">
        <f>IFERROR(__xludf.DUMMYFUNCTION("""COMPUTED_VALUE"""),"10")</f>
        <v>10</v>
      </c>
      <c r="E120" s="1" t="str">
        <f>IFERROR(__xludf.DUMMYFUNCTION("""COMPUTED_VALUE"""),"B")</f>
        <v>B</v>
      </c>
      <c r="F120" s="1" t="str">
        <f>IFERROR(__xludf.DUMMYFUNCTION("""COMPUTED_VALUE"""),"Chandigarh")</f>
        <v>Chandigarh</v>
      </c>
      <c r="G120" s="1">
        <f>IFERROR(__xludf.DUMMYFUNCTION("""COMPUTED_VALUE"""),77.0)</f>
        <v>77</v>
      </c>
      <c r="H120" s="1">
        <f>IFERROR(__xludf.DUMMYFUNCTION("""COMPUTED_VALUE"""),55.0)</f>
        <v>55</v>
      </c>
      <c r="I120" s="1">
        <f>IFERROR(__xludf.DUMMYFUNCTION("""COMPUTED_VALUE"""),78.0)</f>
        <v>78</v>
      </c>
      <c r="J120" s="1">
        <f>IFERROR(__xludf.DUMMYFUNCTION("""COMPUTED_VALUE"""),74.0)</f>
        <v>74</v>
      </c>
      <c r="K120" s="1">
        <f>IFERROR(__xludf.DUMMYFUNCTION("""COMPUTED_VALUE"""),90.0)</f>
        <v>90</v>
      </c>
      <c r="L120" s="1">
        <f>IFERROR(__xludf.DUMMYFUNCTION("""COMPUTED_VALUE"""),374.0)</f>
        <v>374</v>
      </c>
      <c r="M120" s="1">
        <f>IFERROR(__xludf.DUMMYFUNCTION("""COMPUTED_VALUE"""),74.8)</f>
        <v>74.8</v>
      </c>
      <c r="N120" s="1">
        <f>IFERROR(__xludf.DUMMYFUNCTION("""COMPUTED_VALUE"""),62.0)</f>
        <v>62</v>
      </c>
      <c r="O120" s="1" t="str">
        <f>IFERROR(__xludf.DUMMYFUNCTION("""COMPUTED_VALUE"""),"Pass")</f>
        <v>Pass</v>
      </c>
    </row>
    <row r="121" ht="15.75" customHeight="1">
      <c r="A121" s="1" t="str">
        <f>IFERROR(__xludf.DUMMYFUNCTION("""COMPUTED_VALUE"""),"STD-1344")</f>
        <v>STD-1344</v>
      </c>
      <c r="B121" s="1" t="str">
        <f>IFERROR(__xludf.DUMMYFUNCTION("""COMPUTED_VALUE"""),"Ananya Choudhary")</f>
        <v>Ananya Choudhary</v>
      </c>
      <c r="C121" s="1" t="str">
        <f>IFERROR(__xludf.DUMMYFUNCTION("""COMPUTED_VALUE"""),"Female")</f>
        <v>Female</v>
      </c>
      <c r="D121" s="1" t="str">
        <f>IFERROR(__xludf.DUMMYFUNCTION("""COMPUTED_VALUE"""),"6")</f>
        <v>6</v>
      </c>
      <c r="E121" s="1" t="str">
        <f>IFERROR(__xludf.DUMMYFUNCTION("""COMPUTED_VALUE"""),"A")</f>
        <v>A</v>
      </c>
      <c r="F121" s="1" t="str">
        <f>IFERROR(__xludf.DUMMYFUNCTION("""COMPUTED_VALUE"""),"Patna")</f>
        <v>Patna</v>
      </c>
      <c r="G121" s="1">
        <f>IFERROR(__xludf.DUMMYFUNCTION("""COMPUTED_VALUE"""),53.0)</f>
        <v>53</v>
      </c>
      <c r="H121" s="1">
        <f>IFERROR(__xludf.DUMMYFUNCTION("""COMPUTED_VALUE"""),94.0)</f>
        <v>94</v>
      </c>
      <c r="I121" s="1">
        <f>IFERROR(__xludf.DUMMYFUNCTION("""COMPUTED_VALUE"""),46.0)</f>
        <v>46</v>
      </c>
      <c r="J121" s="1">
        <f>IFERROR(__xludf.DUMMYFUNCTION("""COMPUTED_VALUE"""),53.0)</f>
        <v>53</v>
      </c>
      <c r="K121" s="1">
        <f>IFERROR(__xludf.DUMMYFUNCTION("""COMPUTED_VALUE"""),67.0)</f>
        <v>67</v>
      </c>
      <c r="L121" s="1">
        <f>IFERROR(__xludf.DUMMYFUNCTION("""COMPUTED_VALUE"""),313.0)</f>
        <v>313</v>
      </c>
      <c r="M121" s="1">
        <f>IFERROR(__xludf.DUMMYFUNCTION("""COMPUTED_VALUE"""),62.6)</f>
        <v>62.6</v>
      </c>
      <c r="N121" s="1">
        <f>IFERROR(__xludf.DUMMYFUNCTION("""COMPUTED_VALUE"""),68.0)</f>
        <v>68</v>
      </c>
      <c r="O121" s="1" t="str">
        <f>IFERROR(__xludf.DUMMYFUNCTION("""COMPUTED_VALUE"""),"Pass")</f>
        <v>Pass</v>
      </c>
    </row>
    <row r="122" ht="15.75" customHeight="1">
      <c r="A122" s="1" t="str">
        <f>IFERROR(__xludf.DUMMYFUNCTION("""COMPUTED_VALUE"""),"STD-1347")</f>
        <v>STD-1347</v>
      </c>
      <c r="B122" s="1" t="str">
        <f>IFERROR(__xludf.DUMMYFUNCTION("""COMPUTED_VALUE"""),"Tanvi Kaur")</f>
        <v>Tanvi Kaur</v>
      </c>
      <c r="C122" s="1" t="str">
        <f>IFERROR(__xludf.DUMMYFUNCTION("""COMPUTED_VALUE"""),"Male")</f>
        <v>Male</v>
      </c>
      <c r="D122" s="1" t="str">
        <f>IFERROR(__xludf.DUMMYFUNCTION("""COMPUTED_VALUE"""),"7")</f>
        <v>7</v>
      </c>
      <c r="E122" s="1" t="str">
        <f>IFERROR(__xludf.DUMMYFUNCTION("""COMPUTED_VALUE"""),"A")</f>
        <v>A</v>
      </c>
      <c r="F122" s="1" t="str">
        <f>IFERROR(__xludf.DUMMYFUNCTION("""COMPUTED_VALUE"""),"Lucknow")</f>
        <v>Lucknow</v>
      </c>
      <c r="G122" s="1">
        <f>IFERROR(__xludf.DUMMYFUNCTION("""COMPUTED_VALUE"""),91.0)</f>
        <v>91</v>
      </c>
      <c r="H122" s="1">
        <f>IFERROR(__xludf.DUMMYFUNCTION("""COMPUTED_VALUE"""),44.0)</f>
        <v>44</v>
      </c>
      <c r="I122" s="1">
        <f>IFERROR(__xludf.DUMMYFUNCTION("""COMPUTED_VALUE"""),46.0)</f>
        <v>46</v>
      </c>
      <c r="J122" s="1">
        <f>IFERROR(__xludf.DUMMYFUNCTION("""COMPUTED_VALUE"""),72.0)</f>
        <v>72</v>
      </c>
      <c r="K122" s="1">
        <f>IFERROR(__xludf.DUMMYFUNCTION("""COMPUTED_VALUE"""),51.0)</f>
        <v>51</v>
      </c>
      <c r="L122" s="1">
        <f>IFERROR(__xludf.DUMMYFUNCTION("""COMPUTED_VALUE"""),304.0)</f>
        <v>304</v>
      </c>
      <c r="M122" s="1">
        <f>IFERROR(__xludf.DUMMYFUNCTION("""COMPUTED_VALUE"""),60.8)</f>
        <v>60.8</v>
      </c>
      <c r="N122" s="1">
        <f>IFERROR(__xludf.DUMMYFUNCTION("""COMPUTED_VALUE"""),74.0)</f>
        <v>74</v>
      </c>
      <c r="O122" s="1" t="str">
        <f>IFERROR(__xludf.DUMMYFUNCTION("""COMPUTED_VALUE"""),"Pass")</f>
        <v>Pass</v>
      </c>
    </row>
    <row r="123" ht="15.75" customHeight="1">
      <c r="A123" s="1" t="str">
        <f>IFERROR(__xludf.DUMMYFUNCTION("""COMPUTED_VALUE"""),"STD-1349")</f>
        <v>STD-1349</v>
      </c>
      <c r="B123" s="1" t="str">
        <f>IFERROR(__xludf.DUMMYFUNCTION("""COMPUTED_VALUE"""),"Sneha Verma")</f>
        <v>Sneha Verma</v>
      </c>
      <c r="C123" s="1" t="str">
        <f>IFERROR(__xludf.DUMMYFUNCTION("""COMPUTED_VALUE"""),"Female")</f>
        <v>Female</v>
      </c>
      <c r="D123" s="1" t="str">
        <f>IFERROR(__xludf.DUMMYFUNCTION("""COMPUTED_VALUE"""),"10")</f>
        <v>10</v>
      </c>
      <c r="E123" s="1" t="str">
        <f>IFERROR(__xludf.DUMMYFUNCTION("""COMPUTED_VALUE"""),"C")</f>
        <v>C</v>
      </c>
      <c r="F123" s="1" t="str">
        <f>IFERROR(__xludf.DUMMYFUNCTION("""COMPUTED_VALUE"""),"Lucknow")</f>
        <v>Lucknow</v>
      </c>
      <c r="G123" s="1">
        <f>IFERROR(__xludf.DUMMYFUNCTION("""COMPUTED_VALUE"""),87.0)</f>
        <v>87</v>
      </c>
      <c r="H123" s="1">
        <f>IFERROR(__xludf.DUMMYFUNCTION("""COMPUTED_VALUE"""),70.0)</f>
        <v>70</v>
      </c>
      <c r="I123" s="1">
        <f>IFERROR(__xludf.DUMMYFUNCTION("""COMPUTED_VALUE"""),67.0)</f>
        <v>67</v>
      </c>
      <c r="J123" s="1">
        <f>IFERROR(__xludf.DUMMYFUNCTION("""COMPUTED_VALUE"""),84.0)</f>
        <v>84</v>
      </c>
      <c r="K123" s="1">
        <f>IFERROR(__xludf.DUMMYFUNCTION("""COMPUTED_VALUE"""),42.0)</f>
        <v>42</v>
      </c>
      <c r="L123" s="1">
        <f>IFERROR(__xludf.DUMMYFUNCTION("""COMPUTED_VALUE"""),350.0)</f>
        <v>350</v>
      </c>
      <c r="M123" s="1">
        <f>IFERROR(__xludf.DUMMYFUNCTION("""COMPUTED_VALUE"""),70.0)</f>
        <v>70</v>
      </c>
      <c r="N123" s="1">
        <f>IFERROR(__xludf.DUMMYFUNCTION("""COMPUTED_VALUE"""),65.0)</f>
        <v>65</v>
      </c>
      <c r="O123" s="1" t="str">
        <f>IFERROR(__xludf.DUMMYFUNCTION("""COMPUTED_VALUE"""),"Pass")</f>
        <v>Pass</v>
      </c>
    </row>
    <row r="124" ht="15.75" customHeight="1">
      <c r="A124" s="1" t="str">
        <f>IFERROR(__xludf.DUMMYFUNCTION("""COMPUTED_VALUE"""),"STD-1351")</f>
        <v>STD-1351</v>
      </c>
      <c r="B124" s="1" t="str">
        <f>IFERROR(__xludf.DUMMYFUNCTION("""COMPUTED_VALUE"""),"Kavya Gupta")</f>
        <v>Kavya Gupta</v>
      </c>
      <c r="C124" s="1" t="str">
        <f>IFERROR(__xludf.DUMMYFUNCTION("""COMPUTED_VALUE"""),"Female")</f>
        <v>Female</v>
      </c>
      <c r="D124" s="1" t="str">
        <f>IFERROR(__xludf.DUMMYFUNCTION("""COMPUTED_VALUE"""),"10")</f>
        <v>10</v>
      </c>
      <c r="E124" s="1" t="str">
        <f>IFERROR(__xludf.DUMMYFUNCTION("""COMPUTED_VALUE"""),"C")</f>
        <v>C</v>
      </c>
      <c r="F124" s="1" t="str">
        <f>IFERROR(__xludf.DUMMYFUNCTION("""COMPUTED_VALUE"""),"Delhi")</f>
        <v>Delhi</v>
      </c>
      <c r="G124" s="1">
        <f>IFERROR(__xludf.DUMMYFUNCTION("""COMPUTED_VALUE"""),50.0)</f>
        <v>50</v>
      </c>
      <c r="H124" s="1">
        <f>IFERROR(__xludf.DUMMYFUNCTION("""COMPUTED_VALUE"""),40.0)</f>
        <v>40</v>
      </c>
      <c r="I124" s="1">
        <f>IFERROR(__xludf.DUMMYFUNCTION("""COMPUTED_VALUE"""),50.0)</f>
        <v>50</v>
      </c>
      <c r="J124" s="1">
        <f>IFERROR(__xludf.DUMMYFUNCTION("""COMPUTED_VALUE"""),98.0)</f>
        <v>98</v>
      </c>
      <c r="K124" s="1">
        <f>IFERROR(__xludf.DUMMYFUNCTION("""COMPUTED_VALUE"""),52.0)</f>
        <v>52</v>
      </c>
      <c r="L124" s="1">
        <f>IFERROR(__xludf.DUMMYFUNCTION("""COMPUTED_VALUE"""),290.0)</f>
        <v>290</v>
      </c>
      <c r="M124" s="1">
        <f>IFERROR(__xludf.DUMMYFUNCTION("""COMPUTED_VALUE"""),58.0)</f>
        <v>58</v>
      </c>
      <c r="N124" s="1">
        <f>IFERROR(__xludf.DUMMYFUNCTION("""COMPUTED_VALUE"""),71.0)</f>
        <v>71</v>
      </c>
      <c r="O124" s="1" t="str">
        <f>IFERROR(__xludf.DUMMYFUNCTION("""COMPUTED_VALUE"""),"Pass")</f>
        <v>Pass</v>
      </c>
    </row>
    <row r="125" ht="15.75" customHeight="1">
      <c r="A125" s="1" t="str">
        <f>IFERROR(__xludf.DUMMYFUNCTION("""COMPUTED_VALUE"""),"STD-1354")</f>
        <v>STD-1354</v>
      </c>
      <c r="B125" s="1" t="str">
        <f>IFERROR(__xludf.DUMMYFUNCTION("""COMPUTED_VALUE"""),"Arjun Singh")</f>
        <v>Arjun Singh</v>
      </c>
      <c r="C125" s="1" t="str">
        <f>IFERROR(__xludf.DUMMYFUNCTION("""COMPUTED_VALUE"""),"Female")</f>
        <v>Female</v>
      </c>
      <c r="D125" s="1" t="str">
        <f>IFERROR(__xludf.DUMMYFUNCTION("""COMPUTED_VALUE"""),"6")</f>
        <v>6</v>
      </c>
      <c r="E125" s="1" t="str">
        <f>IFERROR(__xludf.DUMMYFUNCTION("""COMPUTED_VALUE"""),"B")</f>
        <v>B</v>
      </c>
      <c r="F125" s="1" t="str">
        <f>IFERROR(__xludf.DUMMYFUNCTION("""COMPUTED_VALUE"""),"Jaipur")</f>
        <v>Jaipur</v>
      </c>
      <c r="G125" s="1">
        <f>IFERROR(__xludf.DUMMYFUNCTION("""COMPUTED_VALUE"""),98.0)</f>
        <v>98</v>
      </c>
      <c r="H125" s="1">
        <f>IFERROR(__xludf.DUMMYFUNCTION("""COMPUTED_VALUE"""),50.0)</f>
        <v>50</v>
      </c>
      <c r="I125" s="1">
        <f>IFERROR(__xludf.DUMMYFUNCTION("""COMPUTED_VALUE"""),63.0)</f>
        <v>63</v>
      </c>
      <c r="J125" s="1">
        <f>IFERROR(__xludf.DUMMYFUNCTION("""COMPUTED_VALUE"""),46.0)</f>
        <v>46</v>
      </c>
      <c r="K125" s="1">
        <f>IFERROR(__xludf.DUMMYFUNCTION("""COMPUTED_VALUE"""),44.0)</f>
        <v>44</v>
      </c>
      <c r="L125" s="1">
        <f>IFERROR(__xludf.DUMMYFUNCTION("""COMPUTED_VALUE"""),301.0)</f>
        <v>301</v>
      </c>
      <c r="M125" s="1">
        <f>IFERROR(__xludf.DUMMYFUNCTION("""COMPUTED_VALUE"""),60.2)</f>
        <v>60.2</v>
      </c>
      <c r="N125" s="1">
        <f>IFERROR(__xludf.DUMMYFUNCTION("""COMPUTED_VALUE"""),60.0)</f>
        <v>60</v>
      </c>
      <c r="O125" s="1" t="str">
        <f>IFERROR(__xludf.DUMMYFUNCTION("""COMPUTED_VALUE"""),"Pass")</f>
        <v>Pass</v>
      </c>
    </row>
    <row r="126" ht="15.75" customHeight="1">
      <c r="A126" s="1" t="str">
        <f>IFERROR(__xludf.DUMMYFUNCTION("""COMPUTED_VALUE"""),"STD-1362")</f>
        <v>STD-1362</v>
      </c>
      <c r="B126" s="1" t="str">
        <f>IFERROR(__xludf.DUMMYFUNCTION("""COMPUTED_VALUE"""),"Ritika Choudhary")</f>
        <v>Ritika Choudhary</v>
      </c>
      <c r="C126" s="1" t="str">
        <f>IFERROR(__xludf.DUMMYFUNCTION("""COMPUTED_VALUE"""),"Female")</f>
        <v>Female</v>
      </c>
      <c r="D126" s="1" t="str">
        <f>IFERROR(__xludf.DUMMYFUNCTION("""COMPUTED_VALUE"""),"10")</f>
        <v>10</v>
      </c>
      <c r="E126" s="1" t="str">
        <f>IFERROR(__xludf.DUMMYFUNCTION("""COMPUTED_VALUE"""),"B")</f>
        <v>B</v>
      </c>
      <c r="F126" s="1" t="str">
        <f>IFERROR(__xludf.DUMMYFUNCTION("""COMPUTED_VALUE"""),"Lucknow")</f>
        <v>Lucknow</v>
      </c>
      <c r="G126" s="1">
        <f>IFERROR(__xludf.DUMMYFUNCTION("""COMPUTED_VALUE"""),61.0)</f>
        <v>61</v>
      </c>
      <c r="H126" s="1">
        <f>IFERROR(__xludf.DUMMYFUNCTION("""COMPUTED_VALUE"""),69.0)</f>
        <v>69</v>
      </c>
      <c r="I126" s="1">
        <f>IFERROR(__xludf.DUMMYFUNCTION("""COMPUTED_VALUE"""),65.0)</f>
        <v>65</v>
      </c>
      <c r="J126" s="1">
        <f>IFERROR(__xludf.DUMMYFUNCTION("""COMPUTED_VALUE"""),46.0)</f>
        <v>46</v>
      </c>
      <c r="K126" s="1">
        <f>IFERROR(__xludf.DUMMYFUNCTION("""COMPUTED_VALUE"""),41.0)</f>
        <v>41</v>
      </c>
      <c r="L126" s="1">
        <f>IFERROR(__xludf.DUMMYFUNCTION("""COMPUTED_VALUE"""),282.0)</f>
        <v>282</v>
      </c>
      <c r="M126" s="1">
        <f>IFERROR(__xludf.DUMMYFUNCTION("""COMPUTED_VALUE"""),56.4)</f>
        <v>56.4</v>
      </c>
      <c r="N126" s="1">
        <f>IFERROR(__xludf.DUMMYFUNCTION("""COMPUTED_VALUE"""),73.0)</f>
        <v>73</v>
      </c>
      <c r="O126" s="1" t="str">
        <f>IFERROR(__xludf.DUMMYFUNCTION("""COMPUTED_VALUE"""),"Pass")</f>
        <v>Pass</v>
      </c>
    </row>
    <row r="127" ht="15.75" customHeight="1">
      <c r="A127" s="1" t="str">
        <f>IFERROR(__xludf.DUMMYFUNCTION("""COMPUTED_VALUE"""),"STD-1363")</f>
        <v>STD-1363</v>
      </c>
      <c r="B127" s="1" t="str">
        <f>IFERROR(__xludf.DUMMYFUNCTION("""COMPUTED_VALUE"""),"Shreya Kulkarni")</f>
        <v>Shreya Kulkarni</v>
      </c>
      <c r="C127" s="1" t="str">
        <f>IFERROR(__xludf.DUMMYFUNCTION("""COMPUTED_VALUE"""),"Female")</f>
        <v>Female</v>
      </c>
      <c r="D127" s="1" t="str">
        <f>IFERROR(__xludf.DUMMYFUNCTION("""COMPUTED_VALUE"""),"8")</f>
        <v>8</v>
      </c>
      <c r="E127" s="1" t="str">
        <f>IFERROR(__xludf.DUMMYFUNCTION("""COMPUTED_VALUE"""),"A")</f>
        <v>A</v>
      </c>
      <c r="F127" s="1" t="str">
        <f>IFERROR(__xludf.DUMMYFUNCTION("""COMPUTED_VALUE"""),"Delhi")</f>
        <v>Delhi</v>
      </c>
      <c r="G127" s="1">
        <f>IFERROR(__xludf.DUMMYFUNCTION("""COMPUTED_VALUE"""),66.0)</f>
        <v>66</v>
      </c>
      <c r="H127" s="1">
        <f>IFERROR(__xludf.DUMMYFUNCTION("""COMPUTED_VALUE"""),73.0)</f>
        <v>73</v>
      </c>
      <c r="I127" s="1">
        <f>IFERROR(__xludf.DUMMYFUNCTION("""COMPUTED_VALUE"""),73.0)</f>
        <v>73</v>
      </c>
      <c r="J127" s="1">
        <f>IFERROR(__xludf.DUMMYFUNCTION("""COMPUTED_VALUE"""),53.0)</f>
        <v>53</v>
      </c>
      <c r="K127" s="1">
        <f>IFERROR(__xludf.DUMMYFUNCTION("""COMPUTED_VALUE"""),74.0)</f>
        <v>74</v>
      </c>
      <c r="L127" s="1">
        <f>IFERROR(__xludf.DUMMYFUNCTION("""COMPUTED_VALUE"""),339.0)</f>
        <v>339</v>
      </c>
      <c r="M127" s="1">
        <f>IFERROR(__xludf.DUMMYFUNCTION("""COMPUTED_VALUE"""),67.8)</f>
        <v>67.8</v>
      </c>
      <c r="N127" s="1">
        <f>IFERROR(__xludf.DUMMYFUNCTION("""COMPUTED_VALUE"""),67.0)</f>
        <v>67</v>
      </c>
      <c r="O127" s="1" t="str">
        <f>IFERROR(__xludf.DUMMYFUNCTION("""COMPUTED_VALUE"""),"Pass")</f>
        <v>Pass</v>
      </c>
    </row>
    <row r="128" ht="15.75" customHeight="1">
      <c r="A128" s="1" t="str">
        <f>IFERROR(__xludf.DUMMYFUNCTION("""COMPUTED_VALUE"""),"STD-1364")</f>
        <v>STD-1364</v>
      </c>
      <c r="B128" s="1" t="str">
        <f>IFERROR(__xludf.DUMMYFUNCTION("""COMPUTED_VALUE"""),"Priya Verma")</f>
        <v>Priya Verma</v>
      </c>
      <c r="C128" s="1" t="str">
        <f>IFERROR(__xludf.DUMMYFUNCTION("""COMPUTED_VALUE"""),"Male")</f>
        <v>Male</v>
      </c>
      <c r="D128" s="1" t="str">
        <f>IFERROR(__xludf.DUMMYFUNCTION("""COMPUTED_VALUE"""),"8")</f>
        <v>8</v>
      </c>
      <c r="E128" s="1" t="str">
        <f>IFERROR(__xludf.DUMMYFUNCTION("""COMPUTED_VALUE"""),"B")</f>
        <v>B</v>
      </c>
      <c r="F128" s="1" t="str">
        <f>IFERROR(__xludf.DUMMYFUNCTION("""COMPUTED_VALUE"""),"Delhi")</f>
        <v>Delhi</v>
      </c>
      <c r="G128" s="1">
        <f>IFERROR(__xludf.DUMMYFUNCTION("""COMPUTED_VALUE"""),100.0)</f>
        <v>100</v>
      </c>
      <c r="H128" s="1">
        <f>IFERROR(__xludf.DUMMYFUNCTION("""COMPUTED_VALUE"""),78.0)</f>
        <v>78</v>
      </c>
      <c r="I128" s="1">
        <f>IFERROR(__xludf.DUMMYFUNCTION("""COMPUTED_VALUE"""),88.0)</f>
        <v>88</v>
      </c>
      <c r="J128" s="1">
        <f>IFERROR(__xludf.DUMMYFUNCTION("""COMPUTED_VALUE"""),54.0)</f>
        <v>54</v>
      </c>
      <c r="K128" s="1">
        <f>IFERROR(__xludf.DUMMYFUNCTION("""COMPUTED_VALUE"""),97.0)</f>
        <v>97</v>
      </c>
      <c r="L128" s="1">
        <f>IFERROR(__xludf.DUMMYFUNCTION("""COMPUTED_VALUE"""),417.0)</f>
        <v>417</v>
      </c>
      <c r="M128" s="1">
        <f>IFERROR(__xludf.DUMMYFUNCTION("""COMPUTED_VALUE"""),83.4)</f>
        <v>83.4</v>
      </c>
      <c r="N128" s="1">
        <f>IFERROR(__xludf.DUMMYFUNCTION("""COMPUTED_VALUE"""),65.0)</f>
        <v>65</v>
      </c>
      <c r="O128" s="1" t="str">
        <f>IFERROR(__xludf.DUMMYFUNCTION("""COMPUTED_VALUE"""),"Pass")</f>
        <v>Pass</v>
      </c>
    </row>
    <row r="129" ht="15.75" customHeight="1">
      <c r="A129" s="1" t="str">
        <f>IFERROR(__xludf.DUMMYFUNCTION("""COMPUTED_VALUE"""),"STD-1366")</f>
        <v>STD-1366</v>
      </c>
      <c r="B129" s="1" t="str">
        <f>IFERROR(__xludf.DUMMYFUNCTION("""COMPUTED_VALUE"""),"Pooja Verma")</f>
        <v>Pooja Verma</v>
      </c>
      <c r="C129" s="1" t="str">
        <f>IFERROR(__xludf.DUMMYFUNCTION("""COMPUTED_VALUE"""),"Female")</f>
        <v>Female</v>
      </c>
      <c r="D129" s="1" t="str">
        <f>IFERROR(__xludf.DUMMYFUNCTION("""COMPUTED_VALUE"""),"9")</f>
        <v>9</v>
      </c>
      <c r="E129" s="1" t="str">
        <f>IFERROR(__xludf.DUMMYFUNCTION("""COMPUTED_VALUE"""),"A")</f>
        <v>A</v>
      </c>
      <c r="F129" s="1" t="str">
        <f>IFERROR(__xludf.DUMMYFUNCTION("""COMPUTED_VALUE"""),"Jaipur")</f>
        <v>Jaipur</v>
      </c>
      <c r="G129" s="1">
        <f>IFERROR(__xludf.DUMMYFUNCTION("""COMPUTED_VALUE"""),77.0)</f>
        <v>77</v>
      </c>
      <c r="H129" s="1">
        <f>IFERROR(__xludf.DUMMYFUNCTION("""COMPUTED_VALUE"""),83.0)</f>
        <v>83</v>
      </c>
      <c r="I129" s="1">
        <f>IFERROR(__xludf.DUMMYFUNCTION("""COMPUTED_VALUE"""),82.0)</f>
        <v>82</v>
      </c>
      <c r="J129" s="1">
        <f>IFERROR(__xludf.DUMMYFUNCTION("""COMPUTED_VALUE"""),71.0)</f>
        <v>71</v>
      </c>
      <c r="K129" s="1">
        <f>IFERROR(__xludf.DUMMYFUNCTION("""COMPUTED_VALUE"""),88.0)</f>
        <v>88</v>
      </c>
      <c r="L129" s="1">
        <f>IFERROR(__xludf.DUMMYFUNCTION("""COMPUTED_VALUE"""),401.0)</f>
        <v>401</v>
      </c>
      <c r="M129" s="1">
        <f>IFERROR(__xludf.DUMMYFUNCTION("""COMPUTED_VALUE"""),80.2)</f>
        <v>80.2</v>
      </c>
      <c r="N129" s="1">
        <f>IFERROR(__xludf.DUMMYFUNCTION("""COMPUTED_VALUE"""),64.0)</f>
        <v>64</v>
      </c>
      <c r="O129" s="1" t="str">
        <f>IFERROR(__xludf.DUMMYFUNCTION("""COMPUTED_VALUE"""),"Pass")</f>
        <v>Pass</v>
      </c>
    </row>
    <row r="130" ht="15.75" customHeight="1">
      <c r="A130" s="1" t="str">
        <f>IFERROR(__xludf.DUMMYFUNCTION("""COMPUTED_VALUE"""),"STD-1367")</f>
        <v>STD-1367</v>
      </c>
      <c r="B130" s="1" t="str">
        <f>IFERROR(__xludf.DUMMYFUNCTION("""COMPUTED_VALUE"""),"Arjun Sharma")</f>
        <v>Arjun Sharma</v>
      </c>
      <c r="C130" s="1" t="str">
        <f>IFERROR(__xludf.DUMMYFUNCTION("""COMPUTED_VALUE"""),"Male")</f>
        <v>Male</v>
      </c>
      <c r="D130" s="1" t="str">
        <f>IFERROR(__xludf.DUMMYFUNCTION("""COMPUTED_VALUE"""),"8")</f>
        <v>8</v>
      </c>
      <c r="E130" s="1" t="str">
        <f>IFERROR(__xludf.DUMMYFUNCTION("""COMPUTED_VALUE"""),"B")</f>
        <v>B</v>
      </c>
      <c r="F130" s="1" t="str">
        <f>IFERROR(__xludf.DUMMYFUNCTION("""COMPUTED_VALUE"""),"Delhi")</f>
        <v>Delhi</v>
      </c>
      <c r="G130" s="1">
        <f>IFERROR(__xludf.DUMMYFUNCTION("""COMPUTED_VALUE"""),92.0)</f>
        <v>92</v>
      </c>
      <c r="H130" s="1">
        <f>IFERROR(__xludf.DUMMYFUNCTION("""COMPUTED_VALUE"""),57.0)</f>
        <v>57</v>
      </c>
      <c r="I130" s="1">
        <f>IFERROR(__xludf.DUMMYFUNCTION("""COMPUTED_VALUE"""),95.0)</f>
        <v>95</v>
      </c>
      <c r="J130" s="1">
        <f>IFERROR(__xludf.DUMMYFUNCTION("""COMPUTED_VALUE"""),54.0)</f>
        <v>54</v>
      </c>
      <c r="K130" s="1">
        <f>IFERROR(__xludf.DUMMYFUNCTION("""COMPUTED_VALUE"""),87.0)</f>
        <v>87</v>
      </c>
      <c r="L130" s="1">
        <f>IFERROR(__xludf.DUMMYFUNCTION("""COMPUTED_VALUE"""),385.0)</f>
        <v>385</v>
      </c>
      <c r="M130" s="1">
        <f>IFERROR(__xludf.DUMMYFUNCTION("""COMPUTED_VALUE"""),77.0)</f>
        <v>77</v>
      </c>
      <c r="N130" s="1">
        <f>IFERROR(__xludf.DUMMYFUNCTION("""COMPUTED_VALUE"""),60.0)</f>
        <v>60</v>
      </c>
      <c r="O130" s="1" t="str">
        <f>IFERROR(__xludf.DUMMYFUNCTION("""COMPUTED_VALUE"""),"Pass")</f>
        <v>Pass</v>
      </c>
    </row>
    <row r="131" ht="15.75" customHeight="1">
      <c r="A131" s="1" t="str">
        <f>IFERROR(__xludf.DUMMYFUNCTION("""COMPUTED_VALUE"""),"STD-1370")</f>
        <v>STD-1370</v>
      </c>
      <c r="B131" s="1" t="str">
        <f>IFERROR(__xludf.DUMMYFUNCTION("""COMPUTED_VALUE"""),"Arjun Banerjee")</f>
        <v>Arjun Banerjee</v>
      </c>
      <c r="C131" s="1" t="str">
        <f>IFERROR(__xludf.DUMMYFUNCTION("""COMPUTED_VALUE"""),"Female")</f>
        <v>Female</v>
      </c>
      <c r="D131" s="1" t="str">
        <f>IFERROR(__xludf.DUMMYFUNCTION("""COMPUTED_VALUE"""),"7")</f>
        <v>7</v>
      </c>
      <c r="E131" s="1" t="str">
        <f>IFERROR(__xludf.DUMMYFUNCTION("""COMPUTED_VALUE"""),"B")</f>
        <v>B</v>
      </c>
      <c r="F131" s="1" t="str">
        <f>IFERROR(__xludf.DUMMYFUNCTION("""COMPUTED_VALUE"""),"Bhopal")</f>
        <v>Bhopal</v>
      </c>
      <c r="G131" s="1">
        <f>IFERROR(__xludf.DUMMYFUNCTION("""COMPUTED_VALUE"""),80.0)</f>
        <v>80</v>
      </c>
      <c r="H131" s="1">
        <f>IFERROR(__xludf.DUMMYFUNCTION("""COMPUTED_VALUE"""),94.0)</f>
        <v>94</v>
      </c>
      <c r="I131" s="1">
        <f>IFERROR(__xludf.DUMMYFUNCTION("""COMPUTED_VALUE"""),100.0)</f>
        <v>100</v>
      </c>
      <c r="J131" s="1">
        <f>IFERROR(__xludf.DUMMYFUNCTION("""COMPUTED_VALUE"""),71.0)</f>
        <v>71</v>
      </c>
      <c r="K131" s="1">
        <f>IFERROR(__xludf.DUMMYFUNCTION("""COMPUTED_VALUE"""),62.0)</f>
        <v>62</v>
      </c>
      <c r="L131" s="1">
        <f>IFERROR(__xludf.DUMMYFUNCTION("""COMPUTED_VALUE"""),407.0)</f>
        <v>407</v>
      </c>
      <c r="M131" s="1">
        <f>IFERROR(__xludf.DUMMYFUNCTION("""COMPUTED_VALUE"""),81.4)</f>
        <v>81.4</v>
      </c>
      <c r="N131" s="1">
        <f>IFERROR(__xludf.DUMMYFUNCTION("""COMPUTED_VALUE"""),66.0)</f>
        <v>66</v>
      </c>
      <c r="O131" s="1" t="str">
        <f>IFERROR(__xludf.DUMMYFUNCTION("""COMPUTED_VALUE"""),"Pass")</f>
        <v>Pass</v>
      </c>
    </row>
    <row r="132" ht="15.75" customHeight="1">
      <c r="A132" s="1" t="str">
        <f>IFERROR(__xludf.DUMMYFUNCTION("""COMPUTED_VALUE"""),"STD-1372")</f>
        <v>STD-1372</v>
      </c>
      <c r="B132" s="1" t="str">
        <f>IFERROR(__xludf.DUMMYFUNCTION("""COMPUTED_VALUE"""),"Priya Jain")</f>
        <v>Priya Jain</v>
      </c>
      <c r="C132" s="1" t="str">
        <f>IFERROR(__xludf.DUMMYFUNCTION("""COMPUTED_VALUE"""),"Male")</f>
        <v>Male</v>
      </c>
      <c r="D132" s="1" t="str">
        <f>IFERROR(__xludf.DUMMYFUNCTION("""COMPUTED_VALUE"""),"7")</f>
        <v>7</v>
      </c>
      <c r="E132" s="1" t="str">
        <f>IFERROR(__xludf.DUMMYFUNCTION("""COMPUTED_VALUE"""),"C")</f>
        <v>C</v>
      </c>
      <c r="F132" s="1" t="str">
        <f>IFERROR(__xludf.DUMMYFUNCTION("""COMPUTED_VALUE"""),"Jaipur")</f>
        <v>Jaipur</v>
      </c>
      <c r="G132" s="1">
        <f>IFERROR(__xludf.DUMMYFUNCTION("""COMPUTED_VALUE"""),96.0)</f>
        <v>96</v>
      </c>
      <c r="H132" s="1">
        <f>IFERROR(__xludf.DUMMYFUNCTION("""COMPUTED_VALUE"""),84.0)</f>
        <v>84</v>
      </c>
      <c r="I132" s="1">
        <f>IFERROR(__xludf.DUMMYFUNCTION("""COMPUTED_VALUE"""),74.0)</f>
        <v>74</v>
      </c>
      <c r="J132" s="1">
        <f>IFERROR(__xludf.DUMMYFUNCTION("""COMPUTED_VALUE"""),61.0)</f>
        <v>61</v>
      </c>
      <c r="K132" s="1">
        <f>IFERROR(__xludf.DUMMYFUNCTION("""COMPUTED_VALUE"""),80.0)</f>
        <v>80</v>
      </c>
      <c r="L132" s="1">
        <f>IFERROR(__xludf.DUMMYFUNCTION("""COMPUTED_VALUE"""),395.0)</f>
        <v>395</v>
      </c>
      <c r="M132" s="1">
        <f>IFERROR(__xludf.DUMMYFUNCTION("""COMPUTED_VALUE"""),79.0)</f>
        <v>79</v>
      </c>
      <c r="N132" s="1">
        <f>IFERROR(__xludf.DUMMYFUNCTION("""COMPUTED_VALUE"""),60.0)</f>
        <v>60</v>
      </c>
      <c r="O132" s="1" t="str">
        <f>IFERROR(__xludf.DUMMYFUNCTION("""COMPUTED_VALUE"""),"Pass")</f>
        <v>Pass</v>
      </c>
    </row>
    <row r="133" ht="15.75" customHeight="1">
      <c r="A133" s="1" t="str">
        <f>IFERROR(__xludf.DUMMYFUNCTION("""COMPUTED_VALUE"""),"STD-1375")</f>
        <v>STD-1375</v>
      </c>
      <c r="B133" s="1" t="str">
        <f>IFERROR(__xludf.DUMMYFUNCTION("""COMPUTED_VALUE"""),"Karan Kulkarni")</f>
        <v>Karan Kulkarni</v>
      </c>
      <c r="C133" s="1" t="str">
        <f>IFERROR(__xludf.DUMMYFUNCTION("""COMPUTED_VALUE"""),"Female")</f>
        <v>Female</v>
      </c>
      <c r="D133" s="1" t="str">
        <f>IFERROR(__xludf.DUMMYFUNCTION("""COMPUTED_VALUE"""),"7")</f>
        <v>7</v>
      </c>
      <c r="E133" s="1" t="str">
        <f>IFERROR(__xludf.DUMMYFUNCTION("""COMPUTED_VALUE"""),"B")</f>
        <v>B</v>
      </c>
      <c r="F133" s="1" t="str">
        <f>IFERROR(__xludf.DUMMYFUNCTION("""COMPUTED_VALUE"""),"Bhopal")</f>
        <v>Bhopal</v>
      </c>
      <c r="G133" s="1">
        <f>IFERROR(__xludf.DUMMYFUNCTION("""COMPUTED_VALUE"""),66.0)</f>
        <v>66</v>
      </c>
      <c r="H133" s="1">
        <f>IFERROR(__xludf.DUMMYFUNCTION("""COMPUTED_VALUE"""),99.0)</f>
        <v>99</v>
      </c>
      <c r="I133" s="1">
        <f>IFERROR(__xludf.DUMMYFUNCTION("""COMPUTED_VALUE"""),100.0)</f>
        <v>100</v>
      </c>
      <c r="J133" s="1">
        <f>IFERROR(__xludf.DUMMYFUNCTION("""COMPUTED_VALUE"""),71.0)</f>
        <v>71</v>
      </c>
      <c r="K133" s="1">
        <f>IFERROR(__xludf.DUMMYFUNCTION("""COMPUTED_VALUE"""),59.0)</f>
        <v>59</v>
      </c>
      <c r="L133" s="1">
        <f>IFERROR(__xludf.DUMMYFUNCTION("""COMPUTED_VALUE"""),395.0)</f>
        <v>395</v>
      </c>
      <c r="M133" s="1">
        <f>IFERROR(__xludf.DUMMYFUNCTION("""COMPUTED_VALUE"""),79.0)</f>
        <v>79</v>
      </c>
      <c r="N133" s="1">
        <f>IFERROR(__xludf.DUMMYFUNCTION("""COMPUTED_VALUE"""),67.0)</f>
        <v>67</v>
      </c>
      <c r="O133" s="1" t="str">
        <f>IFERROR(__xludf.DUMMYFUNCTION("""COMPUTED_VALUE"""),"Pass")</f>
        <v>Pass</v>
      </c>
    </row>
    <row r="134" ht="15.75" customHeight="1">
      <c r="A134" s="1" t="str">
        <f>IFERROR(__xludf.DUMMYFUNCTION("""COMPUTED_VALUE"""),"STD-1383")</f>
        <v>STD-1383</v>
      </c>
      <c r="B134" s="1" t="str">
        <f>IFERROR(__xludf.DUMMYFUNCTION("""COMPUTED_VALUE"""),"Shreya Das")</f>
        <v>Shreya Das</v>
      </c>
      <c r="C134" s="1" t="str">
        <f>IFERROR(__xludf.DUMMYFUNCTION("""COMPUTED_VALUE"""),"Female")</f>
        <v>Female</v>
      </c>
      <c r="D134" s="1" t="str">
        <f>IFERROR(__xludf.DUMMYFUNCTION("""COMPUTED_VALUE"""),"6")</f>
        <v>6</v>
      </c>
      <c r="E134" s="1" t="str">
        <f>IFERROR(__xludf.DUMMYFUNCTION("""COMPUTED_VALUE"""),"A")</f>
        <v>A</v>
      </c>
      <c r="F134" s="1" t="str">
        <f>IFERROR(__xludf.DUMMYFUNCTION("""COMPUTED_VALUE"""),"Bhopal")</f>
        <v>Bhopal</v>
      </c>
      <c r="G134" s="1">
        <f>IFERROR(__xludf.DUMMYFUNCTION("""COMPUTED_VALUE"""),96.0)</f>
        <v>96</v>
      </c>
      <c r="H134" s="1">
        <f>IFERROR(__xludf.DUMMYFUNCTION("""COMPUTED_VALUE"""),87.0)</f>
        <v>87</v>
      </c>
      <c r="I134" s="1">
        <f>IFERROR(__xludf.DUMMYFUNCTION("""COMPUTED_VALUE"""),77.0)</f>
        <v>77</v>
      </c>
      <c r="J134" s="1">
        <f>IFERROR(__xludf.DUMMYFUNCTION("""COMPUTED_VALUE"""),67.0)</f>
        <v>67</v>
      </c>
      <c r="K134" s="1">
        <f>IFERROR(__xludf.DUMMYFUNCTION("""COMPUTED_VALUE"""),88.0)</f>
        <v>88</v>
      </c>
      <c r="L134" s="1">
        <f>IFERROR(__xludf.DUMMYFUNCTION("""COMPUTED_VALUE"""),415.0)</f>
        <v>415</v>
      </c>
      <c r="M134" s="1">
        <f>IFERROR(__xludf.DUMMYFUNCTION("""COMPUTED_VALUE"""),83.0)</f>
        <v>83</v>
      </c>
      <c r="N134" s="1">
        <f>IFERROR(__xludf.DUMMYFUNCTION("""COMPUTED_VALUE"""),65.0)</f>
        <v>65</v>
      </c>
      <c r="O134" s="1" t="str">
        <f>IFERROR(__xludf.DUMMYFUNCTION("""COMPUTED_VALUE"""),"Pass")</f>
        <v>Pass</v>
      </c>
    </row>
    <row r="135" ht="15.75" customHeight="1">
      <c r="A135" s="1" t="str">
        <f>IFERROR(__xludf.DUMMYFUNCTION("""COMPUTED_VALUE"""),"STD-1385")</f>
        <v>STD-1385</v>
      </c>
      <c r="B135" s="1" t="str">
        <f>IFERROR(__xludf.DUMMYFUNCTION("""COMPUTED_VALUE"""),"Ritika Das")</f>
        <v>Ritika Das</v>
      </c>
      <c r="C135" s="1" t="str">
        <f>IFERROR(__xludf.DUMMYFUNCTION("""COMPUTED_VALUE"""),"Female")</f>
        <v>Female</v>
      </c>
      <c r="D135" s="1" t="str">
        <f>IFERROR(__xludf.DUMMYFUNCTION("""COMPUTED_VALUE"""),"6")</f>
        <v>6</v>
      </c>
      <c r="E135" s="1" t="str">
        <f>IFERROR(__xludf.DUMMYFUNCTION("""COMPUTED_VALUE"""),"B")</f>
        <v>B</v>
      </c>
      <c r="F135" s="1" t="str">
        <f>IFERROR(__xludf.DUMMYFUNCTION("""COMPUTED_VALUE"""),"Delhi")</f>
        <v>Delhi</v>
      </c>
      <c r="G135" s="1">
        <f>IFERROR(__xludf.DUMMYFUNCTION("""COMPUTED_VALUE"""),99.0)</f>
        <v>99</v>
      </c>
      <c r="H135" s="1">
        <f>IFERROR(__xludf.DUMMYFUNCTION("""COMPUTED_VALUE"""),47.0)</f>
        <v>47</v>
      </c>
      <c r="I135" s="1">
        <f>IFERROR(__xludf.DUMMYFUNCTION("""COMPUTED_VALUE"""),60.0)</f>
        <v>60</v>
      </c>
      <c r="J135" s="1">
        <f>IFERROR(__xludf.DUMMYFUNCTION("""COMPUTED_VALUE"""),54.0)</f>
        <v>54</v>
      </c>
      <c r="K135" s="1">
        <f>IFERROR(__xludf.DUMMYFUNCTION("""COMPUTED_VALUE"""),95.0)</f>
        <v>95</v>
      </c>
      <c r="L135" s="1">
        <f>IFERROR(__xludf.DUMMYFUNCTION("""COMPUTED_VALUE"""),355.0)</f>
        <v>355</v>
      </c>
      <c r="M135" s="1">
        <f>IFERROR(__xludf.DUMMYFUNCTION("""COMPUTED_VALUE"""),71.0)</f>
        <v>71</v>
      </c>
      <c r="N135" s="1">
        <f>IFERROR(__xludf.DUMMYFUNCTION("""COMPUTED_VALUE"""),68.0)</f>
        <v>68</v>
      </c>
      <c r="O135" s="1" t="str">
        <f>IFERROR(__xludf.DUMMYFUNCTION("""COMPUTED_VALUE"""),"Pass")</f>
        <v>Pass</v>
      </c>
    </row>
    <row r="136" ht="15.75" customHeight="1">
      <c r="A136" s="1" t="str">
        <f>IFERROR(__xludf.DUMMYFUNCTION("""COMPUTED_VALUE"""),"STD-1387")</f>
        <v>STD-1387</v>
      </c>
      <c r="B136" s="1" t="str">
        <f>IFERROR(__xludf.DUMMYFUNCTION("""COMPUTED_VALUE"""),"Aditya Banerjee")</f>
        <v>Aditya Banerjee</v>
      </c>
      <c r="C136" s="1" t="str">
        <f>IFERROR(__xludf.DUMMYFUNCTION("""COMPUTED_VALUE"""),"Male")</f>
        <v>Male</v>
      </c>
      <c r="D136" s="1" t="str">
        <f>IFERROR(__xludf.DUMMYFUNCTION("""COMPUTED_VALUE"""),"9")</f>
        <v>9</v>
      </c>
      <c r="E136" s="1" t="str">
        <f>IFERROR(__xludf.DUMMYFUNCTION("""COMPUTED_VALUE"""),"A")</f>
        <v>A</v>
      </c>
      <c r="F136" s="1" t="str">
        <f>IFERROR(__xludf.DUMMYFUNCTION("""COMPUTED_VALUE"""),"Kolkata")</f>
        <v>Kolkata</v>
      </c>
      <c r="G136" s="1">
        <f>IFERROR(__xludf.DUMMYFUNCTION("""COMPUTED_VALUE"""),66.0)</f>
        <v>66</v>
      </c>
      <c r="H136" s="1">
        <f>IFERROR(__xludf.DUMMYFUNCTION("""COMPUTED_VALUE"""),56.0)</f>
        <v>56</v>
      </c>
      <c r="I136" s="1">
        <f>IFERROR(__xludf.DUMMYFUNCTION("""COMPUTED_VALUE"""),82.0)</f>
        <v>82</v>
      </c>
      <c r="J136" s="1">
        <f>IFERROR(__xludf.DUMMYFUNCTION("""COMPUTED_VALUE"""),64.0)</f>
        <v>64</v>
      </c>
      <c r="K136" s="1">
        <f>IFERROR(__xludf.DUMMYFUNCTION("""COMPUTED_VALUE"""),79.0)</f>
        <v>79</v>
      </c>
      <c r="L136" s="1">
        <f>IFERROR(__xludf.DUMMYFUNCTION("""COMPUTED_VALUE"""),347.0)</f>
        <v>347</v>
      </c>
      <c r="M136" s="1">
        <f>IFERROR(__xludf.DUMMYFUNCTION("""COMPUTED_VALUE"""),69.4)</f>
        <v>69.4</v>
      </c>
      <c r="N136" s="1">
        <f>IFERROR(__xludf.DUMMYFUNCTION("""COMPUTED_VALUE"""),68.0)</f>
        <v>68</v>
      </c>
      <c r="O136" s="1" t="str">
        <f>IFERROR(__xludf.DUMMYFUNCTION("""COMPUTED_VALUE"""),"Pass")</f>
        <v>Pass</v>
      </c>
    </row>
    <row r="137" ht="15.75" customHeight="1">
      <c r="A137" s="1" t="str">
        <f>IFERROR(__xludf.DUMMYFUNCTION("""COMPUTED_VALUE"""),"STD-1391")</f>
        <v>STD-1391</v>
      </c>
      <c r="B137" s="1" t="str">
        <f>IFERROR(__xludf.DUMMYFUNCTION("""COMPUTED_VALUE"""),"Sneha Jain")</f>
        <v>Sneha Jain</v>
      </c>
      <c r="C137" s="1" t="str">
        <f>IFERROR(__xludf.DUMMYFUNCTION("""COMPUTED_VALUE"""),"Male")</f>
        <v>Male</v>
      </c>
      <c r="D137" s="1" t="str">
        <f>IFERROR(__xludf.DUMMYFUNCTION("""COMPUTED_VALUE"""),"10")</f>
        <v>10</v>
      </c>
      <c r="E137" s="1" t="str">
        <f>IFERROR(__xludf.DUMMYFUNCTION("""COMPUTED_VALUE"""),"C")</f>
        <v>C</v>
      </c>
      <c r="F137" s="1" t="str">
        <f>IFERROR(__xludf.DUMMYFUNCTION("""COMPUTED_VALUE"""),"Kolkata")</f>
        <v>Kolkata</v>
      </c>
      <c r="G137" s="1">
        <f>IFERROR(__xludf.DUMMYFUNCTION("""COMPUTED_VALUE"""),56.0)</f>
        <v>56</v>
      </c>
      <c r="H137" s="1">
        <f>IFERROR(__xludf.DUMMYFUNCTION("""COMPUTED_VALUE"""),62.0)</f>
        <v>62</v>
      </c>
      <c r="I137" s="1">
        <f>IFERROR(__xludf.DUMMYFUNCTION("""COMPUTED_VALUE"""),72.0)</f>
        <v>72</v>
      </c>
      <c r="J137" s="1">
        <f>IFERROR(__xludf.DUMMYFUNCTION("""COMPUTED_VALUE"""),71.0)</f>
        <v>71</v>
      </c>
      <c r="K137" s="1">
        <f>IFERROR(__xludf.DUMMYFUNCTION("""COMPUTED_VALUE"""),45.0)</f>
        <v>45</v>
      </c>
      <c r="L137" s="1">
        <f>IFERROR(__xludf.DUMMYFUNCTION("""COMPUTED_VALUE"""),306.0)</f>
        <v>306</v>
      </c>
      <c r="M137" s="1">
        <f>IFERROR(__xludf.DUMMYFUNCTION("""COMPUTED_VALUE"""),61.2)</f>
        <v>61.2</v>
      </c>
      <c r="N137" s="1">
        <f>IFERROR(__xludf.DUMMYFUNCTION("""COMPUTED_VALUE"""),63.0)</f>
        <v>63</v>
      </c>
      <c r="O137" s="1" t="str">
        <f>IFERROR(__xludf.DUMMYFUNCTION("""COMPUTED_VALUE"""),"Pass")</f>
        <v>Pass</v>
      </c>
    </row>
    <row r="138" ht="15.75" customHeight="1">
      <c r="A138" s="1" t="str">
        <f>IFERROR(__xludf.DUMMYFUNCTION("""COMPUTED_VALUE"""),"STD-1401")</f>
        <v>STD-1401</v>
      </c>
      <c r="B138" s="1" t="str">
        <f>IFERROR(__xludf.DUMMYFUNCTION("""COMPUTED_VALUE"""),"Rohan Das")</f>
        <v>Rohan Das</v>
      </c>
      <c r="C138" s="1" t="str">
        <f>IFERROR(__xludf.DUMMYFUNCTION("""COMPUTED_VALUE"""),"Male")</f>
        <v>Male</v>
      </c>
      <c r="D138" s="1" t="str">
        <f>IFERROR(__xludf.DUMMYFUNCTION("""COMPUTED_VALUE"""),"8")</f>
        <v>8</v>
      </c>
      <c r="E138" s="1" t="str">
        <f>IFERROR(__xludf.DUMMYFUNCTION("""COMPUTED_VALUE"""),"C")</f>
        <v>C</v>
      </c>
      <c r="F138" s="1" t="str">
        <f>IFERROR(__xludf.DUMMYFUNCTION("""COMPUTED_VALUE"""),"Jaipur")</f>
        <v>Jaipur</v>
      </c>
      <c r="G138" s="1">
        <f>IFERROR(__xludf.DUMMYFUNCTION("""COMPUTED_VALUE"""),90.0)</f>
        <v>90</v>
      </c>
      <c r="H138" s="1">
        <f>IFERROR(__xludf.DUMMYFUNCTION("""COMPUTED_VALUE"""),76.0)</f>
        <v>76</v>
      </c>
      <c r="I138" s="1">
        <f>IFERROR(__xludf.DUMMYFUNCTION("""COMPUTED_VALUE"""),70.0)</f>
        <v>70</v>
      </c>
      <c r="J138" s="1">
        <f>IFERROR(__xludf.DUMMYFUNCTION("""COMPUTED_VALUE"""),96.0)</f>
        <v>96</v>
      </c>
      <c r="K138" s="1">
        <f>IFERROR(__xludf.DUMMYFUNCTION("""COMPUTED_VALUE"""),50.0)</f>
        <v>50</v>
      </c>
      <c r="L138" s="1">
        <f>IFERROR(__xludf.DUMMYFUNCTION("""COMPUTED_VALUE"""),382.0)</f>
        <v>382</v>
      </c>
      <c r="M138" s="1">
        <f>IFERROR(__xludf.DUMMYFUNCTION("""COMPUTED_VALUE"""),76.4)</f>
        <v>76.4</v>
      </c>
      <c r="N138" s="1">
        <f>IFERROR(__xludf.DUMMYFUNCTION("""COMPUTED_VALUE"""),71.0)</f>
        <v>71</v>
      </c>
      <c r="O138" s="1" t="str">
        <f>IFERROR(__xludf.DUMMYFUNCTION("""COMPUTED_VALUE"""),"Pass")</f>
        <v>Pass</v>
      </c>
    </row>
    <row r="139" ht="15.75" customHeight="1">
      <c r="A139" s="1" t="str">
        <f>IFERROR(__xludf.DUMMYFUNCTION("""COMPUTED_VALUE"""),"STD-1404")</f>
        <v>STD-1404</v>
      </c>
      <c r="B139" s="1" t="str">
        <f>IFERROR(__xludf.DUMMYFUNCTION("""COMPUTED_VALUE"""),"Vivaan Banerjee")</f>
        <v>Vivaan Banerjee</v>
      </c>
      <c r="C139" s="1" t="str">
        <f>IFERROR(__xludf.DUMMYFUNCTION("""COMPUTED_VALUE"""),"Female")</f>
        <v>Female</v>
      </c>
      <c r="D139" s="1" t="str">
        <f>IFERROR(__xludf.DUMMYFUNCTION("""COMPUTED_VALUE"""),"9")</f>
        <v>9</v>
      </c>
      <c r="E139" s="1" t="str">
        <f>IFERROR(__xludf.DUMMYFUNCTION("""COMPUTED_VALUE"""),"A")</f>
        <v>A</v>
      </c>
      <c r="F139" s="1" t="str">
        <f>IFERROR(__xludf.DUMMYFUNCTION("""COMPUTED_VALUE"""),"Bhopal")</f>
        <v>Bhopal</v>
      </c>
      <c r="G139" s="1">
        <f>IFERROR(__xludf.DUMMYFUNCTION("""COMPUTED_VALUE"""),66.0)</f>
        <v>66</v>
      </c>
      <c r="H139" s="1">
        <f>IFERROR(__xludf.DUMMYFUNCTION("""COMPUTED_VALUE"""),50.0)</f>
        <v>50</v>
      </c>
      <c r="I139" s="1">
        <f>IFERROR(__xludf.DUMMYFUNCTION("""COMPUTED_VALUE"""),72.0)</f>
        <v>72</v>
      </c>
      <c r="J139" s="1">
        <f>IFERROR(__xludf.DUMMYFUNCTION("""COMPUTED_VALUE"""),82.0)</f>
        <v>82</v>
      </c>
      <c r="K139" s="1">
        <f>IFERROR(__xludf.DUMMYFUNCTION("""COMPUTED_VALUE"""),83.0)</f>
        <v>83</v>
      </c>
      <c r="L139" s="1">
        <f>IFERROR(__xludf.DUMMYFUNCTION("""COMPUTED_VALUE"""),353.0)</f>
        <v>353</v>
      </c>
      <c r="M139" s="1">
        <f>IFERROR(__xludf.DUMMYFUNCTION("""COMPUTED_VALUE"""),70.6)</f>
        <v>70.6</v>
      </c>
      <c r="N139" s="1">
        <f>IFERROR(__xludf.DUMMYFUNCTION("""COMPUTED_VALUE"""),74.0)</f>
        <v>74</v>
      </c>
      <c r="O139" s="1" t="str">
        <f>IFERROR(__xludf.DUMMYFUNCTION("""COMPUTED_VALUE"""),"Pass")</f>
        <v>Pass</v>
      </c>
    </row>
    <row r="140" ht="15.75" customHeight="1">
      <c r="A140" s="1" t="str">
        <f>IFERROR(__xludf.DUMMYFUNCTION("""COMPUTED_VALUE"""),"STD-1405")</f>
        <v>STD-1405</v>
      </c>
      <c r="B140" s="1" t="str">
        <f>IFERROR(__xludf.DUMMYFUNCTION("""COMPUTED_VALUE"""),"Sneha Singh")</f>
        <v>Sneha Singh</v>
      </c>
      <c r="C140" s="1" t="str">
        <f>IFERROR(__xludf.DUMMYFUNCTION("""COMPUTED_VALUE"""),"Male")</f>
        <v>Male</v>
      </c>
      <c r="D140" s="1" t="str">
        <f>IFERROR(__xludf.DUMMYFUNCTION("""COMPUTED_VALUE"""),"7")</f>
        <v>7</v>
      </c>
      <c r="E140" s="1" t="str">
        <f>IFERROR(__xludf.DUMMYFUNCTION("""COMPUTED_VALUE"""),"A")</f>
        <v>A</v>
      </c>
      <c r="F140" s="1" t="str">
        <f>IFERROR(__xludf.DUMMYFUNCTION("""COMPUTED_VALUE"""),"Lucknow")</f>
        <v>Lucknow</v>
      </c>
      <c r="G140" s="1">
        <f>IFERROR(__xludf.DUMMYFUNCTION("""COMPUTED_VALUE"""),53.0)</f>
        <v>53</v>
      </c>
      <c r="H140" s="1">
        <f>IFERROR(__xludf.DUMMYFUNCTION("""COMPUTED_VALUE"""),99.0)</f>
        <v>99</v>
      </c>
      <c r="I140" s="1">
        <f>IFERROR(__xludf.DUMMYFUNCTION("""COMPUTED_VALUE"""),49.0)</f>
        <v>49</v>
      </c>
      <c r="J140" s="1">
        <f>IFERROR(__xludf.DUMMYFUNCTION("""COMPUTED_VALUE"""),86.0)</f>
        <v>86</v>
      </c>
      <c r="K140" s="1">
        <f>IFERROR(__xludf.DUMMYFUNCTION("""COMPUTED_VALUE"""),91.0)</f>
        <v>91</v>
      </c>
      <c r="L140" s="1">
        <f>IFERROR(__xludf.DUMMYFUNCTION("""COMPUTED_VALUE"""),378.0)</f>
        <v>378</v>
      </c>
      <c r="M140" s="1">
        <f>IFERROR(__xludf.DUMMYFUNCTION("""COMPUTED_VALUE"""),75.6)</f>
        <v>75.6</v>
      </c>
      <c r="N140" s="1">
        <f>IFERROR(__xludf.DUMMYFUNCTION("""COMPUTED_VALUE"""),66.0)</f>
        <v>66</v>
      </c>
      <c r="O140" s="1" t="str">
        <f>IFERROR(__xludf.DUMMYFUNCTION("""COMPUTED_VALUE"""),"Pass")</f>
        <v>Pass</v>
      </c>
    </row>
    <row r="141" ht="15.75" customHeight="1">
      <c r="A141" s="1" t="str">
        <f>IFERROR(__xludf.DUMMYFUNCTION("""COMPUTED_VALUE"""),"STD-1407")</f>
        <v>STD-1407</v>
      </c>
      <c r="B141" s="1" t="str">
        <f>IFERROR(__xludf.DUMMYFUNCTION("""COMPUTED_VALUE"""),"Karan Sharma")</f>
        <v>Karan Sharma</v>
      </c>
      <c r="C141" s="1" t="str">
        <f>IFERROR(__xludf.DUMMYFUNCTION("""COMPUTED_VALUE"""),"Female")</f>
        <v>Female</v>
      </c>
      <c r="D141" s="1" t="str">
        <f>IFERROR(__xludf.DUMMYFUNCTION("""COMPUTED_VALUE"""),"6")</f>
        <v>6</v>
      </c>
      <c r="E141" s="1" t="str">
        <f>IFERROR(__xludf.DUMMYFUNCTION("""COMPUTED_VALUE"""),"C")</f>
        <v>C</v>
      </c>
      <c r="F141" s="1" t="str">
        <f>IFERROR(__xludf.DUMMYFUNCTION("""COMPUTED_VALUE"""),"Jaipur")</f>
        <v>Jaipur</v>
      </c>
      <c r="G141" s="1">
        <f>IFERROR(__xludf.DUMMYFUNCTION("""COMPUTED_VALUE"""),100.0)</f>
        <v>100</v>
      </c>
      <c r="H141" s="1">
        <f>IFERROR(__xludf.DUMMYFUNCTION("""COMPUTED_VALUE"""),92.0)</f>
        <v>92</v>
      </c>
      <c r="I141" s="1">
        <f>IFERROR(__xludf.DUMMYFUNCTION("""COMPUTED_VALUE"""),94.0)</f>
        <v>94</v>
      </c>
      <c r="J141" s="1">
        <f>IFERROR(__xludf.DUMMYFUNCTION("""COMPUTED_VALUE"""),64.0)</f>
        <v>64</v>
      </c>
      <c r="K141" s="1">
        <f>IFERROR(__xludf.DUMMYFUNCTION("""COMPUTED_VALUE"""),79.0)</f>
        <v>79</v>
      </c>
      <c r="L141" s="1">
        <f>IFERROR(__xludf.DUMMYFUNCTION("""COMPUTED_VALUE"""),429.0)</f>
        <v>429</v>
      </c>
      <c r="M141" s="1">
        <f>IFERROR(__xludf.DUMMYFUNCTION("""COMPUTED_VALUE"""),85.8)</f>
        <v>85.8</v>
      </c>
      <c r="N141" s="1">
        <f>IFERROR(__xludf.DUMMYFUNCTION("""COMPUTED_VALUE"""),68.0)</f>
        <v>68</v>
      </c>
      <c r="O141" s="1" t="str">
        <f>IFERROR(__xludf.DUMMYFUNCTION("""COMPUTED_VALUE"""),"Pass")</f>
        <v>Pass</v>
      </c>
    </row>
    <row r="142" ht="15.75" customHeight="1">
      <c r="A142" s="1" t="str">
        <f>IFERROR(__xludf.DUMMYFUNCTION("""COMPUTED_VALUE"""),"STD-1408")</f>
        <v>STD-1408</v>
      </c>
      <c r="B142" s="1" t="str">
        <f>IFERROR(__xludf.DUMMYFUNCTION("""COMPUTED_VALUE"""),"Ritika Banerjee")</f>
        <v>Ritika Banerjee</v>
      </c>
      <c r="C142" s="1" t="str">
        <f>IFERROR(__xludf.DUMMYFUNCTION("""COMPUTED_VALUE"""),"Male")</f>
        <v>Male</v>
      </c>
      <c r="D142" s="1" t="str">
        <f>IFERROR(__xludf.DUMMYFUNCTION("""COMPUTED_VALUE"""),"6")</f>
        <v>6</v>
      </c>
      <c r="E142" s="1" t="str">
        <f>IFERROR(__xludf.DUMMYFUNCTION("""COMPUTED_VALUE"""),"A")</f>
        <v>A</v>
      </c>
      <c r="F142" s="1" t="str">
        <f>IFERROR(__xludf.DUMMYFUNCTION("""COMPUTED_VALUE"""),"Mumbai")</f>
        <v>Mumbai</v>
      </c>
      <c r="G142" s="1">
        <f>IFERROR(__xludf.DUMMYFUNCTION("""COMPUTED_VALUE"""),40.0)</f>
        <v>40</v>
      </c>
      <c r="H142" s="1">
        <f>IFERROR(__xludf.DUMMYFUNCTION("""COMPUTED_VALUE"""),80.0)</f>
        <v>80</v>
      </c>
      <c r="I142" s="1">
        <f>IFERROR(__xludf.DUMMYFUNCTION("""COMPUTED_VALUE"""),97.0)</f>
        <v>97</v>
      </c>
      <c r="J142" s="1">
        <f>IFERROR(__xludf.DUMMYFUNCTION("""COMPUTED_VALUE"""),94.0)</f>
        <v>94</v>
      </c>
      <c r="K142" s="1">
        <f>IFERROR(__xludf.DUMMYFUNCTION("""COMPUTED_VALUE"""),96.0)</f>
        <v>96</v>
      </c>
      <c r="L142" s="1">
        <f>IFERROR(__xludf.DUMMYFUNCTION("""COMPUTED_VALUE"""),407.0)</f>
        <v>407</v>
      </c>
      <c r="M142" s="1">
        <f>IFERROR(__xludf.DUMMYFUNCTION("""COMPUTED_VALUE"""),81.4)</f>
        <v>81.4</v>
      </c>
      <c r="N142" s="1">
        <f>IFERROR(__xludf.DUMMYFUNCTION("""COMPUTED_VALUE"""),74.0)</f>
        <v>74</v>
      </c>
      <c r="O142" s="1" t="str">
        <f>IFERROR(__xludf.DUMMYFUNCTION("""COMPUTED_VALUE"""),"Pass")</f>
        <v>Pass</v>
      </c>
    </row>
    <row r="143" ht="15.75" customHeight="1">
      <c r="A143" s="1" t="str">
        <f>IFERROR(__xludf.DUMMYFUNCTION("""COMPUTED_VALUE"""),"STD-1410")</f>
        <v>STD-1410</v>
      </c>
      <c r="B143" s="1" t="str">
        <f>IFERROR(__xludf.DUMMYFUNCTION("""COMPUTED_VALUE"""),"Arjun Yadav")</f>
        <v>Arjun Yadav</v>
      </c>
      <c r="C143" s="1" t="str">
        <f>IFERROR(__xludf.DUMMYFUNCTION("""COMPUTED_VALUE"""),"Male")</f>
        <v>Male</v>
      </c>
      <c r="D143" s="1" t="str">
        <f>IFERROR(__xludf.DUMMYFUNCTION("""COMPUTED_VALUE"""),"7")</f>
        <v>7</v>
      </c>
      <c r="E143" s="1" t="str">
        <f>IFERROR(__xludf.DUMMYFUNCTION("""COMPUTED_VALUE"""),"A")</f>
        <v>A</v>
      </c>
      <c r="F143" s="1" t="str">
        <f>IFERROR(__xludf.DUMMYFUNCTION("""COMPUTED_VALUE"""),"Chandigarh")</f>
        <v>Chandigarh</v>
      </c>
      <c r="G143" s="1">
        <f>IFERROR(__xludf.DUMMYFUNCTION("""COMPUTED_VALUE"""),94.0)</f>
        <v>94</v>
      </c>
      <c r="H143" s="1">
        <f>IFERROR(__xludf.DUMMYFUNCTION("""COMPUTED_VALUE"""),70.0)</f>
        <v>70</v>
      </c>
      <c r="I143" s="1">
        <f>IFERROR(__xludf.DUMMYFUNCTION("""COMPUTED_VALUE"""),55.0)</f>
        <v>55</v>
      </c>
      <c r="J143" s="1">
        <f>IFERROR(__xludf.DUMMYFUNCTION("""COMPUTED_VALUE"""),91.0)</f>
        <v>91</v>
      </c>
      <c r="K143" s="1">
        <f>IFERROR(__xludf.DUMMYFUNCTION("""COMPUTED_VALUE"""),87.0)</f>
        <v>87</v>
      </c>
      <c r="L143" s="1">
        <f>IFERROR(__xludf.DUMMYFUNCTION("""COMPUTED_VALUE"""),397.0)</f>
        <v>397</v>
      </c>
      <c r="M143" s="1">
        <f>IFERROR(__xludf.DUMMYFUNCTION("""COMPUTED_VALUE"""),79.4)</f>
        <v>79.4</v>
      </c>
      <c r="N143" s="1">
        <f>IFERROR(__xludf.DUMMYFUNCTION("""COMPUTED_VALUE"""),62.0)</f>
        <v>62</v>
      </c>
      <c r="O143" s="1" t="str">
        <f>IFERROR(__xludf.DUMMYFUNCTION("""COMPUTED_VALUE"""),"Pass")</f>
        <v>Pass</v>
      </c>
    </row>
    <row r="144" ht="15.75" customHeight="1">
      <c r="A144" s="1" t="str">
        <f>IFERROR(__xludf.DUMMYFUNCTION("""COMPUTED_VALUE"""),"STD-1412")</f>
        <v>STD-1412</v>
      </c>
      <c r="B144" s="1" t="str">
        <f>IFERROR(__xludf.DUMMYFUNCTION("""COMPUTED_VALUE"""),"Aarav Verma")</f>
        <v>Aarav Verma</v>
      </c>
      <c r="C144" s="1" t="str">
        <f>IFERROR(__xludf.DUMMYFUNCTION("""COMPUTED_VALUE"""),"Male")</f>
        <v>Male</v>
      </c>
      <c r="D144" s="1" t="str">
        <f>IFERROR(__xludf.DUMMYFUNCTION("""COMPUTED_VALUE"""),"8")</f>
        <v>8</v>
      </c>
      <c r="E144" s="1" t="str">
        <f>IFERROR(__xludf.DUMMYFUNCTION("""COMPUTED_VALUE"""),"A")</f>
        <v>A</v>
      </c>
      <c r="F144" s="1" t="str">
        <f>IFERROR(__xludf.DUMMYFUNCTION("""COMPUTED_VALUE"""),"Chandigarh")</f>
        <v>Chandigarh</v>
      </c>
      <c r="G144" s="1">
        <f>IFERROR(__xludf.DUMMYFUNCTION("""COMPUTED_VALUE"""),40.0)</f>
        <v>40</v>
      </c>
      <c r="H144" s="1">
        <f>IFERROR(__xludf.DUMMYFUNCTION("""COMPUTED_VALUE"""),57.0)</f>
        <v>57</v>
      </c>
      <c r="I144" s="1">
        <f>IFERROR(__xludf.DUMMYFUNCTION("""COMPUTED_VALUE"""),62.0)</f>
        <v>62</v>
      </c>
      <c r="J144" s="1">
        <f>IFERROR(__xludf.DUMMYFUNCTION("""COMPUTED_VALUE"""),43.0)</f>
        <v>43</v>
      </c>
      <c r="K144" s="1">
        <f>IFERROR(__xludf.DUMMYFUNCTION("""COMPUTED_VALUE"""),70.0)</f>
        <v>70</v>
      </c>
      <c r="L144" s="1">
        <f>IFERROR(__xludf.DUMMYFUNCTION("""COMPUTED_VALUE"""),272.0)</f>
        <v>272</v>
      </c>
      <c r="M144" s="1">
        <f>IFERROR(__xludf.DUMMYFUNCTION("""COMPUTED_VALUE"""),54.4)</f>
        <v>54.4</v>
      </c>
      <c r="N144" s="1">
        <f>IFERROR(__xludf.DUMMYFUNCTION("""COMPUTED_VALUE"""),60.0)</f>
        <v>60</v>
      </c>
      <c r="O144" s="1" t="str">
        <f>IFERROR(__xludf.DUMMYFUNCTION("""COMPUTED_VALUE"""),"Pass")</f>
        <v>Pass</v>
      </c>
    </row>
    <row r="145" ht="15.75" customHeight="1">
      <c r="A145" s="1" t="str">
        <f>IFERROR(__xludf.DUMMYFUNCTION("""COMPUTED_VALUE"""),"STD-1417")</f>
        <v>STD-1417</v>
      </c>
      <c r="B145" s="1" t="str">
        <f>IFERROR(__xludf.DUMMYFUNCTION("""COMPUTED_VALUE"""),"Arjun Patel")</f>
        <v>Arjun Patel</v>
      </c>
      <c r="C145" s="1" t="str">
        <f>IFERROR(__xludf.DUMMYFUNCTION("""COMPUTED_VALUE"""),"Male")</f>
        <v>Male</v>
      </c>
      <c r="D145" s="1" t="str">
        <f>IFERROR(__xludf.DUMMYFUNCTION("""COMPUTED_VALUE"""),"8")</f>
        <v>8</v>
      </c>
      <c r="E145" s="1" t="str">
        <f>IFERROR(__xludf.DUMMYFUNCTION("""COMPUTED_VALUE"""),"B")</f>
        <v>B</v>
      </c>
      <c r="F145" s="1" t="str">
        <f>IFERROR(__xludf.DUMMYFUNCTION("""COMPUTED_VALUE"""),"Delhi")</f>
        <v>Delhi</v>
      </c>
      <c r="G145" s="1">
        <f>IFERROR(__xludf.DUMMYFUNCTION("""COMPUTED_VALUE"""),40.0)</f>
        <v>40</v>
      </c>
      <c r="H145" s="1">
        <f>IFERROR(__xludf.DUMMYFUNCTION("""COMPUTED_VALUE"""),76.0)</f>
        <v>76</v>
      </c>
      <c r="I145" s="1">
        <f>IFERROR(__xludf.DUMMYFUNCTION("""COMPUTED_VALUE"""),98.0)</f>
        <v>98</v>
      </c>
      <c r="J145" s="1">
        <f>IFERROR(__xludf.DUMMYFUNCTION("""COMPUTED_VALUE"""),80.0)</f>
        <v>80</v>
      </c>
      <c r="K145" s="1">
        <f>IFERROR(__xludf.DUMMYFUNCTION("""COMPUTED_VALUE"""),46.0)</f>
        <v>46</v>
      </c>
      <c r="L145" s="1">
        <f>IFERROR(__xludf.DUMMYFUNCTION("""COMPUTED_VALUE"""),340.0)</f>
        <v>340</v>
      </c>
      <c r="M145" s="1">
        <f>IFERROR(__xludf.DUMMYFUNCTION("""COMPUTED_VALUE"""),68.0)</f>
        <v>68</v>
      </c>
      <c r="N145" s="1">
        <f>IFERROR(__xludf.DUMMYFUNCTION("""COMPUTED_VALUE"""),72.0)</f>
        <v>72</v>
      </c>
      <c r="O145" s="1" t="str">
        <f>IFERROR(__xludf.DUMMYFUNCTION("""COMPUTED_VALUE"""),"Pass")</f>
        <v>Pass</v>
      </c>
    </row>
    <row r="146" ht="15.75" customHeight="1">
      <c r="A146" s="1" t="str">
        <f>IFERROR(__xludf.DUMMYFUNCTION("""COMPUTED_VALUE"""),"STD-1428")</f>
        <v>STD-1428</v>
      </c>
      <c r="B146" s="1" t="str">
        <f>IFERROR(__xludf.DUMMYFUNCTION("""COMPUTED_VALUE"""),"Meera Kulkarni")</f>
        <v>Meera Kulkarni</v>
      </c>
      <c r="C146" s="1" t="str">
        <f>IFERROR(__xludf.DUMMYFUNCTION("""COMPUTED_VALUE"""),"Male")</f>
        <v>Male</v>
      </c>
      <c r="D146" s="1" t="str">
        <f>IFERROR(__xludf.DUMMYFUNCTION("""COMPUTED_VALUE"""),"10")</f>
        <v>10</v>
      </c>
      <c r="E146" s="1" t="str">
        <f>IFERROR(__xludf.DUMMYFUNCTION("""COMPUTED_VALUE"""),"C")</f>
        <v>C</v>
      </c>
      <c r="F146" s="1" t="str">
        <f>IFERROR(__xludf.DUMMYFUNCTION("""COMPUTED_VALUE"""),"Lucknow")</f>
        <v>Lucknow</v>
      </c>
      <c r="G146" s="1">
        <f>IFERROR(__xludf.DUMMYFUNCTION("""COMPUTED_VALUE"""),83.0)</f>
        <v>83</v>
      </c>
      <c r="H146" s="1">
        <f>IFERROR(__xludf.DUMMYFUNCTION("""COMPUTED_VALUE"""),86.0)</f>
        <v>86</v>
      </c>
      <c r="I146" s="1">
        <f>IFERROR(__xludf.DUMMYFUNCTION("""COMPUTED_VALUE"""),51.0)</f>
        <v>51</v>
      </c>
      <c r="J146" s="1">
        <f>IFERROR(__xludf.DUMMYFUNCTION("""COMPUTED_VALUE"""),84.0)</f>
        <v>84</v>
      </c>
      <c r="K146" s="1">
        <f>IFERROR(__xludf.DUMMYFUNCTION("""COMPUTED_VALUE"""),85.0)</f>
        <v>85</v>
      </c>
      <c r="L146" s="1">
        <f>IFERROR(__xludf.DUMMYFUNCTION("""COMPUTED_VALUE"""),389.0)</f>
        <v>389</v>
      </c>
      <c r="M146" s="1">
        <f>IFERROR(__xludf.DUMMYFUNCTION("""COMPUTED_VALUE"""),77.8)</f>
        <v>77.8</v>
      </c>
      <c r="N146" s="1">
        <f>IFERROR(__xludf.DUMMYFUNCTION("""COMPUTED_VALUE"""),61.0)</f>
        <v>61</v>
      </c>
      <c r="O146" s="1" t="str">
        <f>IFERROR(__xludf.DUMMYFUNCTION("""COMPUTED_VALUE"""),"Pass")</f>
        <v>Pass</v>
      </c>
    </row>
    <row r="147" ht="15.75" customHeight="1">
      <c r="A147" s="1" t="str">
        <f>IFERROR(__xludf.DUMMYFUNCTION("""COMPUTED_VALUE"""),"STD-1436")</f>
        <v>STD-1436</v>
      </c>
      <c r="B147" s="1" t="str">
        <f>IFERROR(__xludf.DUMMYFUNCTION("""COMPUTED_VALUE"""),"Sneha Reddy")</f>
        <v>Sneha Reddy</v>
      </c>
      <c r="C147" s="1" t="str">
        <f>IFERROR(__xludf.DUMMYFUNCTION("""COMPUTED_VALUE"""),"Male")</f>
        <v>Male</v>
      </c>
      <c r="D147" s="1" t="str">
        <f>IFERROR(__xludf.DUMMYFUNCTION("""COMPUTED_VALUE"""),"8")</f>
        <v>8</v>
      </c>
      <c r="E147" s="1" t="str">
        <f>IFERROR(__xludf.DUMMYFUNCTION("""COMPUTED_VALUE"""),"C")</f>
        <v>C</v>
      </c>
      <c r="F147" s="1" t="str">
        <f>IFERROR(__xludf.DUMMYFUNCTION("""COMPUTED_VALUE"""),"Mumbai")</f>
        <v>Mumbai</v>
      </c>
      <c r="G147" s="1">
        <f>IFERROR(__xludf.DUMMYFUNCTION("""COMPUTED_VALUE"""),70.0)</f>
        <v>70</v>
      </c>
      <c r="H147" s="1">
        <f>IFERROR(__xludf.DUMMYFUNCTION("""COMPUTED_VALUE"""),70.0)</f>
        <v>70</v>
      </c>
      <c r="I147" s="1">
        <f>IFERROR(__xludf.DUMMYFUNCTION("""COMPUTED_VALUE"""),86.0)</f>
        <v>86</v>
      </c>
      <c r="J147" s="1">
        <f>IFERROR(__xludf.DUMMYFUNCTION("""COMPUTED_VALUE"""),41.0)</f>
        <v>41</v>
      </c>
      <c r="K147" s="1">
        <f>IFERROR(__xludf.DUMMYFUNCTION("""COMPUTED_VALUE"""),96.0)</f>
        <v>96</v>
      </c>
      <c r="L147" s="1">
        <f>IFERROR(__xludf.DUMMYFUNCTION("""COMPUTED_VALUE"""),363.0)</f>
        <v>363</v>
      </c>
      <c r="M147" s="1">
        <f>IFERROR(__xludf.DUMMYFUNCTION("""COMPUTED_VALUE"""),72.6)</f>
        <v>72.6</v>
      </c>
      <c r="N147" s="1">
        <f>IFERROR(__xludf.DUMMYFUNCTION("""COMPUTED_VALUE"""),68.0)</f>
        <v>68</v>
      </c>
      <c r="O147" s="1" t="str">
        <f>IFERROR(__xludf.DUMMYFUNCTION("""COMPUTED_VALUE"""),"Pass")</f>
        <v>Pass</v>
      </c>
    </row>
    <row r="148" ht="15.75" customHeight="1">
      <c r="A148" s="1" t="str">
        <f>IFERROR(__xludf.DUMMYFUNCTION("""COMPUTED_VALUE"""),"STD-1439")</f>
        <v>STD-1439</v>
      </c>
      <c r="B148" s="1" t="str">
        <f>IFERROR(__xludf.DUMMYFUNCTION("""COMPUTED_VALUE"""),"Ritika Banerjee")</f>
        <v>Ritika Banerjee</v>
      </c>
      <c r="C148" s="1" t="str">
        <f>IFERROR(__xludf.DUMMYFUNCTION("""COMPUTED_VALUE"""),"Male")</f>
        <v>Male</v>
      </c>
      <c r="D148" s="1" t="str">
        <f>IFERROR(__xludf.DUMMYFUNCTION("""COMPUTED_VALUE"""),"9")</f>
        <v>9</v>
      </c>
      <c r="E148" s="1" t="str">
        <f>IFERROR(__xludf.DUMMYFUNCTION("""COMPUTED_VALUE"""),"C")</f>
        <v>C</v>
      </c>
      <c r="F148" s="1" t="str">
        <f>IFERROR(__xludf.DUMMYFUNCTION("""COMPUTED_VALUE"""),"Mumbai")</f>
        <v>Mumbai</v>
      </c>
      <c r="G148" s="1">
        <f>IFERROR(__xludf.DUMMYFUNCTION("""COMPUTED_VALUE"""),41.0)</f>
        <v>41</v>
      </c>
      <c r="H148" s="1">
        <f>IFERROR(__xludf.DUMMYFUNCTION("""COMPUTED_VALUE"""),92.0)</f>
        <v>92</v>
      </c>
      <c r="I148" s="1">
        <f>IFERROR(__xludf.DUMMYFUNCTION("""COMPUTED_VALUE"""),48.0)</f>
        <v>48</v>
      </c>
      <c r="J148" s="1">
        <f>IFERROR(__xludf.DUMMYFUNCTION("""COMPUTED_VALUE"""),40.0)</f>
        <v>40</v>
      </c>
      <c r="K148" s="1">
        <f>IFERROR(__xludf.DUMMYFUNCTION("""COMPUTED_VALUE"""),49.0)</f>
        <v>49</v>
      </c>
      <c r="L148" s="1">
        <f>IFERROR(__xludf.DUMMYFUNCTION("""COMPUTED_VALUE"""),270.0)</f>
        <v>270</v>
      </c>
      <c r="M148" s="1">
        <f>IFERROR(__xludf.DUMMYFUNCTION("""COMPUTED_VALUE"""),54.0)</f>
        <v>54</v>
      </c>
      <c r="N148" s="1">
        <f>IFERROR(__xludf.DUMMYFUNCTION("""COMPUTED_VALUE"""),68.0)</f>
        <v>68</v>
      </c>
      <c r="O148" s="1" t="str">
        <f>IFERROR(__xludf.DUMMYFUNCTION("""COMPUTED_VALUE"""),"Pass")</f>
        <v>Pass</v>
      </c>
    </row>
    <row r="149" ht="15.75" customHeight="1">
      <c r="A149" s="1" t="str">
        <f>IFERROR(__xludf.DUMMYFUNCTION("""COMPUTED_VALUE"""),"STD-1440")</f>
        <v>STD-1440</v>
      </c>
      <c r="B149" s="1" t="str">
        <f>IFERROR(__xludf.DUMMYFUNCTION("""COMPUTED_VALUE"""),"Pooja Kulkarni")</f>
        <v>Pooja Kulkarni</v>
      </c>
      <c r="C149" s="1" t="str">
        <f>IFERROR(__xludf.DUMMYFUNCTION("""COMPUTED_VALUE"""),"Male")</f>
        <v>Male</v>
      </c>
      <c r="D149" s="1" t="str">
        <f>IFERROR(__xludf.DUMMYFUNCTION("""COMPUTED_VALUE"""),"9")</f>
        <v>9</v>
      </c>
      <c r="E149" s="1" t="str">
        <f>IFERROR(__xludf.DUMMYFUNCTION("""COMPUTED_VALUE"""),"C")</f>
        <v>C</v>
      </c>
      <c r="F149" s="1" t="str">
        <f>IFERROR(__xludf.DUMMYFUNCTION("""COMPUTED_VALUE"""),"Chandigarh")</f>
        <v>Chandigarh</v>
      </c>
      <c r="G149" s="1">
        <f>IFERROR(__xludf.DUMMYFUNCTION("""COMPUTED_VALUE"""),50.0)</f>
        <v>50</v>
      </c>
      <c r="H149" s="1">
        <f>IFERROR(__xludf.DUMMYFUNCTION("""COMPUTED_VALUE"""),90.0)</f>
        <v>90</v>
      </c>
      <c r="I149" s="1">
        <f>IFERROR(__xludf.DUMMYFUNCTION("""COMPUTED_VALUE"""),88.0)</f>
        <v>88</v>
      </c>
      <c r="J149" s="1">
        <f>IFERROR(__xludf.DUMMYFUNCTION("""COMPUTED_VALUE"""),82.0)</f>
        <v>82</v>
      </c>
      <c r="K149" s="1">
        <f>IFERROR(__xludf.DUMMYFUNCTION("""COMPUTED_VALUE"""),64.0)</f>
        <v>64</v>
      </c>
      <c r="L149" s="1">
        <f>IFERROR(__xludf.DUMMYFUNCTION("""COMPUTED_VALUE"""),374.0)</f>
        <v>374</v>
      </c>
      <c r="M149" s="1">
        <f>IFERROR(__xludf.DUMMYFUNCTION("""COMPUTED_VALUE"""),74.8)</f>
        <v>74.8</v>
      </c>
      <c r="N149" s="1">
        <f>IFERROR(__xludf.DUMMYFUNCTION("""COMPUTED_VALUE"""),64.0)</f>
        <v>64</v>
      </c>
      <c r="O149" s="1" t="str">
        <f>IFERROR(__xludf.DUMMYFUNCTION("""COMPUTED_VALUE"""),"Pass")</f>
        <v>Pass</v>
      </c>
    </row>
    <row r="150" ht="15.75" customHeight="1">
      <c r="A150" s="1" t="str">
        <f>IFERROR(__xludf.DUMMYFUNCTION("""COMPUTED_VALUE"""),"STD-1444")</f>
        <v>STD-1444</v>
      </c>
      <c r="B150" s="1" t="str">
        <f>IFERROR(__xludf.DUMMYFUNCTION("""COMPUTED_VALUE"""),"Simran Singh")</f>
        <v>Simran Singh</v>
      </c>
      <c r="C150" s="1" t="str">
        <f>IFERROR(__xludf.DUMMYFUNCTION("""COMPUTED_VALUE"""),"Male")</f>
        <v>Male</v>
      </c>
      <c r="D150" s="1" t="str">
        <f>IFERROR(__xludf.DUMMYFUNCTION("""COMPUTED_VALUE"""),"10")</f>
        <v>10</v>
      </c>
      <c r="E150" s="1" t="str">
        <f>IFERROR(__xludf.DUMMYFUNCTION("""COMPUTED_VALUE"""),"A")</f>
        <v>A</v>
      </c>
      <c r="F150" s="1" t="str">
        <f>IFERROR(__xludf.DUMMYFUNCTION("""COMPUTED_VALUE"""),"Lucknow")</f>
        <v>Lucknow</v>
      </c>
      <c r="G150" s="1">
        <f>IFERROR(__xludf.DUMMYFUNCTION("""COMPUTED_VALUE"""),54.0)</f>
        <v>54</v>
      </c>
      <c r="H150" s="1">
        <f>IFERROR(__xludf.DUMMYFUNCTION("""COMPUTED_VALUE"""),61.0)</f>
        <v>61</v>
      </c>
      <c r="I150" s="1">
        <f>IFERROR(__xludf.DUMMYFUNCTION("""COMPUTED_VALUE"""),64.0)</f>
        <v>64</v>
      </c>
      <c r="J150" s="1">
        <f>IFERROR(__xludf.DUMMYFUNCTION("""COMPUTED_VALUE"""),61.0)</f>
        <v>61</v>
      </c>
      <c r="K150" s="1">
        <f>IFERROR(__xludf.DUMMYFUNCTION("""COMPUTED_VALUE"""),42.0)</f>
        <v>42</v>
      </c>
      <c r="L150" s="1">
        <f>IFERROR(__xludf.DUMMYFUNCTION("""COMPUTED_VALUE"""),282.0)</f>
        <v>282</v>
      </c>
      <c r="M150" s="1">
        <f>IFERROR(__xludf.DUMMYFUNCTION("""COMPUTED_VALUE"""),56.4)</f>
        <v>56.4</v>
      </c>
      <c r="N150" s="1">
        <f>IFERROR(__xludf.DUMMYFUNCTION("""COMPUTED_VALUE"""),64.0)</f>
        <v>64</v>
      </c>
      <c r="O150" s="1" t="str">
        <f>IFERROR(__xludf.DUMMYFUNCTION("""COMPUTED_VALUE"""),"Pass")</f>
        <v>Pass</v>
      </c>
    </row>
    <row r="151" ht="15.75" customHeight="1">
      <c r="A151" s="1" t="str">
        <f>IFERROR(__xludf.DUMMYFUNCTION("""COMPUTED_VALUE"""),"STD-1445")</f>
        <v>STD-1445</v>
      </c>
      <c r="B151" s="1" t="str">
        <f>IFERROR(__xludf.DUMMYFUNCTION("""COMPUTED_VALUE"""),"Priya Reddy")</f>
        <v>Priya Reddy</v>
      </c>
      <c r="C151" s="1" t="str">
        <f>IFERROR(__xludf.DUMMYFUNCTION("""COMPUTED_VALUE"""),"Female")</f>
        <v>Female</v>
      </c>
      <c r="D151" s="1" t="str">
        <f>IFERROR(__xludf.DUMMYFUNCTION("""COMPUTED_VALUE"""),"9")</f>
        <v>9</v>
      </c>
      <c r="E151" s="1" t="str">
        <f>IFERROR(__xludf.DUMMYFUNCTION("""COMPUTED_VALUE"""),"C")</f>
        <v>C</v>
      </c>
      <c r="F151" s="1" t="str">
        <f>IFERROR(__xludf.DUMMYFUNCTION("""COMPUTED_VALUE"""),"Patna")</f>
        <v>Patna</v>
      </c>
      <c r="G151" s="1">
        <f>IFERROR(__xludf.DUMMYFUNCTION("""COMPUTED_VALUE"""),77.0)</f>
        <v>77</v>
      </c>
      <c r="H151" s="1">
        <f>IFERROR(__xludf.DUMMYFUNCTION("""COMPUTED_VALUE"""),93.0)</f>
        <v>93</v>
      </c>
      <c r="I151" s="1">
        <f>IFERROR(__xludf.DUMMYFUNCTION("""COMPUTED_VALUE"""),98.0)</f>
        <v>98</v>
      </c>
      <c r="J151" s="1">
        <f>IFERROR(__xludf.DUMMYFUNCTION("""COMPUTED_VALUE"""),93.0)</f>
        <v>93</v>
      </c>
      <c r="K151" s="1">
        <f>IFERROR(__xludf.DUMMYFUNCTION("""COMPUTED_VALUE"""),58.0)</f>
        <v>58</v>
      </c>
      <c r="L151" s="1">
        <f>IFERROR(__xludf.DUMMYFUNCTION("""COMPUTED_VALUE"""),419.0)</f>
        <v>419</v>
      </c>
      <c r="M151" s="1">
        <f>IFERROR(__xludf.DUMMYFUNCTION("""COMPUTED_VALUE"""),83.8)</f>
        <v>83.8</v>
      </c>
      <c r="N151" s="1">
        <f>IFERROR(__xludf.DUMMYFUNCTION("""COMPUTED_VALUE"""),71.0)</f>
        <v>71</v>
      </c>
      <c r="O151" s="1" t="str">
        <f>IFERROR(__xludf.DUMMYFUNCTION("""COMPUTED_VALUE"""),"Pass")</f>
        <v>Pass</v>
      </c>
    </row>
    <row r="152" ht="15.75" customHeight="1">
      <c r="A152" s="1" t="str">
        <f>IFERROR(__xludf.DUMMYFUNCTION("""COMPUTED_VALUE"""),"STD-1447")</f>
        <v>STD-1447</v>
      </c>
      <c r="B152" s="1" t="str">
        <f>IFERROR(__xludf.DUMMYFUNCTION("""COMPUTED_VALUE"""),"Simran Das")</f>
        <v>Simran Das</v>
      </c>
      <c r="C152" s="1" t="str">
        <f>IFERROR(__xludf.DUMMYFUNCTION("""COMPUTED_VALUE"""),"Male")</f>
        <v>Male</v>
      </c>
      <c r="D152" s="1" t="str">
        <f>IFERROR(__xludf.DUMMYFUNCTION("""COMPUTED_VALUE"""),"9")</f>
        <v>9</v>
      </c>
      <c r="E152" s="1" t="str">
        <f>IFERROR(__xludf.DUMMYFUNCTION("""COMPUTED_VALUE"""),"C")</f>
        <v>C</v>
      </c>
      <c r="F152" s="1" t="str">
        <f>IFERROR(__xludf.DUMMYFUNCTION("""COMPUTED_VALUE"""),"Patna")</f>
        <v>Patna</v>
      </c>
      <c r="G152" s="1">
        <f>IFERROR(__xludf.DUMMYFUNCTION("""COMPUTED_VALUE"""),95.0)</f>
        <v>95</v>
      </c>
      <c r="H152" s="1">
        <f>IFERROR(__xludf.DUMMYFUNCTION("""COMPUTED_VALUE"""),87.0)</f>
        <v>87</v>
      </c>
      <c r="I152" s="1">
        <f>IFERROR(__xludf.DUMMYFUNCTION("""COMPUTED_VALUE"""),54.0)</f>
        <v>54</v>
      </c>
      <c r="J152" s="1">
        <f>IFERROR(__xludf.DUMMYFUNCTION("""COMPUTED_VALUE"""),48.0)</f>
        <v>48</v>
      </c>
      <c r="K152" s="1">
        <f>IFERROR(__xludf.DUMMYFUNCTION("""COMPUTED_VALUE"""),52.0)</f>
        <v>52</v>
      </c>
      <c r="L152" s="1">
        <f>IFERROR(__xludf.DUMMYFUNCTION("""COMPUTED_VALUE"""),336.0)</f>
        <v>336</v>
      </c>
      <c r="M152" s="1">
        <f>IFERROR(__xludf.DUMMYFUNCTION("""COMPUTED_VALUE"""),67.2)</f>
        <v>67.2</v>
      </c>
      <c r="N152" s="1">
        <f>IFERROR(__xludf.DUMMYFUNCTION("""COMPUTED_VALUE"""),73.0)</f>
        <v>73</v>
      </c>
      <c r="O152" s="1" t="str">
        <f>IFERROR(__xludf.DUMMYFUNCTION("""COMPUTED_VALUE"""),"Pass")</f>
        <v>Pass</v>
      </c>
    </row>
    <row r="153" ht="15.75" customHeight="1">
      <c r="A153" s="1" t="str">
        <f>IFERROR(__xludf.DUMMYFUNCTION("""COMPUTED_VALUE"""),"STD-1450")</f>
        <v>STD-1450</v>
      </c>
      <c r="B153" s="1" t="str">
        <f>IFERROR(__xludf.DUMMYFUNCTION("""COMPUTED_VALUE"""),"Karan Jain")</f>
        <v>Karan Jain</v>
      </c>
      <c r="C153" s="1" t="str">
        <f>IFERROR(__xludf.DUMMYFUNCTION("""COMPUTED_VALUE"""),"Male")</f>
        <v>Male</v>
      </c>
      <c r="D153" s="1" t="str">
        <f>IFERROR(__xludf.DUMMYFUNCTION("""COMPUTED_VALUE"""),"9")</f>
        <v>9</v>
      </c>
      <c r="E153" s="1" t="str">
        <f>IFERROR(__xludf.DUMMYFUNCTION("""COMPUTED_VALUE"""),"A")</f>
        <v>A</v>
      </c>
      <c r="F153" s="1" t="str">
        <f>IFERROR(__xludf.DUMMYFUNCTION("""COMPUTED_VALUE"""),"Patna")</f>
        <v>Patna</v>
      </c>
      <c r="G153" s="1">
        <f>IFERROR(__xludf.DUMMYFUNCTION("""COMPUTED_VALUE"""),75.0)</f>
        <v>75</v>
      </c>
      <c r="H153" s="1">
        <f>IFERROR(__xludf.DUMMYFUNCTION("""COMPUTED_VALUE"""),72.0)</f>
        <v>72</v>
      </c>
      <c r="I153" s="1">
        <f>IFERROR(__xludf.DUMMYFUNCTION("""COMPUTED_VALUE"""),41.0)</f>
        <v>41</v>
      </c>
      <c r="J153" s="1">
        <f>IFERROR(__xludf.DUMMYFUNCTION("""COMPUTED_VALUE"""),83.0)</f>
        <v>83</v>
      </c>
      <c r="K153" s="1">
        <f>IFERROR(__xludf.DUMMYFUNCTION("""COMPUTED_VALUE"""),62.0)</f>
        <v>62</v>
      </c>
      <c r="L153" s="1">
        <f>IFERROR(__xludf.DUMMYFUNCTION("""COMPUTED_VALUE"""),333.0)</f>
        <v>333</v>
      </c>
      <c r="M153" s="1">
        <f>IFERROR(__xludf.DUMMYFUNCTION("""COMPUTED_VALUE"""),66.6)</f>
        <v>66.6</v>
      </c>
      <c r="N153" s="1">
        <f>IFERROR(__xludf.DUMMYFUNCTION("""COMPUTED_VALUE"""),70.0)</f>
        <v>70</v>
      </c>
      <c r="O153" s="1" t="str">
        <f>IFERROR(__xludf.DUMMYFUNCTION("""COMPUTED_VALUE"""),"Pass")</f>
        <v>Pass</v>
      </c>
    </row>
    <row r="154" ht="15.75" customHeight="1">
      <c r="A154" s="1" t="str">
        <f>IFERROR(__xludf.DUMMYFUNCTION("""COMPUTED_VALUE"""),"STD-1451")</f>
        <v>STD-1451</v>
      </c>
      <c r="B154" s="1" t="str">
        <f>IFERROR(__xludf.DUMMYFUNCTION("""COMPUTED_VALUE"""),"Tanvi Das")</f>
        <v>Tanvi Das</v>
      </c>
      <c r="C154" s="1" t="str">
        <f>IFERROR(__xludf.DUMMYFUNCTION("""COMPUTED_VALUE"""),"Female")</f>
        <v>Female</v>
      </c>
      <c r="D154" s="1" t="str">
        <f>IFERROR(__xludf.DUMMYFUNCTION("""COMPUTED_VALUE"""),"10")</f>
        <v>10</v>
      </c>
      <c r="E154" s="1" t="str">
        <f>IFERROR(__xludf.DUMMYFUNCTION("""COMPUTED_VALUE"""),"A")</f>
        <v>A</v>
      </c>
      <c r="F154" s="1" t="str">
        <f>IFERROR(__xludf.DUMMYFUNCTION("""COMPUTED_VALUE"""),"Chandigarh")</f>
        <v>Chandigarh</v>
      </c>
      <c r="G154" s="1">
        <f>IFERROR(__xludf.DUMMYFUNCTION("""COMPUTED_VALUE"""),83.0)</f>
        <v>83</v>
      </c>
      <c r="H154" s="1">
        <f>IFERROR(__xludf.DUMMYFUNCTION("""COMPUTED_VALUE"""),64.0)</f>
        <v>64</v>
      </c>
      <c r="I154" s="1">
        <f>IFERROR(__xludf.DUMMYFUNCTION("""COMPUTED_VALUE"""),40.0)</f>
        <v>40</v>
      </c>
      <c r="J154" s="1">
        <f>IFERROR(__xludf.DUMMYFUNCTION("""COMPUTED_VALUE"""),76.0)</f>
        <v>76</v>
      </c>
      <c r="K154" s="1">
        <f>IFERROR(__xludf.DUMMYFUNCTION("""COMPUTED_VALUE"""),75.0)</f>
        <v>75</v>
      </c>
      <c r="L154" s="1">
        <f>IFERROR(__xludf.DUMMYFUNCTION("""COMPUTED_VALUE"""),338.0)</f>
        <v>338</v>
      </c>
      <c r="M154" s="1">
        <f>IFERROR(__xludf.DUMMYFUNCTION("""COMPUTED_VALUE"""),67.6)</f>
        <v>67.6</v>
      </c>
      <c r="N154" s="1">
        <f>IFERROR(__xludf.DUMMYFUNCTION("""COMPUTED_VALUE"""),69.0)</f>
        <v>69</v>
      </c>
      <c r="O154" s="1" t="str">
        <f>IFERROR(__xludf.DUMMYFUNCTION("""COMPUTED_VALUE"""),"Pass")</f>
        <v>Pass</v>
      </c>
    </row>
    <row r="155" ht="15.75" customHeight="1">
      <c r="A155" s="1" t="str">
        <f>IFERROR(__xludf.DUMMYFUNCTION("""COMPUTED_VALUE"""),"STD-1457")</f>
        <v>STD-1457</v>
      </c>
      <c r="B155" s="1" t="str">
        <f>IFERROR(__xludf.DUMMYFUNCTION("""COMPUTED_VALUE"""),"Neha Das")</f>
        <v>Neha Das</v>
      </c>
      <c r="C155" s="1" t="str">
        <f>IFERROR(__xludf.DUMMYFUNCTION("""COMPUTED_VALUE"""),"Male")</f>
        <v>Male</v>
      </c>
      <c r="D155" s="1" t="str">
        <f>IFERROR(__xludf.DUMMYFUNCTION("""COMPUTED_VALUE"""),"9")</f>
        <v>9</v>
      </c>
      <c r="E155" s="1" t="str">
        <f>IFERROR(__xludf.DUMMYFUNCTION("""COMPUTED_VALUE"""),"A")</f>
        <v>A</v>
      </c>
      <c r="F155" s="1" t="str">
        <f>IFERROR(__xludf.DUMMYFUNCTION("""COMPUTED_VALUE"""),"Chandigarh")</f>
        <v>Chandigarh</v>
      </c>
      <c r="G155" s="1">
        <f>IFERROR(__xludf.DUMMYFUNCTION("""COMPUTED_VALUE"""),73.0)</f>
        <v>73</v>
      </c>
      <c r="H155" s="1">
        <f>IFERROR(__xludf.DUMMYFUNCTION("""COMPUTED_VALUE"""),50.0)</f>
        <v>50</v>
      </c>
      <c r="I155" s="1">
        <f>IFERROR(__xludf.DUMMYFUNCTION("""COMPUTED_VALUE"""),80.0)</f>
        <v>80</v>
      </c>
      <c r="J155" s="1">
        <f>IFERROR(__xludf.DUMMYFUNCTION("""COMPUTED_VALUE"""),83.0)</f>
        <v>83</v>
      </c>
      <c r="K155" s="1">
        <f>IFERROR(__xludf.DUMMYFUNCTION("""COMPUTED_VALUE"""),85.0)</f>
        <v>85</v>
      </c>
      <c r="L155" s="1">
        <f>IFERROR(__xludf.DUMMYFUNCTION("""COMPUTED_VALUE"""),371.0)</f>
        <v>371</v>
      </c>
      <c r="M155" s="1">
        <f>IFERROR(__xludf.DUMMYFUNCTION("""COMPUTED_VALUE"""),74.2)</f>
        <v>74.2</v>
      </c>
      <c r="N155" s="1">
        <f>IFERROR(__xludf.DUMMYFUNCTION("""COMPUTED_VALUE"""),64.0)</f>
        <v>64</v>
      </c>
      <c r="O155" s="1" t="str">
        <f>IFERROR(__xludf.DUMMYFUNCTION("""COMPUTED_VALUE"""),"Pass")</f>
        <v>Pass</v>
      </c>
    </row>
    <row r="156" ht="15.75" customHeight="1">
      <c r="A156" s="1" t="str">
        <f>IFERROR(__xludf.DUMMYFUNCTION("""COMPUTED_VALUE"""),"STD-1458")</f>
        <v>STD-1458</v>
      </c>
      <c r="B156" s="1" t="str">
        <f>IFERROR(__xludf.DUMMYFUNCTION("""COMPUTED_VALUE"""),"Aditya Choudhary")</f>
        <v>Aditya Choudhary</v>
      </c>
      <c r="C156" s="1" t="str">
        <f>IFERROR(__xludf.DUMMYFUNCTION("""COMPUTED_VALUE"""),"Female")</f>
        <v>Female</v>
      </c>
      <c r="D156" s="1" t="str">
        <f>IFERROR(__xludf.DUMMYFUNCTION("""COMPUTED_VALUE"""),"10")</f>
        <v>10</v>
      </c>
      <c r="E156" s="1" t="str">
        <f>IFERROR(__xludf.DUMMYFUNCTION("""COMPUTED_VALUE"""),"C")</f>
        <v>C</v>
      </c>
      <c r="F156" s="1" t="str">
        <f>IFERROR(__xludf.DUMMYFUNCTION("""COMPUTED_VALUE"""),"Bhopal")</f>
        <v>Bhopal</v>
      </c>
      <c r="G156" s="1">
        <f>IFERROR(__xludf.DUMMYFUNCTION("""COMPUTED_VALUE"""),49.0)</f>
        <v>49</v>
      </c>
      <c r="H156" s="1">
        <f>IFERROR(__xludf.DUMMYFUNCTION("""COMPUTED_VALUE"""),83.0)</f>
        <v>83</v>
      </c>
      <c r="I156" s="1">
        <f>IFERROR(__xludf.DUMMYFUNCTION("""COMPUTED_VALUE"""),68.0)</f>
        <v>68</v>
      </c>
      <c r="J156" s="1">
        <f>IFERROR(__xludf.DUMMYFUNCTION("""COMPUTED_VALUE"""),69.0)</f>
        <v>69</v>
      </c>
      <c r="K156" s="1">
        <f>IFERROR(__xludf.DUMMYFUNCTION("""COMPUTED_VALUE"""),93.0)</f>
        <v>93</v>
      </c>
      <c r="L156" s="1">
        <f>IFERROR(__xludf.DUMMYFUNCTION("""COMPUTED_VALUE"""),362.0)</f>
        <v>362</v>
      </c>
      <c r="M156" s="1">
        <f>IFERROR(__xludf.DUMMYFUNCTION("""COMPUTED_VALUE"""),72.4)</f>
        <v>72.4</v>
      </c>
      <c r="N156" s="1">
        <f>IFERROR(__xludf.DUMMYFUNCTION("""COMPUTED_VALUE"""),72.0)</f>
        <v>72</v>
      </c>
      <c r="O156" s="1" t="str">
        <f>IFERROR(__xludf.DUMMYFUNCTION("""COMPUTED_VALUE"""),"Pass")</f>
        <v>Pass</v>
      </c>
    </row>
    <row r="157" ht="15.75" customHeight="1">
      <c r="A157" s="1" t="str">
        <f>IFERROR(__xludf.DUMMYFUNCTION("""COMPUTED_VALUE"""),"STD-1459")</f>
        <v>STD-1459</v>
      </c>
      <c r="B157" s="1" t="str">
        <f>IFERROR(__xludf.DUMMYFUNCTION("""COMPUTED_VALUE"""),"Pooja Kulkarni")</f>
        <v>Pooja Kulkarni</v>
      </c>
      <c r="C157" s="1" t="str">
        <f>IFERROR(__xludf.DUMMYFUNCTION("""COMPUTED_VALUE"""),"Female")</f>
        <v>Female</v>
      </c>
      <c r="D157" s="1" t="str">
        <f>IFERROR(__xludf.DUMMYFUNCTION("""COMPUTED_VALUE"""),"6")</f>
        <v>6</v>
      </c>
      <c r="E157" s="1" t="str">
        <f>IFERROR(__xludf.DUMMYFUNCTION("""COMPUTED_VALUE"""),"B")</f>
        <v>B</v>
      </c>
      <c r="F157" s="1" t="str">
        <f>IFERROR(__xludf.DUMMYFUNCTION("""COMPUTED_VALUE"""),"Patna")</f>
        <v>Patna</v>
      </c>
      <c r="G157" s="1">
        <f>IFERROR(__xludf.DUMMYFUNCTION("""COMPUTED_VALUE"""),85.0)</f>
        <v>85</v>
      </c>
      <c r="H157" s="1">
        <f>IFERROR(__xludf.DUMMYFUNCTION("""COMPUTED_VALUE"""),52.0)</f>
        <v>52</v>
      </c>
      <c r="I157" s="1">
        <f>IFERROR(__xludf.DUMMYFUNCTION("""COMPUTED_VALUE"""),48.0)</f>
        <v>48</v>
      </c>
      <c r="J157" s="1">
        <f>IFERROR(__xludf.DUMMYFUNCTION("""COMPUTED_VALUE"""),54.0)</f>
        <v>54</v>
      </c>
      <c r="K157" s="1">
        <f>IFERROR(__xludf.DUMMYFUNCTION("""COMPUTED_VALUE"""),52.0)</f>
        <v>52</v>
      </c>
      <c r="L157" s="1">
        <f>IFERROR(__xludf.DUMMYFUNCTION("""COMPUTED_VALUE"""),291.0)</f>
        <v>291</v>
      </c>
      <c r="M157" s="1">
        <f>IFERROR(__xludf.DUMMYFUNCTION("""COMPUTED_VALUE"""),58.2)</f>
        <v>58.2</v>
      </c>
      <c r="N157" s="1">
        <f>IFERROR(__xludf.DUMMYFUNCTION("""COMPUTED_VALUE"""),66.0)</f>
        <v>66</v>
      </c>
      <c r="O157" s="1" t="str">
        <f>IFERROR(__xludf.DUMMYFUNCTION("""COMPUTED_VALUE"""),"Pass")</f>
        <v>Pass</v>
      </c>
    </row>
    <row r="158" ht="15.75" customHeight="1">
      <c r="A158" s="1" t="str">
        <f>IFERROR(__xludf.DUMMYFUNCTION("""COMPUTED_VALUE"""),"STD-1462")</f>
        <v>STD-1462</v>
      </c>
      <c r="B158" s="1" t="str">
        <f>IFERROR(__xludf.DUMMYFUNCTION("""COMPUTED_VALUE"""),"Kavya Verma")</f>
        <v>Kavya Verma</v>
      </c>
      <c r="C158" s="1" t="str">
        <f>IFERROR(__xludf.DUMMYFUNCTION("""COMPUTED_VALUE"""),"Male")</f>
        <v>Male</v>
      </c>
      <c r="D158" s="1" t="str">
        <f>IFERROR(__xludf.DUMMYFUNCTION("""COMPUTED_VALUE"""),"7")</f>
        <v>7</v>
      </c>
      <c r="E158" s="1" t="str">
        <f>IFERROR(__xludf.DUMMYFUNCTION("""COMPUTED_VALUE"""),"B")</f>
        <v>B</v>
      </c>
      <c r="F158" s="1" t="str">
        <f>IFERROR(__xludf.DUMMYFUNCTION("""COMPUTED_VALUE"""),"Delhi")</f>
        <v>Delhi</v>
      </c>
      <c r="G158" s="1">
        <f>IFERROR(__xludf.DUMMYFUNCTION("""COMPUTED_VALUE"""),81.0)</f>
        <v>81</v>
      </c>
      <c r="H158" s="1">
        <f>IFERROR(__xludf.DUMMYFUNCTION("""COMPUTED_VALUE"""),56.0)</f>
        <v>56</v>
      </c>
      <c r="I158" s="1">
        <f>IFERROR(__xludf.DUMMYFUNCTION("""COMPUTED_VALUE"""),94.0)</f>
        <v>94</v>
      </c>
      <c r="J158" s="1">
        <f>IFERROR(__xludf.DUMMYFUNCTION("""COMPUTED_VALUE"""),88.0)</f>
        <v>88</v>
      </c>
      <c r="K158" s="1">
        <f>IFERROR(__xludf.DUMMYFUNCTION("""COMPUTED_VALUE"""),85.0)</f>
        <v>85</v>
      </c>
      <c r="L158" s="1">
        <f>IFERROR(__xludf.DUMMYFUNCTION("""COMPUTED_VALUE"""),404.0)</f>
        <v>404</v>
      </c>
      <c r="M158" s="1">
        <f>IFERROR(__xludf.DUMMYFUNCTION("""COMPUTED_VALUE"""),80.8)</f>
        <v>80.8</v>
      </c>
      <c r="N158" s="1">
        <f>IFERROR(__xludf.DUMMYFUNCTION("""COMPUTED_VALUE"""),60.0)</f>
        <v>60</v>
      </c>
      <c r="O158" s="1" t="str">
        <f>IFERROR(__xludf.DUMMYFUNCTION("""COMPUTED_VALUE"""),"Pass")</f>
        <v>Pass</v>
      </c>
    </row>
    <row r="159" ht="15.75" customHeight="1">
      <c r="A159" s="1" t="str">
        <f>IFERROR(__xludf.DUMMYFUNCTION("""COMPUTED_VALUE"""),"STD-1472")</f>
        <v>STD-1472</v>
      </c>
      <c r="B159" s="1" t="str">
        <f>IFERROR(__xludf.DUMMYFUNCTION("""COMPUTED_VALUE"""),"Ananya Banerjee")</f>
        <v>Ananya Banerjee</v>
      </c>
      <c r="C159" s="1" t="str">
        <f>IFERROR(__xludf.DUMMYFUNCTION("""COMPUTED_VALUE"""),"Female")</f>
        <v>Female</v>
      </c>
      <c r="D159" s="1" t="str">
        <f>IFERROR(__xludf.DUMMYFUNCTION("""COMPUTED_VALUE"""),"8")</f>
        <v>8</v>
      </c>
      <c r="E159" s="1" t="str">
        <f>IFERROR(__xludf.DUMMYFUNCTION("""COMPUTED_VALUE"""),"B")</f>
        <v>B</v>
      </c>
      <c r="F159" s="1" t="str">
        <f>IFERROR(__xludf.DUMMYFUNCTION("""COMPUTED_VALUE"""),"Mumbai")</f>
        <v>Mumbai</v>
      </c>
      <c r="G159" s="1">
        <f>IFERROR(__xludf.DUMMYFUNCTION("""COMPUTED_VALUE"""),53.0)</f>
        <v>53</v>
      </c>
      <c r="H159" s="1">
        <f>IFERROR(__xludf.DUMMYFUNCTION("""COMPUTED_VALUE"""),43.0)</f>
        <v>43</v>
      </c>
      <c r="I159" s="1">
        <f>IFERROR(__xludf.DUMMYFUNCTION("""COMPUTED_VALUE"""),78.0)</f>
        <v>78</v>
      </c>
      <c r="J159" s="1">
        <f>IFERROR(__xludf.DUMMYFUNCTION("""COMPUTED_VALUE"""),40.0)</f>
        <v>40</v>
      </c>
      <c r="K159" s="1">
        <f>IFERROR(__xludf.DUMMYFUNCTION("""COMPUTED_VALUE"""),45.0)</f>
        <v>45</v>
      </c>
      <c r="L159" s="1">
        <f>IFERROR(__xludf.DUMMYFUNCTION("""COMPUTED_VALUE"""),259.0)</f>
        <v>259</v>
      </c>
      <c r="M159" s="1">
        <f>IFERROR(__xludf.DUMMYFUNCTION("""COMPUTED_VALUE"""),51.8)</f>
        <v>51.8</v>
      </c>
      <c r="N159" s="1">
        <f>IFERROR(__xludf.DUMMYFUNCTION("""COMPUTED_VALUE"""),61.0)</f>
        <v>61</v>
      </c>
      <c r="O159" s="1" t="str">
        <f>IFERROR(__xludf.DUMMYFUNCTION("""COMPUTED_VALUE"""),"Pass")</f>
        <v>Pass</v>
      </c>
    </row>
    <row r="160" ht="15.75" customHeight="1">
      <c r="A160" s="1" t="str">
        <f>IFERROR(__xludf.DUMMYFUNCTION("""COMPUTED_VALUE"""),"STD-1476")</f>
        <v>STD-1476</v>
      </c>
      <c r="B160" s="1" t="str">
        <f>IFERROR(__xludf.DUMMYFUNCTION("""COMPUTED_VALUE"""),"Kavya Singh")</f>
        <v>Kavya Singh</v>
      </c>
      <c r="C160" s="1" t="str">
        <f>IFERROR(__xludf.DUMMYFUNCTION("""COMPUTED_VALUE"""),"Female")</f>
        <v>Female</v>
      </c>
      <c r="D160" s="1" t="str">
        <f>IFERROR(__xludf.DUMMYFUNCTION("""COMPUTED_VALUE"""),"9")</f>
        <v>9</v>
      </c>
      <c r="E160" s="1" t="str">
        <f>IFERROR(__xludf.DUMMYFUNCTION("""COMPUTED_VALUE"""),"B")</f>
        <v>B</v>
      </c>
      <c r="F160" s="1" t="str">
        <f>IFERROR(__xludf.DUMMYFUNCTION("""COMPUTED_VALUE"""),"Delhi")</f>
        <v>Delhi</v>
      </c>
      <c r="G160" s="1">
        <f>IFERROR(__xludf.DUMMYFUNCTION("""COMPUTED_VALUE"""),100.0)</f>
        <v>100</v>
      </c>
      <c r="H160" s="1">
        <f>IFERROR(__xludf.DUMMYFUNCTION("""COMPUTED_VALUE"""),51.0)</f>
        <v>51</v>
      </c>
      <c r="I160" s="1">
        <f>IFERROR(__xludf.DUMMYFUNCTION("""COMPUTED_VALUE"""),41.0)</f>
        <v>41</v>
      </c>
      <c r="J160" s="1">
        <f>IFERROR(__xludf.DUMMYFUNCTION("""COMPUTED_VALUE"""),78.0)</f>
        <v>78</v>
      </c>
      <c r="K160" s="1">
        <f>IFERROR(__xludf.DUMMYFUNCTION("""COMPUTED_VALUE"""),81.0)</f>
        <v>81</v>
      </c>
      <c r="L160" s="1">
        <f>IFERROR(__xludf.DUMMYFUNCTION("""COMPUTED_VALUE"""),351.0)</f>
        <v>351</v>
      </c>
      <c r="M160" s="1">
        <f>IFERROR(__xludf.DUMMYFUNCTION("""COMPUTED_VALUE"""),70.2)</f>
        <v>70.2</v>
      </c>
      <c r="N160" s="1">
        <f>IFERROR(__xludf.DUMMYFUNCTION("""COMPUTED_VALUE"""),72.0)</f>
        <v>72</v>
      </c>
      <c r="O160" s="1" t="str">
        <f>IFERROR(__xludf.DUMMYFUNCTION("""COMPUTED_VALUE"""),"Pass")</f>
        <v>Pass</v>
      </c>
    </row>
    <row r="161" ht="15.75" customHeight="1">
      <c r="A161" s="1" t="str">
        <f>IFERROR(__xludf.DUMMYFUNCTION("""COMPUTED_VALUE"""),"STD-1480")</f>
        <v>STD-1480</v>
      </c>
      <c r="B161" s="1" t="str">
        <f>IFERROR(__xludf.DUMMYFUNCTION("""COMPUTED_VALUE"""),"Vivaan Banerjee")</f>
        <v>Vivaan Banerjee</v>
      </c>
      <c r="C161" s="1" t="str">
        <f>IFERROR(__xludf.DUMMYFUNCTION("""COMPUTED_VALUE"""),"Female")</f>
        <v>Female</v>
      </c>
      <c r="D161" s="1" t="str">
        <f>IFERROR(__xludf.DUMMYFUNCTION("""COMPUTED_VALUE"""),"9")</f>
        <v>9</v>
      </c>
      <c r="E161" s="1" t="str">
        <f>IFERROR(__xludf.DUMMYFUNCTION("""COMPUTED_VALUE"""),"A")</f>
        <v>A</v>
      </c>
      <c r="F161" s="1" t="str">
        <f>IFERROR(__xludf.DUMMYFUNCTION("""COMPUTED_VALUE"""),"Chandigarh")</f>
        <v>Chandigarh</v>
      </c>
      <c r="G161" s="1">
        <f>IFERROR(__xludf.DUMMYFUNCTION("""COMPUTED_VALUE"""),71.0)</f>
        <v>71</v>
      </c>
      <c r="H161" s="1">
        <f>IFERROR(__xludf.DUMMYFUNCTION("""COMPUTED_VALUE"""),80.0)</f>
        <v>80</v>
      </c>
      <c r="I161" s="1">
        <f>IFERROR(__xludf.DUMMYFUNCTION("""COMPUTED_VALUE"""),65.0)</f>
        <v>65</v>
      </c>
      <c r="J161" s="1">
        <f>IFERROR(__xludf.DUMMYFUNCTION("""COMPUTED_VALUE"""),46.0)</f>
        <v>46</v>
      </c>
      <c r="K161" s="1">
        <f>IFERROR(__xludf.DUMMYFUNCTION("""COMPUTED_VALUE"""),79.0)</f>
        <v>79</v>
      </c>
      <c r="L161" s="1">
        <f>IFERROR(__xludf.DUMMYFUNCTION("""COMPUTED_VALUE"""),341.0)</f>
        <v>341</v>
      </c>
      <c r="M161" s="1">
        <f>IFERROR(__xludf.DUMMYFUNCTION("""COMPUTED_VALUE"""),68.2)</f>
        <v>68.2</v>
      </c>
      <c r="N161" s="1">
        <f>IFERROR(__xludf.DUMMYFUNCTION("""COMPUTED_VALUE"""),62.0)</f>
        <v>62</v>
      </c>
      <c r="O161" s="1" t="str">
        <f>IFERROR(__xludf.DUMMYFUNCTION("""COMPUTED_VALUE"""),"Pass")</f>
        <v>Pass</v>
      </c>
    </row>
    <row r="162" ht="15.75" customHeight="1">
      <c r="A162" s="1" t="str">
        <f>IFERROR(__xludf.DUMMYFUNCTION("""COMPUTED_VALUE"""),"STD-1483")</f>
        <v>STD-1483</v>
      </c>
      <c r="B162" s="1" t="str">
        <f>IFERROR(__xludf.DUMMYFUNCTION("""COMPUTED_VALUE"""),"Pooja Yadav")</f>
        <v>Pooja Yadav</v>
      </c>
      <c r="C162" s="1" t="str">
        <f>IFERROR(__xludf.DUMMYFUNCTION("""COMPUTED_VALUE"""),"Male")</f>
        <v>Male</v>
      </c>
      <c r="D162" s="1" t="str">
        <f>IFERROR(__xludf.DUMMYFUNCTION("""COMPUTED_VALUE"""),"6")</f>
        <v>6</v>
      </c>
      <c r="E162" s="1" t="str">
        <f>IFERROR(__xludf.DUMMYFUNCTION("""COMPUTED_VALUE"""),"A")</f>
        <v>A</v>
      </c>
      <c r="F162" s="1" t="str">
        <f>IFERROR(__xludf.DUMMYFUNCTION("""COMPUTED_VALUE"""),"Mumbai")</f>
        <v>Mumbai</v>
      </c>
      <c r="G162" s="1">
        <f>IFERROR(__xludf.DUMMYFUNCTION("""COMPUTED_VALUE"""),84.0)</f>
        <v>84</v>
      </c>
      <c r="H162" s="1">
        <f>IFERROR(__xludf.DUMMYFUNCTION("""COMPUTED_VALUE"""),71.0)</f>
        <v>71</v>
      </c>
      <c r="I162" s="1">
        <f>IFERROR(__xludf.DUMMYFUNCTION("""COMPUTED_VALUE"""),99.0)</f>
        <v>99</v>
      </c>
      <c r="J162" s="1">
        <f>IFERROR(__xludf.DUMMYFUNCTION("""COMPUTED_VALUE"""),57.0)</f>
        <v>57</v>
      </c>
      <c r="K162" s="1">
        <f>IFERROR(__xludf.DUMMYFUNCTION("""COMPUTED_VALUE"""),92.0)</f>
        <v>92</v>
      </c>
      <c r="L162" s="1">
        <f>IFERROR(__xludf.DUMMYFUNCTION("""COMPUTED_VALUE"""),403.0)</f>
        <v>403</v>
      </c>
      <c r="M162" s="1">
        <f>IFERROR(__xludf.DUMMYFUNCTION("""COMPUTED_VALUE"""),80.6)</f>
        <v>80.6</v>
      </c>
      <c r="N162" s="1">
        <f>IFERROR(__xludf.DUMMYFUNCTION("""COMPUTED_VALUE"""),64.0)</f>
        <v>64</v>
      </c>
      <c r="O162" s="1" t="str">
        <f>IFERROR(__xludf.DUMMYFUNCTION("""COMPUTED_VALUE"""),"Pass")</f>
        <v>Pass</v>
      </c>
    </row>
    <row r="163" ht="15.75" customHeight="1">
      <c r="A163" s="1" t="str">
        <f>IFERROR(__xludf.DUMMYFUNCTION("""COMPUTED_VALUE"""),"STD-1487")</f>
        <v>STD-1487</v>
      </c>
      <c r="B163" s="1" t="str">
        <f>IFERROR(__xludf.DUMMYFUNCTION("""COMPUTED_VALUE"""),"Simran Choudhary")</f>
        <v>Simran Choudhary</v>
      </c>
      <c r="C163" s="1" t="str">
        <f>IFERROR(__xludf.DUMMYFUNCTION("""COMPUTED_VALUE"""),"Female")</f>
        <v>Female</v>
      </c>
      <c r="D163" s="1" t="str">
        <f>IFERROR(__xludf.DUMMYFUNCTION("""COMPUTED_VALUE"""),"10")</f>
        <v>10</v>
      </c>
      <c r="E163" s="1" t="str">
        <f>IFERROR(__xludf.DUMMYFUNCTION("""COMPUTED_VALUE"""),"A")</f>
        <v>A</v>
      </c>
      <c r="F163" s="1" t="str">
        <f>IFERROR(__xludf.DUMMYFUNCTION("""COMPUTED_VALUE"""),"Bhopal")</f>
        <v>Bhopal</v>
      </c>
      <c r="G163" s="1">
        <f>IFERROR(__xludf.DUMMYFUNCTION("""COMPUTED_VALUE"""),59.0)</f>
        <v>59</v>
      </c>
      <c r="H163" s="1">
        <f>IFERROR(__xludf.DUMMYFUNCTION("""COMPUTED_VALUE"""),77.0)</f>
        <v>77</v>
      </c>
      <c r="I163" s="1">
        <f>IFERROR(__xludf.DUMMYFUNCTION("""COMPUTED_VALUE"""),97.0)</f>
        <v>97</v>
      </c>
      <c r="J163" s="1">
        <f>IFERROR(__xludf.DUMMYFUNCTION("""COMPUTED_VALUE"""),68.0)</f>
        <v>68</v>
      </c>
      <c r="K163" s="1">
        <f>IFERROR(__xludf.DUMMYFUNCTION("""COMPUTED_VALUE"""),100.0)</f>
        <v>100</v>
      </c>
      <c r="L163" s="1">
        <f>IFERROR(__xludf.DUMMYFUNCTION("""COMPUTED_VALUE"""),401.0)</f>
        <v>401</v>
      </c>
      <c r="M163" s="1">
        <f>IFERROR(__xludf.DUMMYFUNCTION("""COMPUTED_VALUE"""),80.2)</f>
        <v>80.2</v>
      </c>
      <c r="N163" s="1">
        <f>IFERROR(__xludf.DUMMYFUNCTION("""COMPUTED_VALUE"""),72.0)</f>
        <v>72</v>
      </c>
      <c r="O163" s="1" t="str">
        <f>IFERROR(__xludf.DUMMYFUNCTION("""COMPUTED_VALUE"""),"Pass")</f>
        <v>Pass</v>
      </c>
    </row>
    <row r="164" ht="15.75" customHeight="1">
      <c r="A164" s="1" t="str">
        <f>IFERROR(__xludf.DUMMYFUNCTION("""COMPUTED_VALUE"""),"STD-1488")</f>
        <v>STD-1488</v>
      </c>
      <c r="B164" s="1" t="str">
        <f>IFERROR(__xludf.DUMMYFUNCTION("""COMPUTED_VALUE"""),"Kavya Iyer")</f>
        <v>Kavya Iyer</v>
      </c>
      <c r="C164" s="1" t="str">
        <f>IFERROR(__xludf.DUMMYFUNCTION("""COMPUTED_VALUE"""),"Female")</f>
        <v>Female</v>
      </c>
      <c r="D164" s="1" t="str">
        <f>IFERROR(__xludf.DUMMYFUNCTION("""COMPUTED_VALUE"""),"8")</f>
        <v>8</v>
      </c>
      <c r="E164" s="1" t="str">
        <f>IFERROR(__xludf.DUMMYFUNCTION("""COMPUTED_VALUE"""),"A")</f>
        <v>A</v>
      </c>
      <c r="F164" s="1" t="str">
        <f>IFERROR(__xludf.DUMMYFUNCTION("""COMPUTED_VALUE"""),"Delhi")</f>
        <v>Delhi</v>
      </c>
      <c r="G164" s="1">
        <f>IFERROR(__xludf.DUMMYFUNCTION("""COMPUTED_VALUE"""),40.0)</f>
        <v>40</v>
      </c>
      <c r="H164" s="1">
        <f>IFERROR(__xludf.DUMMYFUNCTION("""COMPUTED_VALUE"""),66.0)</f>
        <v>66</v>
      </c>
      <c r="I164" s="1">
        <f>IFERROR(__xludf.DUMMYFUNCTION("""COMPUTED_VALUE"""),51.0)</f>
        <v>51</v>
      </c>
      <c r="J164" s="1">
        <f>IFERROR(__xludf.DUMMYFUNCTION("""COMPUTED_VALUE"""),65.0)</f>
        <v>65</v>
      </c>
      <c r="K164" s="1">
        <f>IFERROR(__xludf.DUMMYFUNCTION("""COMPUTED_VALUE"""),63.0)</f>
        <v>63</v>
      </c>
      <c r="L164" s="1">
        <f>IFERROR(__xludf.DUMMYFUNCTION("""COMPUTED_VALUE"""),285.0)</f>
        <v>285</v>
      </c>
      <c r="M164" s="1">
        <f>IFERROR(__xludf.DUMMYFUNCTION("""COMPUTED_VALUE"""),57.0)</f>
        <v>57</v>
      </c>
      <c r="N164" s="1">
        <f>IFERROR(__xludf.DUMMYFUNCTION("""COMPUTED_VALUE"""),66.0)</f>
        <v>66</v>
      </c>
      <c r="O164" s="1" t="str">
        <f>IFERROR(__xludf.DUMMYFUNCTION("""COMPUTED_VALUE"""),"Pass")</f>
        <v>Pass</v>
      </c>
    </row>
    <row r="165" ht="15.75" customHeight="1">
      <c r="A165" s="1" t="str">
        <f>IFERROR(__xludf.DUMMYFUNCTION("""COMPUTED_VALUE"""),"STD-1489")</f>
        <v>STD-1489</v>
      </c>
      <c r="B165" s="1" t="str">
        <f>IFERROR(__xludf.DUMMYFUNCTION("""COMPUTED_VALUE"""),"Sneha Kaur")</f>
        <v>Sneha Kaur</v>
      </c>
      <c r="C165" s="1" t="str">
        <f>IFERROR(__xludf.DUMMYFUNCTION("""COMPUTED_VALUE"""),"Female")</f>
        <v>Female</v>
      </c>
      <c r="D165" s="1" t="str">
        <f>IFERROR(__xludf.DUMMYFUNCTION("""COMPUTED_VALUE"""),"10")</f>
        <v>10</v>
      </c>
      <c r="E165" s="1" t="str">
        <f>IFERROR(__xludf.DUMMYFUNCTION("""COMPUTED_VALUE"""),"B")</f>
        <v>B</v>
      </c>
      <c r="F165" s="1" t="str">
        <f>IFERROR(__xludf.DUMMYFUNCTION("""COMPUTED_VALUE"""),"Mumbai")</f>
        <v>Mumbai</v>
      </c>
      <c r="G165" s="1">
        <f>IFERROR(__xludf.DUMMYFUNCTION("""COMPUTED_VALUE"""),92.0)</f>
        <v>92</v>
      </c>
      <c r="H165" s="1">
        <f>IFERROR(__xludf.DUMMYFUNCTION("""COMPUTED_VALUE"""),73.0)</f>
        <v>73</v>
      </c>
      <c r="I165" s="1">
        <f>IFERROR(__xludf.DUMMYFUNCTION("""COMPUTED_VALUE"""),82.0)</f>
        <v>82</v>
      </c>
      <c r="J165" s="1">
        <f>IFERROR(__xludf.DUMMYFUNCTION("""COMPUTED_VALUE"""),45.0)</f>
        <v>45</v>
      </c>
      <c r="K165" s="1">
        <f>IFERROR(__xludf.DUMMYFUNCTION("""COMPUTED_VALUE"""),69.0)</f>
        <v>69</v>
      </c>
      <c r="L165" s="1">
        <f>IFERROR(__xludf.DUMMYFUNCTION("""COMPUTED_VALUE"""),361.0)</f>
        <v>361</v>
      </c>
      <c r="M165" s="1">
        <f>IFERROR(__xludf.DUMMYFUNCTION("""COMPUTED_VALUE"""),72.2)</f>
        <v>72.2</v>
      </c>
      <c r="N165" s="1">
        <f>IFERROR(__xludf.DUMMYFUNCTION("""COMPUTED_VALUE"""),62.0)</f>
        <v>62</v>
      </c>
      <c r="O165" s="1" t="str">
        <f>IFERROR(__xludf.DUMMYFUNCTION("""COMPUTED_VALUE"""),"Pass")</f>
        <v>Pass</v>
      </c>
    </row>
    <row r="166" ht="15.75" customHeight="1">
      <c r="A166" s="1" t="str">
        <f>IFERROR(__xludf.DUMMYFUNCTION("""COMPUTED_VALUE"""),"STD-1491")</f>
        <v>STD-1491</v>
      </c>
      <c r="B166" s="1" t="str">
        <f>IFERROR(__xludf.DUMMYFUNCTION("""COMPUTED_VALUE"""),"Tanvi Choudhary")</f>
        <v>Tanvi Choudhary</v>
      </c>
      <c r="C166" s="1" t="str">
        <f>IFERROR(__xludf.DUMMYFUNCTION("""COMPUTED_VALUE"""),"Female")</f>
        <v>Female</v>
      </c>
      <c r="D166" s="1" t="str">
        <f>IFERROR(__xludf.DUMMYFUNCTION("""COMPUTED_VALUE"""),"10")</f>
        <v>10</v>
      </c>
      <c r="E166" s="1" t="str">
        <f>IFERROR(__xludf.DUMMYFUNCTION("""COMPUTED_VALUE"""),"B")</f>
        <v>B</v>
      </c>
      <c r="F166" s="1" t="str">
        <f>IFERROR(__xludf.DUMMYFUNCTION("""COMPUTED_VALUE"""),"Delhi")</f>
        <v>Delhi</v>
      </c>
      <c r="G166" s="1">
        <f>IFERROR(__xludf.DUMMYFUNCTION("""COMPUTED_VALUE"""),86.0)</f>
        <v>86</v>
      </c>
      <c r="H166" s="1">
        <f>IFERROR(__xludf.DUMMYFUNCTION("""COMPUTED_VALUE"""),44.0)</f>
        <v>44</v>
      </c>
      <c r="I166" s="1">
        <f>IFERROR(__xludf.DUMMYFUNCTION("""COMPUTED_VALUE"""),72.0)</f>
        <v>72</v>
      </c>
      <c r="J166" s="1">
        <f>IFERROR(__xludf.DUMMYFUNCTION("""COMPUTED_VALUE"""),69.0)</f>
        <v>69</v>
      </c>
      <c r="K166" s="1">
        <f>IFERROR(__xludf.DUMMYFUNCTION("""COMPUTED_VALUE"""),93.0)</f>
        <v>93</v>
      </c>
      <c r="L166" s="1">
        <f>IFERROR(__xludf.DUMMYFUNCTION("""COMPUTED_VALUE"""),364.0)</f>
        <v>364</v>
      </c>
      <c r="M166" s="1">
        <f>IFERROR(__xludf.DUMMYFUNCTION("""COMPUTED_VALUE"""),72.8)</f>
        <v>72.8</v>
      </c>
      <c r="N166" s="1">
        <f>IFERROR(__xludf.DUMMYFUNCTION("""COMPUTED_VALUE"""),68.0)</f>
        <v>68</v>
      </c>
      <c r="O166" s="1" t="str">
        <f>IFERROR(__xludf.DUMMYFUNCTION("""COMPUTED_VALUE"""),"Pass")</f>
        <v>Pass</v>
      </c>
    </row>
    <row r="167" ht="15.75" customHeight="1">
      <c r="A167" s="1" t="str">
        <f>IFERROR(__xludf.DUMMYFUNCTION("""COMPUTED_VALUE"""),"STD-1492")</f>
        <v>STD-1492</v>
      </c>
      <c r="B167" s="1" t="str">
        <f>IFERROR(__xludf.DUMMYFUNCTION("""COMPUTED_VALUE"""),"Aditya Banerjee")</f>
        <v>Aditya Banerjee</v>
      </c>
      <c r="C167" s="1" t="str">
        <f>IFERROR(__xludf.DUMMYFUNCTION("""COMPUTED_VALUE"""),"Male")</f>
        <v>Male</v>
      </c>
      <c r="D167" s="1" t="str">
        <f>IFERROR(__xludf.DUMMYFUNCTION("""COMPUTED_VALUE"""),"7")</f>
        <v>7</v>
      </c>
      <c r="E167" s="1" t="str">
        <f>IFERROR(__xludf.DUMMYFUNCTION("""COMPUTED_VALUE"""),"A")</f>
        <v>A</v>
      </c>
      <c r="F167" s="1" t="str">
        <f>IFERROR(__xludf.DUMMYFUNCTION("""COMPUTED_VALUE"""),"Jaipur")</f>
        <v>Jaipur</v>
      </c>
      <c r="G167" s="1">
        <f>IFERROR(__xludf.DUMMYFUNCTION("""COMPUTED_VALUE"""),81.0)</f>
        <v>81</v>
      </c>
      <c r="H167" s="1">
        <f>IFERROR(__xludf.DUMMYFUNCTION("""COMPUTED_VALUE"""),54.0)</f>
        <v>54</v>
      </c>
      <c r="I167" s="1">
        <f>IFERROR(__xludf.DUMMYFUNCTION("""COMPUTED_VALUE"""),68.0)</f>
        <v>68</v>
      </c>
      <c r="J167" s="1">
        <f>IFERROR(__xludf.DUMMYFUNCTION("""COMPUTED_VALUE"""),86.0)</f>
        <v>86</v>
      </c>
      <c r="K167" s="1">
        <f>IFERROR(__xludf.DUMMYFUNCTION("""COMPUTED_VALUE"""),88.0)</f>
        <v>88</v>
      </c>
      <c r="L167" s="1">
        <f>IFERROR(__xludf.DUMMYFUNCTION("""COMPUTED_VALUE"""),377.0)</f>
        <v>377</v>
      </c>
      <c r="M167" s="1">
        <f>IFERROR(__xludf.DUMMYFUNCTION("""COMPUTED_VALUE"""),75.4)</f>
        <v>75.4</v>
      </c>
      <c r="N167" s="1">
        <f>IFERROR(__xludf.DUMMYFUNCTION("""COMPUTED_VALUE"""),66.0)</f>
        <v>66</v>
      </c>
      <c r="O167" s="1" t="str">
        <f>IFERROR(__xludf.DUMMYFUNCTION("""COMPUTED_VALUE"""),"Pass")</f>
        <v>Pass</v>
      </c>
    </row>
    <row r="168" ht="15.75" customHeight="1">
      <c r="A168" s="1" t="str">
        <f>IFERROR(__xludf.DUMMYFUNCTION("""COMPUTED_VALUE"""),"STD-1493")</f>
        <v>STD-1493</v>
      </c>
      <c r="B168" s="1" t="str">
        <f>IFERROR(__xludf.DUMMYFUNCTION("""COMPUTED_VALUE"""),"Simran Das")</f>
        <v>Simran Das</v>
      </c>
      <c r="C168" s="1" t="str">
        <f>IFERROR(__xludf.DUMMYFUNCTION("""COMPUTED_VALUE"""),"Male")</f>
        <v>Male</v>
      </c>
      <c r="D168" s="1" t="str">
        <f>IFERROR(__xludf.DUMMYFUNCTION("""COMPUTED_VALUE"""),"10")</f>
        <v>10</v>
      </c>
      <c r="E168" s="1" t="str">
        <f>IFERROR(__xludf.DUMMYFUNCTION("""COMPUTED_VALUE"""),"B")</f>
        <v>B</v>
      </c>
      <c r="F168" s="1" t="str">
        <f>IFERROR(__xludf.DUMMYFUNCTION("""COMPUTED_VALUE"""),"Mumbai")</f>
        <v>Mumbai</v>
      </c>
      <c r="G168" s="1">
        <f>IFERROR(__xludf.DUMMYFUNCTION("""COMPUTED_VALUE"""),53.0)</f>
        <v>53</v>
      </c>
      <c r="H168" s="1">
        <f>IFERROR(__xludf.DUMMYFUNCTION("""COMPUTED_VALUE"""),56.0)</f>
        <v>56</v>
      </c>
      <c r="I168" s="1">
        <f>IFERROR(__xludf.DUMMYFUNCTION("""COMPUTED_VALUE"""),55.0)</f>
        <v>55</v>
      </c>
      <c r="J168" s="1">
        <f>IFERROR(__xludf.DUMMYFUNCTION("""COMPUTED_VALUE"""),46.0)</f>
        <v>46</v>
      </c>
      <c r="K168" s="1">
        <f>IFERROR(__xludf.DUMMYFUNCTION("""COMPUTED_VALUE"""),52.0)</f>
        <v>52</v>
      </c>
      <c r="L168" s="1">
        <f>IFERROR(__xludf.DUMMYFUNCTION("""COMPUTED_VALUE"""),262.0)</f>
        <v>262</v>
      </c>
      <c r="M168" s="1">
        <f>IFERROR(__xludf.DUMMYFUNCTION("""COMPUTED_VALUE"""),52.4)</f>
        <v>52.4</v>
      </c>
      <c r="N168" s="1">
        <f>IFERROR(__xludf.DUMMYFUNCTION("""COMPUTED_VALUE"""),70.0)</f>
        <v>70</v>
      </c>
      <c r="O168" s="1" t="str">
        <f>IFERROR(__xludf.DUMMYFUNCTION("""COMPUTED_VALUE"""),"Pass")</f>
        <v>Pass</v>
      </c>
    </row>
    <row r="169" ht="15.75" customHeight="1">
      <c r="A169" s="1" t="str">
        <f>IFERROR(__xludf.DUMMYFUNCTION("""COMPUTED_VALUE"""),"STD-1494")</f>
        <v>STD-1494</v>
      </c>
      <c r="B169" s="1" t="str">
        <f>IFERROR(__xludf.DUMMYFUNCTION("""COMPUTED_VALUE"""),"Meera Banerjee")</f>
        <v>Meera Banerjee</v>
      </c>
      <c r="C169" s="1" t="str">
        <f>IFERROR(__xludf.DUMMYFUNCTION("""COMPUTED_VALUE"""),"Male")</f>
        <v>Male</v>
      </c>
      <c r="D169" s="1" t="str">
        <f>IFERROR(__xludf.DUMMYFUNCTION("""COMPUTED_VALUE"""),"9")</f>
        <v>9</v>
      </c>
      <c r="E169" s="1" t="str">
        <f>IFERROR(__xludf.DUMMYFUNCTION("""COMPUTED_VALUE"""),"A")</f>
        <v>A</v>
      </c>
      <c r="F169" s="1" t="str">
        <f>IFERROR(__xludf.DUMMYFUNCTION("""COMPUTED_VALUE"""),"Mumbai")</f>
        <v>Mumbai</v>
      </c>
      <c r="G169" s="1">
        <f>IFERROR(__xludf.DUMMYFUNCTION("""COMPUTED_VALUE"""),63.0)</f>
        <v>63</v>
      </c>
      <c r="H169" s="1">
        <f>IFERROR(__xludf.DUMMYFUNCTION("""COMPUTED_VALUE"""),68.0)</f>
        <v>68</v>
      </c>
      <c r="I169" s="1">
        <f>IFERROR(__xludf.DUMMYFUNCTION("""COMPUTED_VALUE"""),100.0)</f>
        <v>100</v>
      </c>
      <c r="J169" s="1">
        <f>IFERROR(__xludf.DUMMYFUNCTION("""COMPUTED_VALUE"""),58.0)</f>
        <v>58</v>
      </c>
      <c r="K169" s="1">
        <f>IFERROR(__xludf.DUMMYFUNCTION("""COMPUTED_VALUE"""),80.0)</f>
        <v>80</v>
      </c>
      <c r="L169" s="1">
        <f>IFERROR(__xludf.DUMMYFUNCTION("""COMPUTED_VALUE"""),369.0)</f>
        <v>369</v>
      </c>
      <c r="M169" s="1">
        <f>IFERROR(__xludf.DUMMYFUNCTION("""COMPUTED_VALUE"""),73.8)</f>
        <v>73.8</v>
      </c>
      <c r="N169" s="1">
        <f>IFERROR(__xludf.DUMMYFUNCTION("""COMPUTED_VALUE"""),65.0)</f>
        <v>65</v>
      </c>
      <c r="O169" s="1" t="str">
        <f>IFERROR(__xludf.DUMMYFUNCTION("""COMPUTED_VALUE"""),"Pass")</f>
        <v>Pass</v>
      </c>
    </row>
    <row r="170" ht="15.75" customHeight="1">
      <c r="A170" s="1" t="str">
        <f>IFERROR(__xludf.DUMMYFUNCTION("""COMPUTED_VALUE"""),"STD-1498")</f>
        <v>STD-1498</v>
      </c>
      <c r="B170" s="1" t="str">
        <f>IFERROR(__xludf.DUMMYFUNCTION("""COMPUTED_VALUE"""),"Meera Iyer")</f>
        <v>Meera Iyer</v>
      </c>
      <c r="C170" s="1" t="str">
        <f>IFERROR(__xludf.DUMMYFUNCTION("""COMPUTED_VALUE"""),"Male")</f>
        <v>Male</v>
      </c>
      <c r="D170" s="1" t="str">
        <f>IFERROR(__xludf.DUMMYFUNCTION("""COMPUTED_VALUE"""),"9")</f>
        <v>9</v>
      </c>
      <c r="E170" s="1" t="str">
        <f>IFERROR(__xludf.DUMMYFUNCTION("""COMPUTED_VALUE"""),"A")</f>
        <v>A</v>
      </c>
      <c r="F170" s="1" t="str">
        <f>IFERROR(__xludf.DUMMYFUNCTION("""COMPUTED_VALUE"""),"Lucknow")</f>
        <v>Lucknow</v>
      </c>
      <c r="G170" s="1">
        <f>IFERROR(__xludf.DUMMYFUNCTION("""COMPUTED_VALUE"""),98.0)</f>
        <v>98</v>
      </c>
      <c r="H170" s="1">
        <f>IFERROR(__xludf.DUMMYFUNCTION("""COMPUTED_VALUE"""),83.0)</f>
        <v>83</v>
      </c>
      <c r="I170" s="1">
        <f>IFERROR(__xludf.DUMMYFUNCTION("""COMPUTED_VALUE"""),64.0)</f>
        <v>64</v>
      </c>
      <c r="J170" s="1">
        <f>IFERROR(__xludf.DUMMYFUNCTION("""COMPUTED_VALUE"""),96.0)</f>
        <v>96</v>
      </c>
      <c r="K170" s="1">
        <f>IFERROR(__xludf.DUMMYFUNCTION("""COMPUTED_VALUE"""),61.0)</f>
        <v>61</v>
      </c>
      <c r="L170" s="1">
        <f>IFERROR(__xludf.DUMMYFUNCTION("""COMPUTED_VALUE"""),402.0)</f>
        <v>402</v>
      </c>
      <c r="M170" s="1">
        <f>IFERROR(__xludf.DUMMYFUNCTION("""COMPUTED_VALUE"""),80.4)</f>
        <v>80.4</v>
      </c>
      <c r="N170" s="1">
        <f>IFERROR(__xludf.DUMMYFUNCTION("""COMPUTED_VALUE"""),74.0)</f>
        <v>74</v>
      </c>
      <c r="O170" s="1" t="str">
        <f>IFERROR(__xludf.DUMMYFUNCTION("""COMPUTED_VALUE"""),"Pass")</f>
        <v>Pass</v>
      </c>
    </row>
    <row r="171" ht="15.75" customHeight="1">
      <c r="A171" s="1" t="str">
        <f>IFERROR(__xludf.DUMMYFUNCTION("""COMPUTED_VALUE"""),"STD-1499")</f>
        <v>STD-1499</v>
      </c>
      <c r="B171" s="1" t="str">
        <f>IFERROR(__xludf.DUMMYFUNCTION("""COMPUTED_VALUE"""),"Kavya Iyer")</f>
        <v>Kavya Iyer</v>
      </c>
      <c r="C171" s="1" t="str">
        <f>IFERROR(__xludf.DUMMYFUNCTION("""COMPUTED_VALUE"""),"Female")</f>
        <v>Female</v>
      </c>
      <c r="D171" s="1" t="str">
        <f>IFERROR(__xludf.DUMMYFUNCTION("""COMPUTED_VALUE"""),"10")</f>
        <v>10</v>
      </c>
      <c r="E171" s="1" t="str">
        <f>IFERROR(__xludf.DUMMYFUNCTION("""COMPUTED_VALUE"""),"A")</f>
        <v>A</v>
      </c>
      <c r="F171" s="1" t="str">
        <f>IFERROR(__xludf.DUMMYFUNCTION("""COMPUTED_VALUE"""),"Kolkata")</f>
        <v>Kolkata</v>
      </c>
      <c r="G171" s="1">
        <f>IFERROR(__xludf.DUMMYFUNCTION("""COMPUTED_VALUE"""),84.0)</f>
        <v>84</v>
      </c>
      <c r="H171" s="1">
        <f>IFERROR(__xludf.DUMMYFUNCTION("""COMPUTED_VALUE"""),76.0)</f>
        <v>76</v>
      </c>
      <c r="I171" s="1">
        <f>IFERROR(__xludf.DUMMYFUNCTION("""COMPUTED_VALUE"""),62.0)</f>
        <v>62</v>
      </c>
      <c r="J171" s="1">
        <f>IFERROR(__xludf.DUMMYFUNCTION("""COMPUTED_VALUE"""),60.0)</f>
        <v>60</v>
      </c>
      <c r="K171" s="1">
        <f>IFERROR(__xludf.DUMMYFUNCTION("""COMPUTED_VALUE"""),64.0)</f>
        <v>64</v>
      </c>
      <c r="L171" s="1">
        <f>IFERROR(__xludf.DUMMYFUNCTION("""COMPUTED_VALUE"""),346.0)</f>
        <v>346</v>
      </c>
      <c r="M171" s="1">
        <f>IFERROR(__xludf.DUMMYFUNCTION("""COMPUTED_VALUE"""),69.2)</f>
        <v>69.2</v>
      </c>
      <c r="N171" s="1">
        <f>IFERROR(__xludf.DUMMYFUNCTION("""COMPUTED_VALUE"""),64.0)</f>
        <v>64</v>
      </c>
      <c r="O171" s="1" t="str">
        <f>IFERROR(__xludf.DUMMYFUNCTION("""COMPUTED_VALUE"""),"Pass")</f>
        <v>Pass</v>
      </c>
    </row>
    <row r="172" ht="15.75" customHeight="1">
      <c r="A172" s="1" t="str">
        <f>IFERROR(__xludf.DUMMYFUNCTION("""COMPUTED_VALUE"""),"STD-1500")</f>
        <v>STD-1500</v>
      </c>
      <c r="B172" s="1" t="str">
        <f>IFERROR(__xludf.DUMMYFUNCTION("""COMPUTED_VALUE"""),"Priya Choudhary")</f>
        <v>Priya Choudhary</v>
      </c>
      <c r="C172" s="1" t="str">
        <f>IFERROR(__xludf.DUMMYFUNCTION("""COMPUTED_VALUE"""),"Female")</f>
        <v>Female</v>
      </c>
      <c r="D172" s="1" t="str">
        <f>IFERROR(__xludf.DUMMYFUNCTION("""COMPUTED_VALUE"""),"7")</f>
        <v>7</v>
      </c>
      <c r="E172" s="1" t="str">
        <f>IFERROR(__xludf.DUMMYFUNCTION("""COMPUTED_VALUE"""),"A")</f>
        <v>A</v>
      </c>
      <c r="F172" s="1" t="str">
        <f>IFERROR(__xludf.DUMMYFUNCTION("""COMPUTED_VALUE"""),"Delhi")</f>
        <v>Delhi</v>
      </c>
      <c r="G172" s="1">
        <f>IFERROR(__xludf.DUMMYFUNCTION("""COMPUTED_VALUE"""),66.0)</f>
        <v>66</v>
      </c>
      <c r="H172" s="1">
        <f>IFERROR(__xludf.DUMMYFUNCTION("""COMPUTED_VALUE"""),54.0)</f>
        <v>54</v>
      </c>
      <c r="I172" s="1">
        <f>IFERROR(__xludf.DUMMYFUNCTION("""COMPUTED_VALUE"""),81.0)</f>
        <v>81</v>
      </c>
      <c r="J172" s="1">
        <f>IFERROR(__xludf.DUMMYFUNCTION("""COMPUTED_VALUE"""),44.0)</f>
        <v>44</v>
      </c>
      <c r="K172" s="1">
        <f>IFERROR(__xludf.DUMMYFUNCTION("""COMPUTED_VALUE"""),61.0)</f>
        <v>61</v>
      </c>
      <c r="L172" s="1">
        <f>IFERROR(__xludf.DUMMYFUNCTION("""COMPUTED_VALUE"""),306.0)</f>
        <v>306</v>
      </c>
      <c r="M172" s="1">
        <f>IFERROR(__xludf.DUMMYFUNCTION("""COMPUTED_VALUE"""),61.2)</f>
        <v>61.2</v>
      </c>
      <c r="N172" s="1">
        <f>IFERROR(__xludf.DUMMYFUNCTION("""COMPUTED_VALUE"""),71.0)</f>
        <v>71</v>
      </c>
      <c r="O172" s="1" t="str">
        <f>IFERROR(__xludf.DUMMYFUNCTION("""COMPUTED_VALUE"""),"Pass")</f>
        <v>Pass</v>
      </c>
    </row>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6" width="14.43"/>
  </cols>
  <sheetData>
    <row r="1">
      <c r="A1" s="2" t="str">
        <f t="array" ref="A1">'Questions Answers'!A9</f>
        <v>8. Count students who scored above 80 in both Maths and Science.</v>
      </c>
      <c r="B1" s="2"/>
      <c r="C1" s="2"/>
      <c r="D1" s="2"/>
      <c r="E1" s="2"/>
    </row>
    <row r="2" ht="15.0" customHeight="1">
      <c r="A2" s="2" t="s">
        <v>810</v>
      </c>
      <c r="B2" s="2"/>
      <c r="C2" s="2"/>
      <c r="D2" s="2"/>
      <c r="E2" s="2"/>
    </row>
    <row r="3">
      <c r="A3" s="1" t="str">
        <f>IFERROR(__xludf.DUMMYFUNCTION("QUERY(Student_Data!A1:O1000, ""SELECT * WHERE G &gt; 80 AND H &gt; 80"")"),"Student_ID")</f>
        <v>Student_ID</v>
      </c>
      <c r="B3" s="1" t="str">
        <f>IFERROR(__xludf.DUMMYFUNCTION("""COMPUTED_VALUE"""),"Full_Name")</f>
        <v>Full_Name</v>
      </c>
      <c r="C3" s="1" t="str">
        <f>IFERROR(__xludf.DUMMYFUNCTION("""COMPUTED_VALUE"""),"Gender")</f>
        <v>Gender</v>
      </c>
      <c r="D3" s="1" t="str">
        <f>IFERROR(__xludf.DUMMYFUNCTION("""COMPUTED_VALUE"""),"Class")</f>
        <v>Class</v>
      </c>
      <c r="E3" s="1" t="str">
        <f>IFERROR(__xludf.DUMMYFUNCTION("""COMPUTED_VALUE"""),"Section")</f>
        <v>Section</v>
      </c>
      <c r="F3" s="1" t="str">
        <f>IFERROR(__xludf.DUMMYFUNCTION("""COMPUTED_VALUE"""),"City")</f>
        <v>City</v>
      </c>
      <c r="G3" s="1" t="str">
        <f>IFERROR(__xludf.DUMMYFUNCTION("""COMPUTED_VALUE"""),"Maths")</f>
        <v>Maths</v>
      </c>
      <c r="H3" s="1" t="str">
        <f>IFERROR(__xludf.DUMMYFUNCTION("""COMPUTED_VALUE"""),"Science")</f>
        <v>Science</v>
      </c>
      <c r="I3" s="1" t="str">
        <f>IFERROR(__xludf.DUMMYFUNCTION("""COMPUTED_VALUE"""),"English")</f>
        <v>English</v>
      </c>
      <c r="J3" s="1" t="str">
        <f>IFERROR(__xludf.DUMMYFUNCTION("""COMPUTED_VALUE"""),"Hindi")</f>
        <v>Hindi</v>
      </c>
      <c r="K3" s="1" t="str">
        <f>IFERROR(__xludf.DUMMYFUNCTION("""COMPUTED_VALUE"""),"Social_Studies")</f>
        <v>Social_Studies</v>
      </c>
      <c r="L3" s="1" t="str">
        <f>IFERROR(__xludf.DUMMYFUNCTION("""COMPUTED_VALUE"""),"Total")</f>
        <v>Total</v>
      </c>
      <c r="M3" s="1" t="str">
        <f>IFERROR(__xludf.DUMMYFUNCTION("""COMPUTED_VALUE"""),"Percentage")</f>
        <v>Percentage</v>
      </c>
      <c r="N3" s="1" t="str">
        <f>IFERROR(__xludf.DUMMYFUNCTION("""COMPUTED_VALUE"""),"Attendance")</f>
        <v>Attendance</v>
      </c>
      <c r="O3" s="1" t="str">
        <f>IFERROR(__xludf.DUMMYFUNCTION("""COMPUTED_VALUE"""),"Status")</f>
        <v>Status</v>
      </c>
    </row>
    <row r="4">
      <c r="A4" s="1" t="str">
        <f>IFERROR(__xludf.DUMMYFUNCTION("""COMPUTED_VALUE"""),"STD-1002")</f>
        <v>STD-1002</v>
      </c>
      <c r="B4" s="1" t="str">
        <f>IFERROR(__xludf.DUMMYFUNCTION("""COMPUTED_VALUE"""),"Aarav Verma")</f>
        <v>Aarav Verma</v>
      </c>
      <c r="C4" s="1" t="str">
        <f>IFERROR(__xludf.DUMMYFUNCTION("""COMPUTED_VALUE"""),"Male")</f>
        <v>Male</v>
      </c>
      <c r="D4" s="1" t="str">
        <f>IFERROR(__xludf.DUMMYFUNCTION("""COMPUTED_VALUE"""),"7")</f>
        <v>7</v>
      </c>
      <c r="E4" s="1" t="str">
        <f>IFERROR(__xludf.DUMMYFUNCTION("""COMPUTED_VALUE"""),"C")</f>
        <v>C</v>
      </c>
      <c r="F4" s="1" t="str">
        <f>IFERROR(__xludf.DUMMYFUNCTION("""COMPUTED_VALUE"""),"Kolkata")</f>
        <v>Kolkata</v>
      </c>
      <c r="G4" s="1">
        <f>IFERROR(__xludf.DUMMYFUNCTION("""COMPUTED_VALUE"""),89.0)</f>
        <v>89</v>
      </c>
      <c r="H4" s="1">
        <f>IFERROR(__xludf.DUMMYFUNCTION("""COMPUTED_VALUE"""),83.0)</f>
        <v>83</v>
      </c>
      <c r="I4" s="1">
        <f>IFERROR(__xludf.DUMMYFUNCTION("""COMPUTED_VALUE"""),96.0)</f>
        <v>96</v>
      </c>
      <c r="J4" s="1">
        <f>IFERROR(__xludf.DUMMYFUNCTION("""COMPUTED_VALUE"""),54.0)</f>
        <v>54</v>
      </c>
      <c r="K4" s="1">
        <f>IFERROR(__xludf.DUMMYFUNCTION("""COMPUTED_VALUE"""),57.0)</f>
        <v>57</v>
      </c>
      <c r="L4" s="1">
        <f>IFERROR(__xludf.DUMMYFUNCTION("""COMPUTED_VALUE"""),379.0)</f>
        <v>379</v>
      </c>
      <c r="M4" s="1">
        <f>IFERROR(__xludf.DUMMYFUNCTION("""COMPUTED_VALUE"""),75.8)</f>
        <v>75.8</v>
      </c>
      <c r="N4" s="1">
        <f>IFERROR(__xludf.DUMMYFUNCTION("""COMPUTED_VALUE"""),89.0)</f>
        <v>89</v>
      </c>
      <c r="O4" s="1" t="str">
        <f>IFERROR(__xludf.DUMMYFUNCTION("""COMPUTED_VALUE"""),"Pass")</f>
        <v>Pass</v>
      </c>
    </row>
    <row r="5">
      <c r="A5" s="1" t="str">
        <f>IFERROR(__xludf.DUMMYFUNCTION("""COMPUTED_VALUE"""),"STD-1007")</f>
        <v>STD-1007</v>
      </c>
      <c r="B5" s="1" t="str">
        <f>IFERROR(__xludf.DUMMYFUNCTION("""COMPUTED_VALUE"""),"Meera Gupta")</f>
        <v>Meera Gupta</v>
      </c>
      <c r="C5" s="1" t="str">
        <f>IFERROR(__xludf.DUMMYFUNCTION("""COMPUTED_VALUE"""),"Male")</f>
        <v>Male</v>
      </c>
      <c r="D5" s="1" t="str">
        <f>IFERROR(__xludf.DUMMYFUNCTION("""COMPUTED_VALUE"""),"9")</f>
        <v>9</v>
      </c>
      <c r="E5" s="1" t="str">
        <f>IFERROR(__xludf.DUMMYFUNCTION("""COMPUTED_VALUE"""),"C")</f>
        <v>C</v>
      </c>
      <c r="F5" s="1" t="str">
        <f>IFERROR(__xludf.DUMMYFUNCTION("""COMPUTED_VALUE"""),"Lucknow")</f>
        <v>Lucknow</v>
      </c>
      <c r="G5" s="1">
        <f>IFERROR(__xludf.DUMMYFUNCTION("""COMPUTED_VALUE"""),93.0)</f>
        <v>93</v>
      </c>
      <c r="H5" s="1">
        <f>IFERROR(__xludf.DUMMYFUNCTION("""COMPUTED_VALUE"""),100.0)</f>
        <v>100</v>
      </c>
      <c r="I5" s="1">
        <f>IFERROR(__xludf.DUMMYFUNCTION("""COMPUTED_VALUE"""),58.0)</f>
        <v>58</v>
      </c>
      <c r="J5" s="1">
        <f>IFERROR(__xludf.DUMMYFUNCTION("""COMPUTED_VALUE"""),46.0)</f>
        <v>46</v>
      </c>
      <c r="K5" s="1">
        <f>IFERROR(__xludf.DUMMYFUNCTION("""COMPUTED_VALUE"""),67.0)</f>
        <v>67</v>
      </c>
      <c r="L5" s="1">
        <f>IFERROR(__xludf.DUMMYFUNCTION("""COMPUTED_VALUE"""),364.0)</f>
        <v>364</v>
      </c>
      <c r="M5" s="1">
        <f>IFERROR(__xludf.DUMMYFUNCTION("""COMPUTED_VALUE"""),72.8)</f>
        <v>72.8</v>
      </c>
      <c r="N5" s="1">
        <f>IFERROR(__xludf.DUMMYFUNCTION("""COMPUTED_VALUE"""),74.0)</f>
        <v>74</v>
      </c>
      <c r="O5" s="1" t="str">
        <f>IFERROR(__xludf.DUMMYFUNCTION("""COMPUTED_VALUE"""),"Pass")</f>
        <v>Pass</v>
      </c>
    </row>
    <row r="6">
      <c r="A6" s="1" t="str">
        <f>IFERROR(__xludf.DUMMYFUNCTION("""COMPUTED_VALUE"""),"STD-1029")</f>
        <v>STD-1029</v>
      </c>
      <c r="B6" s="1" t="str">
        <f>IFERROR(__xludf.DUMMYFUNCTION("""COMPUTED_VALUE"""),"Ananya Patel")</f>
        <v>Ananya Patel</v>
      </c>
      <c r="C6" s="1" t="str">
        <f>IFERROR(__xludf.DUMMYFUNCTION("""COMPUTED_VALUE"""),"Female")</f>
        <v>Female</v>
      </c>
      <c r="D6" s="1" t="str">
        <f>IFERROR(__xludf.DUMMYFUNCTION("""COMPUTED_VALUE"""),"6")</f>
        <v>6</v>
      </c>
      <c r="E6" s="1" t="str">
        <f>IFERROR(__xludf.DUMMYFUNCTION("""COMPUTED_VALUE"""),"C")</f>
        <v>C</v>
      </c>
      <c r="F6" s="1" t="str">
        <f>IFERROR(__xludf.DUMMYFUNCTION("""COMPUTED_VALUE"""),"Jaipur")</f>
        <v>Jaipur</v>
      </c>
      <c r="G6" s="1">
        <f>IFERROR(__xludf.DUMMYFUNCTION("""COMPUTED_VALUE"""),91.0)</f>
        <v>91</v>
      </c>
      <c r="H6" s="1">
        <f>IFERROR(__xludf.DUMMYFUNCTION("""COMPUTED_VALUE"""),91.0)</f>
        <v>91</v>
      </c>
      <c r="I6" s="1">
        <f>IFERROR(__xludf.DUMMYFUNCTION("""COMPUTED_VALUE"""),68.0)</f>
        <v>68</v>
      </c>
      <c r="J6" s="1">
        <f>IFERROR(__xludf.DUMMYFUNCTION("""COMPUTED_VALUE"""),55.0)</f>
        <v>55</v>
      </c>
      <c r="K6" s="1">
        <f>IFERROR(__xludf.DUMMYFUNCTION("""COMPUTED_VALUE"""),94.0)</f>
        <v>94</v>
      </c>
      <c r="L6" s="1">
        <f>IFERROR(__xludf.DUMMYFUNCTION("""COMPUTED_VALUE"""),399.0)</f>
        <v>399</v>
      </c>
      <c r="M6" s="1">
        <f>IFERROR(__xludf.DUMMYFUNCTION("""COMPUTED_VALUE"""),79.8)</f>
        <v>79.8</v>
      </c>
      <c r="N6" s="1">
        <f>IFERROR(__xludf.DUMMYFUNCTION("""COMPUTED_VALUE"""),91.0)</f>
        <v>91</v>
      </c>
      <c r="O6" s="1" t="str">
        <f>IFERROR(__xludf.DUMMYFUNCTION("""COMPUTED_VALUE"""),"Pass")</f>
        <v>Pass</v>
      </c>
    </row>
    <row r="7">
      <c r="A7" s="1" t="str">
        <f>IFERROR(__xludf.DUMMYFUNCTION("""COMPUTED_VALUE"""),"STD-1043")</f>
        <v>STD-1043</v>
      </c>
      <c r="B7" s="1" t="str">
        <f>IFERROR(__xludf.DUMMYFUNCTION("""COMPUTED_VALUE"""),"Priya Jain")</f>
        <v>Priya Jain</v>
      </c>
      <c r="C7" s="1" t="str">
        <f>IFERROR(__xludf.DUMMYFUNCTION("""COMPUTED_VALUE"""),"Male")</f>
        <v>Male</v>
      </c>
      <c r="D7" s="1" t="str">
        <f>IFERROR(__xludf.DUMMYFUNCTION("""COMPUTED_VALUE"""),"9")</f>
        <v>9</v>
      </c>
      <c r="E7" s="1" t="str">
        <f>IFERROR(__xludf.DUMMYFUNCTION("""COMPUTED_VALUE"""),"A")</f>
        <v>A</v>
      </c>
      <c r="F7" s="1" t="str">
        <f>IFERROR(__xludf.DUMMYFUNCTION("""COMPUTED_VALUE"""),"Mumbai")</f>
        <v>Mumbai</v>
      </c>
      <c r="G7" s="1">
        <f>IFERROR(__xludf.DUMMYFUNCTION("""COMPUTED_VALUE"""),88.0)</f>
        <v>88</v>
      </c>
      <c r="H7" s="1">
        <f>IFERROR(__xludf.DUMMYFUNCTION("""COMPUTED_VALUE"""),98.0)</f>
        <v>98</v>
      </c>
      <c r="I7" s="1">
        <f>IFERROR(__xludf.DUMMYFUNCTION("""COMPUTED_VALUE"""),45.0)</f>
        <v>45</v>
      </c>
      <c r="J7" s="1">
        <f>IFERROR(__xludf.DUMMYFUNCTION("""COMPUTED_VALUE"""),50.0)</f>
        <v>50</v>
      </c>
      <c r="K7" s="1">
        <f>IFERROR(__xludf.DUMMYFUNCTION("""COMPUTED_VALUE"""),53.0)</f>
        <v>53</v>
      </c>
      <c r="L7" s="1">
        <f>IFERROR(__xludf.DUMMYFUNCTION("""COMPUTED_VALUE"""),334.0)</f>
        <v>334</v>
      </c>
      <c r="M7" s="1">
        <f>IFERROR(__xludf.DUMMYFUNCTION("""COMPUTED_VALUE"""),66.8)</f>
        <v>66.8</v>
      </c>
      <c r="N7" s="1">
        <f>IFERROR(__xludf.DUMMYFUNCTION("""COMPUTED_VALUE"""),63.0)</f>
        <v>63</v>
      </c>
      <c r="O7" s="1" t="str">
        <f>IFERROR(__xludf.DUMMYFUNCTION("""COMPUTED_VALUE"""),"Pass")</f>
        <v>Pass</v>
      </c>
    </row>
    <row r="8">
      <c r="A8" s="1" t="str">
        <f>IFERROR(__xludf.DUMMYFUNCTION("""COMPUTED_VALUE"""),"STD-1059")</f>
        <v>STD-1059</v>
      </c>
      <c r="B8" s="1" t="str">
        <f>IFERROR(__xludf.DUMMYFUNCTION("""COMPUTED_VALUE"""),"Ananya Iyer")</f>
        <v>Ananya Iyer</v>
      </c>
      <c r="C8" s="1" t="str">
        <f>IFERROR(__xludf.DUMMYFUNCTION("""COMPUTED_VALUE"""),"Female")</f>
        <v>Female</v>
      </c>
      <c r="D8" s="1" t="str">
        <f>IFERROR(__xludf.DUMMYFUNCTION("""COMPUTED_VALUE"""),"9")</f>
        <v>9</v>
      </c>
      <c r="E8" s="1" t="str">
        <f>IFERROR(__xludf.DUMMYFUNCTION("""COMPUTED_VALUE"""),"A")</f>
        <v>A</v>
      </c>
      <c r="F8" s="1" t="str">
        <f>IFERROR(__xludf.DUMMYFUNCTION("""COMPUTED_VALUE"""),"Patna")</f>
        <v>Patna</v>
      </c>
      <c r="G8" s="1">
        <f>IFERROR(__xludf.DUMMYFUNCTION("""COMPUTED_VALUE"""),95.0)</f>
        <v>95</v>
      </c>
      <c r="H8" s="1">
        <f>IFERROR(__xludf.DUMMYFUNCTION("""COMPUTED_VALUE"""),86.0)</f>
        <v>86</v>
      </c>
      <c r="I8" s="1">
        <f>IFERROR(__xludf.DUMMYFUNCTION("""COMPUTED_VALUE"""),87.0)</f>
        <v>87</v>
      </c>
      <c r="J8" s="1">
        <f>IFERROR(__xludf.DUMMYFUNCTION("""COMPUTED_VALUE"""),42.0)</f>
        <v>42</v>
      </c>
      <c r="K8" s="1">
        <f>IFERROR(__xludf.DUMMYFUNCTION("""COMPUTED_VALUE"""),67.0)</f>
        <v>67</v>
      </c>
      <c r="L8" s="1">
        <f>IFERROR(__xludf.DUMMYFUNCTION("""COMPUTED_VALUE"""),377.0)</f>
        <v>377</v>
      </c>
      <c r="M8" s="1">
        <f>IFERROR(__xludf.DUMMYFUNCTION("""COMPUTED_VALUE"""),75.4)</f>
        <v>75.4</v>
      </c>
      <c r="N8" s="1">
        <f>IFERROR(__xludf.DUMMYFUNCTION("""COMPUTED_VALUE"""),77.0)</f>
        <v>77</v>
      </c>
      <c r="O8" s="1" t="str">
        <f>IFERROR(__xludf.DUMMYFUNCTION("""COMPUTED_VALUE"""),"Pass")</f>
        <v>Pass</v>
      </c>
    </row>
    <row r="9">
      <c r="A9" s="1" t="str">
        <f>IFERROR(__xludf.DUMMYFUNCTION("""COMPUTED_VALUE"""),"STD-1062")</f>
        <v>STD-1062</v>
      </c>
      <c r="B9" s="1" t="str">
        <f>IFERROR(__xludf.DUMMYFUNCTION("""COMPUTED_VALUE"""),"Karan Choudhary")</f>
        <v>Karan Choudhary</v>
      </c>
      <c r="C9" s="1" t="str">
        <f>IFERROR(__xludf.DUMMYFUNCTION("""COMPUTED_VALUE"""),"Female")</f>
        <v>Female</v>
      </c>
      <c r="D9" s="1" t="str">
        <f>IFERROR(__xludf.DUMMYFUNCTION("""COMPUTED_VALUE"""),"8")</f>
        <v>8</v>
      </c>
      <c r="E9" s="1" t="str">
        <f>IFERROR(__xludf.DUMMYFUNCTION("""COMPUTED_VALUE"""),"B")</f>
        <v>B</v>
      </c>
      <c r="F9" s="1" t="str">
        <f>IFERROR(__xludf.DUMMYFUNCTION("""COMPUTED_VALUE"""),"Jaipur")</f>
        <v>Jaipur</v>
      </c>
      <c r="G9" s="1">
        <f>IFERROR(__xludf.DUMMYFUNCTION("""COMPUTED_VALUE"""),85.0)</f>
        <v>85</v>
      </c>
      <c r="H9" s="1">
        <f>IFERROR(__xludf.DUMMYFUNCTION("""COMPUTED_VALUE"""),84.0)</f>
        <v>84</v>
      </c>
      <c r="I9" s="1">
        <f>IFERROR(__xludf.DUMMYFUNCTION("""COMPUTED_VALUE"""),83.0)</f>
        <v>83</v>
      </c>
      <c r="J9" s="1">
        <f>IFERROR(__xludf.DUMMYFUNCTION("""COMPUTED_VALUE"""),98.0)</f>
        <v>98</v>
      </c>
      <c r="K9" s="1">
        <f>IFERROR(__xludf.DUMMYFUNCTION("""COMPUTED_VALUE"""),79.0)</f>
        <v>79</v>
      </c>
      <c r="L9" s="1">
        <f>IFERROR(__xludf.DUMMYFUNCTION("""COMPUTED_VALUE"""),429.0)</f>
        <v>429</v>
      </c>
      <c r="M9" s="1">
        <f>IFERROR(__xludf.DUMMYFUNCTION("""COMPUTED_VALUE"""),85.8)</f>
        <v>85.8</v>
      </c>
      <c r="N9" s="1">
        <f>IFERROR(__xludf.DUMMYFUNCTION("""COMPUTED_VALUE"""),100.0)</f>
        <v>100</v>
      </c>
      <c r="O9" s="1" t="str">
        <f>IFERROR(__xludf.DUMMYFUNCTION("""COMPUTED_VALUE"""),"Pass")</f>
        <v>Pass</v>
      </c>
    </row>
    <row r="10">
      <c r="A10" s="1" t="str">
        <f>IFERROR(__xludf.DUMMYFUNCTION("""COMPUTED_VALUE"""),"STD-1074")</f>
        <v>STD-1074</v>
      </c>
      <c r="B10" s="1" t="str">
        <f>IFERROR(__xludf.DUMMYFUNCTION("""COMPUTED_VALUE"""),"Pooja Verma")</f>
        <v>Pooja Verma</v>
      </c>
      <c r="C10" s="1" t="str">
        <f>IFERROR(__xludf.DUMMYFUNCTION("""COMPUTED_VALUE"""),"Female")</f>
        <v>Female</v>
      </c>
      <c r="D10" s="1" t="str">
        <f>IFERROR(__xludf.DUMMYFUNCTION("""COMPUTED_VALUE"""),"9")</f>
        <v>9</v>
      </c>
      <c r="E10" s="1" t="str">
        <f>IFERROR(__xludf.DUMMYFUNCTION("""COMPUTED_VALUE"""),"A")</f>
        <v>A</v>
      </c>
      <c r="F10" s="1" t="str">
        <f>IFERROR(__xludf.DUMMYFUNCTION("""COMPUTED_VALUE"""),"Bhopal")</f>
        <v>Bhopal</v>
      </c>
      <c r="G10" s="1">
        <f>IFERROR(__xludf.DUMMYFUNCTION("""COMPUTED_VALUE"""),88.0)</f>
        <v>88</v>
      </c>
      <c r="H10" s="1">
        <f>IFERROR(__xludf.DUMMYFUNCTION("""COMPUTED_VALUE"""),88.0)</f>
        <v>88</v>
      </c>
      <c r="I10" s="1">
        <f>IFERROR(__xludf.DUMMYFUNCTION("""COMPUTED_VALUE"""),40.0)</f>
        <v>40</v>
      </c>
      <c r="J10" s="1">
        <f>IFERROR(__xludf.DUMMYFUNCTION("""COMPUTED_VALUE"""),100.0)</f>
        <v>100</v>
      </c>
      <c r="K10" s="1">
        <f>IFERROR(__xludf.DUMMYFUNCTION("""COMPUTED_VALUE"""),78.0)</f>
        <v>78</v>
      </c>
      <c r="L10" s="1">
        <f>IFERROR(__xludf.DUMMYFUNCTION("""COMPUTED_VALUE"""),394.0)</f>
        <v>394</v>
      </c>
      <c r="M10" s="1">
        <f>IFERROR(__xludf.DUMMYFUNCTION("""COMPUTED_VALUE"""),78.8)</f>
        <v>78.8</v>
      </c>
      <c r="N10" s="1">
        <f>IFERROR(__xludf.DUMMYFUNCTION("""COMPUTED_VALUE"""),64.0)</f>
        <v>64</v>
      </c>
      <c r="O10" s="1" t="str">
        <f>IFERROR(__xludf.DUMMYFUNCTION("""COMPUTED_VALUE"""),"Pass")</f>
        <v>Pass</v>
      </c>
    </row>
    <row r="11">
      <c r="A11" s="1" t="str">
        <f>IFERROR(__xludf.DUMMYFUNCTION("""COMPUTED_VALUE"""),"STD-1078")</f>
        <v>STD-1078</v>
      </c>
      <c r="B11" s="1" t="str">
        <f>IFERROR(__xludf.DUMMYFUNCTION("""COMPUTED_VALUE"""),"Kavya Reddy")</f>
        <v>Kavya Reddy</v>
      </c>
      <c r="C11" s="1" t="str">
        <f>IFERROR(__xludf.DUMMYFUNCTION("""COMPUTED_VALUE"""),"Female")</f>
        <v>Female</v>
      </c>
      <c r="D11" s="1" t="str">
        <f>IFERROR(__xludf.DUMMYFUNCTION("""COMPUTED_VALUE"""),"10")</f>
        <v>10</v>
      </c>
      <c r="E11" s="1" t="str">
        <f>IFERROR(__xludf.DUMMYFUNCTION("""COMPUTED_VALUE"""),"A")</f>
        <v>A</v>
      </c>
      <c r="F11" s="1" t="str">
        <f>IFERROR(__xludf.DUMMYFUNCTION("""COMPUTED_VALUE"""),"Lucknow")</f>
        <v>Lucknow</v>
      </c>
      <c r="G11" s="1">
        <f>IFERROR(__xludf.DUMMYFUNCTION("""COMPUTED_VALUE"""),84.0)</f>
        <v>84</v>
      </c>
      <c r="H11" s="1">
        <f>IFERROR(__xludf.DUMMYFUNCTION("""COMPUTED_VALUE"""),91.0)</f>
        <v>91</v>
      </c>
      <c r="I11" s="1">
        <f>IFERROR(__xludf.DUMMYFUNCTION("""COMPUTED_VALUE"""),96.0)</f>
        <v>96</v>
      </c>
      <c r="J11" s="1">
        <f>IFERROR(__xludf.DUMMYFUNCTION("""COMPUTED_VALUE"""),54.0)</f>
        <v>54</v>
      </c>
      <c r="K11" s="1">
        <f>IFERROR(__xludf.DUMMYFUNCTION("""COMPUTED_VALUE"""),89.0)</f>
        <v>89</v>
      </c>
      <c r="L11" s="1">
        <f>IFERROR(__xludf.DUMMYFUNCTION("""COMPUTED_VALUE"""),414.0)</f>
        <v>414</v>
      </c>
      <c r="M11" s="1">
        <f>IFERROR(__xludf.DUMMYFUNCTION("""COMPUTED_VALUE"""),82.8)</f>
        <v>82.8</v>
      </c>
      <c r="N11" s="1">
        <f>IFERROR(__xludf.DUMMYFUNCTION("""COMPUTED_VALUE"""),71.0)</f>
        <v>71</v>
      </c>
      <c r="O11" s="1" t="str">
        <f>IFERROR(__xludf.DUMMYFUNCTION("""COMPUTED_VALUE"""),"Pass")</f>
        <v>Pass</v>
      </c>
    </row>
    <row r="12">
      <c r="A12" s="1" t="str">
        <f>IFERROR(__xludf.DUMMYFUNCTION("""COMPUTED_VALUE"""),"STD-1086")</f>
        <v>STD-1086</v>
      </c>
      <c r="B12" s="1" t="str">
        <f>IFERROR(__xludf.DUMMYFUNCTION("""COMPUTED_VALUE"""),"Sai Yadav")</f>
        <v>Sai Yadav</v>
      </c>
      <c r="C12" s="1" t="str">
        <f>IFERROR(__xludf.DUMMYFUNCTION("""COMPUTED_VALUE"""),"Male")</f>
        <v>Male</v>
      </c>
      <c r="D12" s="1" t="str">
        <f>IFERROR(__xludf.DUMMYFUNCTION("""COMPUTED_VALUE"""),"9")</f>
        <v>9</v>
      </c>
      <c r="E12" s="1" t="str">
        <f>IFERROR(__xludf.DUMMYFUNCTION("""COMPUTED_VALUE"""),"B")</f>
        <v>B</v>
      </c>
      <c r="F12" s="1" t="str">
        <f>IFERROR(__xludf.DUMMYFUNCTION("""COMPUTED_VALUE"""),"Kolkata")</f>
        <v>Kolkata</v>
      </c>
      <c r="G12" s="1">
        <f>IFERROR(__xludf.DUMMYFUNCTION("""COMPUTED_VALUE"""),84.0)</f>
        <v>84</v>
      </c>
      <c r="H12" s="1">
        <f>IFERROR(__xludf.DUMMYFUNCTION("""COMPUTED_VALUE"""),91.0)</f>
        <v>91</v>
      </c>
      <c r="I12" s="1">
        <f>IFERROR(__xludf.DUMMYFUNCTION("""COMPUTED_VALUE"""),97.0)</f>
        <v>97</v>
      </c>
      <c r="J12" s="1">
        <f>IFERROR(__xludf.DUMMYFUNCTION("""COMPUTED_VALUE"""),73.0)</f>
        <v>73</v>
      </c>
      <c r="K12" s="1">
        <f>IFERROR(__xludf.DUMMYFUNCTION("""COMPUTED_VALUE"""),53.0)</f>
        <v>53</v>
      </c>
      <c r="L12" s="1">
        <f>IFERROR(__xludf.DUMMYFUNCTION("""COMPUTED_VALUE"""),398.0)</f>
        <v>398</v>
      </c>
      <c r="M12" s="1">
        <f>IFERROR(__xludf.DUMMYFUNCTION("""COMPUTED_VALUE"""),79.6)</f>
        <v>79.6</v>
      </c>
      <c r="N12" s="1">
        <f>IFERROR(__xludf.DUMMYFUNCTION("""COMPUTED_VALUE"""),60.0)</f>
        <v>60</v>
      </c>
      <c r="O12" s="1" t="str">
        <f>IFERROR(__xludf.DUMMYFUNCTION("""COMPUTED_VALUE"""),"Pass")</f>
        <v>Pass</v>
      </c>
    </row>
    <row r="13">
      <c r="A13" s="1" t="str">
        <f>IFERROR(__xludf.DUMMYFUNCTION("""COMPUTED_VALUE"""),"STD-1099")</f>
        <v>STD-1099</v>
      </c>
      <c r="B13" s="1" t="str">
        <f>IFERROR(__xludf.DUMMYFUNCTION("""COMPUTED_VALUE"""),"Sneha Iyer")</f>
        <v>Sneha Iyer</v>
      </c>
      <c r="C13" s="1" t="str">
        <f>IFERROR(__xludf.DUMMYFUNCTION("""COMPUTED_VALUE"""),"Male")</f>
        <v>Male</v>
      </c>
      <c r="D13" s="1" t="str">
        <f>IFERROR(__xludf.DUMMYFUNCTION("""COMPUTED_VALUE"""),"9")</f>
        <v>9</v>
      </c>
      <c r="E13" s="1" t="str">
        <f>IFERROR(__xludf.DUMMYFUNCTION("""COMPUTED_VALUE"""),"C")</f>
        <v>C</v>
      </c>
      <c r="F13" s="1" t="str">
        <f>IFERROR(__xludf.DUMMYFUNCTION("""COMPUTED_VALUE"""),"Jaipur")</f>
        <v>Jaipur</v>
      </c>
      <c r="G13" s="1">
        <f>IFERROR(__xludf.DUMMYFUNCTION("""COMPUTED_VALUE"""),100.0)</f>
        <v>100</v>
      </c>
      <c r="H13" s="1">
        <f>IFERROR(__xludf.DUMMYFUNCTION("""COMPUTED_VALUE"""),100.0)</f>
        <v>100</v>
      </c>
      <c r="I13" s="1">
        <f>IFERROR(__xludf.DUMMYFUNCTION("""COMPUTED_VALUE"""),53.0)</f>
        <v>53</v>
      </c>
      <c r="J13" s="1">
        <f>IFERROR(__xludf.DUMMYFUNCTION("""COMPUTED_VALUE"""),42.0)</f>
        <v>42</v>
      </c>
      <c r="K13" s="1">
        <f>IFERROR(__xludf.DUMMYFUNCTION("""COMPUTED_VALUE"""),65.0)</f>
        <v>65</v>
      </c>
      <c r="L13" s="1">
        <f>IFERROR(__xludf.DUMMYFUNCTION("""COMPUTED_VALUE"""),360.0)</f>
        <v>360</v>
      </c>
      <c r="M13" s="1">
        <f>IFERROR(__xludf.DUMMYFUNCTION("""COMPUTED_VALUE"""),72.0)</f>
        <v>72</v>
      </c>
      <c r="N13" s="1">
        <f>IFERROR(__xludf.DUMMYFUNCTION("""COMPUTED_VALUE"""),96.0)</f>
        <v>96</v>
      </c>
      <c r="O13" s="1" t="str">
        <f>IFERROR(__xludf.DUMMYFUNCTION("""COMPUTED_VALUE"""),"Pass")</f>
        <v>Pass</v>
      </c>
    </row>
    <row r="14">
      <c r="A14" s="1" t="str">
        <f>IFERROR(__xludf.DUMMYFUNCTION("""COMPUTED_VALUE"""),"STD-1111")</f>
        <v>STD-1111</v>
      </c>
      <c r="B14" s="1" t="str">
        <f>IFERROR(__xludf.DUMMYFUNCTION("""COMPUTED_VALUE"""),"Neha Singh")</f>
        <v>Neha Singh</v>
      </c>
      <c r="C14" s="1" t="str">
        <f>IFERROR(__xludf.DUMMYFUNCTION("""COMPUTED_VALUE"""),"Female")</f>
        <v>Female</v>
      </c>
      <c r="D14" s="1" t="str">
        <f>IFERROR(__xludf.DUMMYFUNCTION("""COMPUTED_VALUE"""),"6")</f>
        <v>6</v>
      </c>
      <c r="E14" s="1" t="str">
        <f>IFERROR(__xludf.DUMMYFUNCTION("""COMPUTED_VALUE"""),"B")</f>
        <v>B</v>
      </c>
      <c r="F14" s="1" t="str">
        <f>IFERROR(__xludf.DUMMYFUNCTION("""COMPUTED_VALUE"""),"Bhopal")</f>
        <v>Bhopal</v>
      </c>
      <c r="G14" s="1">
        <f>IFERROR(__xludf.DUMMYFUNCTION("""COMPUTED_VALUE"""),88.0)</f>
        <v>88</v>
      </c>
      <c r="H14" s="1">
        <f>IFERROR(__xludf.DUMMYFUNCTION("""COMPUTED_VALUE"""),89.0)</f>
        <v>89</v>
      </c>
      <c r="I14" s="1">
        <f>IFERROR(__xludf.DUMMYFUNCTION("""COMPUTED_VALUE"""),72.0)</f>
        <v>72</v>
      </c>
      <c r="J14" s="1">
        <f>IFERROR(__xludf.DUMMYFUNCTION("""COMPUTED_VALUE"""),42.0)</f>
        <v>42</v>
      </c>
      <c r="K14" s="1">
        <f>IFERROR(__xludf.DUMMYFUNCTION("""COMPUTED_VALUE"""),74.0)</f>
        <v>74</v>
      </c>
      <c r="L14" s="1">
        <f>IFERROR(__xludf.DUMMYFUNCTION("""COMPUTED_VALUE"""),365.0)</f>
        <v>365</v>
      </c>
      <c r="M14" s="1">
        <f>IFERROR(__xludf.DUMMYFUNCTION("""COMPUTED_VALUE"""),73.0)</f>
        <v>73</v>
      </c>
      <c r="N14" s="1">
        <f>IFERROR(__xludf.DUMMYFUNCTION("""COMPUTED_VALUE"""),64.0)</f>
        <v>64</v>
      </c>
      <c r="O14" s="1" t="str">
        <f>IFERROR(__xludf.DUMMYFUNCTION("""COMPUTED_VALUE"""),"Pass")</f>
        <v>Pass</v>
      </c>
    </row>
    <row r="15">
      <c r="A15" s="1" t="str">
        <f>IFERROR(__xludf.DUMMYFUNCTION("""COMPUTED_VALUE"""),"STD-1132")</f>
        <v>STD-1132</v>
      </c>
      <c r="B15" s="1" t="str">
        <f>IFERROR(__xludf.DUMMYFUNCTION("""COMPUTED_VALUE"""),"Ishita Iyer")</f>
        <v>Ishita Iyer</v>
      </c>
      <c r="C15" s="1" t="str">
        <f>IFERROR(__xludf.DUMMYFUNCTION("""COMPUTED_VALUE"""),"Male")</f>
        <v>Male</v>
      </c>
      <c r="D15" s="1" t="str">
        <f>IFERROR(__xludf.DUMMYFUNCTION("""COMPUTED_VALUE"""),"6")</f>
        <v>6</v>
      </c>
      <c r="E15" s="1" t="str">
        <f>IFERROR(__xludf.DUMMYFUNCTION("""COMPUTED_VALUE"""),"C")</f>
        <v>C</v>
      </c>
      <c r="F15" s="1" t="str">
        <f>IFERROR(__xludf.DUMMYFUNCTION("""COMPUTED_VALUE"""),"Jaipur")</f>
        <v>Jaipur</v>
      </c>
      <c r="G15" s="1">
        <f>IFERROR(__xludf.DUMMYFUNCTION("""COMPUTED_VALUE"""),93.0)</f>
        <v>93</v>
      </c>
      <c r="H15" s="1">
        <f>IFERROR(__xludf.DUMMYFUNCTION("""COMPUTED_VALUE"""),94.0)</f>
        <v>94</v>
      </c>
      <c r="I15" s="1">
        <f>IFERROR(__xludf.DUMMYFUNCTION("""COMPUTED_VALUE"""),47.0)</f>
        <v>47</v>
      </c>
      <c r="J15" s="1">
        <f>IFERROR(__xludf.DUMMYFUNCTION("""COMPUTED_VALUE"""),45.0)</f>
        <v>45</v>
      </c>
      <c r="K15" s="1">
        <f>IFERROR(__xludf.DUMMYFUNCTION("""COMPUTED_VALUE"""),54.0)</f>
        <v>54</v>
      </c>
      <c r="L15" s="1">
        <f>IFERROR(__xludf.DUMMYFUNCTION("""COMPUTED_VALUE"""),333.0)</f>
        <v>333</v>
      </c>
      <c r="M15" s="1">
        <f>IFERROR(__xludf.DUMMYFUNCTION("""COMPUTED_VALUE"""),66.6)</f>
        <v>66.6</v>
      </c>
      <c r="N15" s="1">
        <f>IFERROR(__xludf.DUMMYFUNCTION("""COMPUTED_VALUE"""),90.0)</f>
        <v>90</v>
      </c>
      <c r="O15" s="1" t="str">
        <f>IFERROR(__xludf.DUMMYFUNCTION("""COMPUTED_VALUE"""),"Pass")</f>
        <v>Pass</v>
      </c>
    </row>
    <row r="16">
      <c r="A16" s="1" t="str">
        <f>IFERROR(__xludf.DUMMYFUNCTION("""COMPUTED_VALUE"""),"STD-1133")</f>
        <v>STD-1133</v>
      </c>
      <c r="B16" s="1" t="str">
        <f>IFERROR(__xludf.DUMMYFUNCTION("""COMPUTED_VALUE"""),"Ananya Yadav")</f>
        <v>Ananya Yadav</v>
      </c>
      <c r="C16" s="1" t="str">
        <f>IFERROR(__xludf.DUMMYFUNCTION("""COMPUTED_VALUE"""),"Female")</f>
        <v>Female</v>
      </c>
      <c r="D16" s="1" t="str">
        <f>IFERROR(__xludf.DUMMYFUNCTION("""COMPUTED_VALUE"""),"10")</f>
        <v>10</v>
      </c>
      <c r="E16" s="1" t="str">
        <f>IFERROR(__xludf.DUMMYFUNCTION("""COMPUTED_VALUE"""),"B")</f>
        <v>B</v>
      </c>
      <c r="F16" s="1" t="str">
        <f>IFERROR(__xludf.DUMMYFUNCTION("""COMPUTED_VALUE"""),"Kolkata")</f>
        <v>Kolkata</v>
      </c>
      <c r="G16" s="1">
        <f>IFERROR(__xludf.DUMMYFUNCTION("""COMPUTED_VALUE"""),85.0)</f>
        <v>85</v>
      </c>
      <c r="H16" s="1">
        <f>IFERROR(__xludf.DUMMYFUNCTION("""COMPUTED_VALUE"""),83.0)</f>
        <v>83</v>
      </c>
      <c r="I16" s="1">
        <f>IFERROR(__xludf.DUMMYFUNCTION("""COMPUTED_VALUE"""),67.0)</f>
        <v>67</v>
      </c>
      <c r="J16" s="1">
        <f>IFERROR(__xludf.DUMMYFUNCTION("""COMPUTED_VALUE"""),87.0)</f>
        <v>87</v>
      </c>
      <c r="K16" s="1">
        <f>IFERROR(__xludf.DUMMYFUNCTION("""COMPUTED_VALUE"""),71.0)</f>
        <v>71</v>
      </c>
      <c r="L16" s="1">
        <f>IFERROR(__xludf.DUMMYFUNCTION("""COMPUTED_VALUE"""),393.0)</f>
        <v>393</v>
      </c>
      <c r="M16" s="1">
        <f>IFERROR(__xludf.DUMMYFUNCTION("""COMPUTED_VALUE"""),78.6)</f>
        <v>78.6</v>
      </c>
      <c r="N16" s="1">
        <f>IFERROR(__xludf.DUMMYFUNCTION("""COMPUTED_VALUE"""),66.0)</f>
        <v>66</v>
      </c>
      <c r="O16" s="1" t="str">
        <f>IFERROR(__xludf.DUMMYFUNCTION("""COMPUTED_VALUE"""),"Pass")</f>
        <v>Pass</v>
      </c>
    </row>
    <row r="17">
      <c r="A17" s="1" t="str">
        <f>IFERROR(__xludf.DUMMYFUNCTION("""COMPUTED_VALUE"""),"STD-1134")</f>
        <v>STD-1134</v>
      </c>
      <c r="B17" s="1" t="str">
        <f>IFERROR(__xludf.DUMMYFUNCTION("""COMPUTED_VALUE"""),"Aarav Gupta")</f>
        <v>Aarav Gupta</v>
      </c>
      <c r="C17" s="1" t="str">
        <f>IFERROR(__xludf.DUMMYFUNCTION("""COMPUTED_VALUE"""),"Female")</f>
        <v>Female</v>
      </c>
      <c r="D17" s="1" t="str">
        <f>IFERROR(__xludf.DUMMYFUNCTION("""COMPUTED_VALUE"""),"9")</f>
        <v>9</v>
      </c>
      <c r="E17" s="1" t="str">
        <f>IFERROR(__xludf.DUMMYFUNCTION("""COMPUTED_VALUE"""),"C")</f>
        <v>C</v>
      </c>
      <c r="F17" s="1" t="str">
        <f>IFERROR(__xludf.DUMMYFUNCTION("""COMPUTED_VALUE"""),"Lucknow")</f>
        <v>Lucknow</v>
      </c>
      <c r="G17" s="1">
        <f>IFERROR(__xludf.DUMMYFUNCTION("""COMPUTED_VALUE"""),85.0)</f>
        <v>85</v>
      </c>
      <c r="H17" s="1">
        <f>IFERROR(__xludf.DUMMYFUNCTION("""COMPUTED_VALUE"""),83.0)</f>
        <v>83</v>
      </c>
      <c r="I17" s="1">
        <f>IFERROR(__xludf.DUMMYFUNCTION("""COMPUTED_VALUE"""),91.0)</f>
        <v>91</v>
      </c>
      <c r="J17" s="1">
        <f>IFERROR(__xludf.DUMMYFUNCTION("""COMPUTED_VALUE"""),64.0)</f>
        <v>64</v>
      </c>
      <c r="K17" s="1">
        <f>IFERROR(__xludf.DUMMYFUNCTION("""COMPUTED_VALUE"""),47.0)</f>
        <v>47</v>
      </c>
      <c r="L17" s="1">
        <f>IFERROR(__xludf.DUMMYFUNCTION("""COMPUTED_VALUE"""),370.0)</f>
        <v>370</v>
      </c>
      <c r="M17" s="1">
        <f>IFERROR(__xludf.DUMMYFUNCTION("""COMPUTED_VALUE"""),74.0)</f>
        <v>74</v>
      </c>
      <c r="N17" s="1">
        <f>IFERROR(__xludf.DUMMYFUNCTION("""COMPUTED_VALUE"""),75.0)</f>
        <v>75</v>
      </c>
      <c r="O17" s="1" t="str">
        <f>IFERROR(__xludf.DUMMYFUNCTION("""COMPUTED_VALUE"""),"Pass")</f>
        <v>Pass</v>
      </c>
    </row>
    <row r="18">
      <c r="A18" s="1" t="str">
        <f>IFERROR(__xludf.DUMMYFUNCTION("""COMPUTED_VALUE"""),"STD-1149")</f>
        <v>STD-1149</v>
      </c>
      <c r="B18" s="1" t="str">
        <f>IFERROR(__xludf.DUMMYFUNCTION("""COMPUTED_VALUE"""),"Tanvi Banerjee")</f>
        <v>Tanvi Banerjee</v>
      </c>
      <c r="C18" s="1" t="str">
        <f>IFERROR(__xludf.DUMMYFUNCTION("""COMPUTED_VALUE"""),"Female")</f>
        <v>Female</v>
      </c>
      <c r="D18" s="1" t="str">
        <f>IFERROR(__xludf.DUMMYFUNCTION("""COMPUTED_VALUE"""),"7")</f>
        <v>7</v>
      </c>
      <c r="E18" s="1" t="str">
        <f>IFERROR(__xludf.DUMMYFUNCTION("""COMPUTED_VALUE"""),"A")</f>
        <v>A</v>
      </c>
      <c r="F18" s="1" t="str">
        <f>IFERROR(__xludf.DUMMYFUNCTION("""COMPUTED_VALUE"""),"Patna")</f>
        <v>Patna</v>
      </c>
      <c r="G18" s="1">
        <f>IFERROR(__xludf.DUMMYFUNCTION("""COMPUTED_VALUE"""),88.0)</f>
        <v>88</v>
      </c>
      <c r="H18" s="1">
        <f>IFERROR(__xludf.DUMMYFUNCTION("""COMPUTED_VALUE"""),85.0)</f>
        <v>85</v>
      </c>
      <c r="I18" s="1">
        <f>IFERROR(__xludf.DUMMYFUNCTION("""COMPUTED_VALUE"""),72.0)</f>
        <v>72</v>
      </c>
      <c r="J18" s="1">
        <f>IFERROR(__xludf.DUMMYFUNCTION("""COMPUTED_VALUE"""),72.0)</f>
        <v>72</v>
      </c>
      <c r="K18" s="1">
        <f>IFERROR(__xludf.DUMMYFUNCTION("""COMPUTED_VALUE"""),78.0)</f>
        <v>78</v>
      </c>
      <c r="L18" s="1">
        <f>IFERROR(__xludf.DUMMYFUNCTION("""COMPUTED_VALUE"""),395.0)</f>
        <v>395</v>
      </c>
      <c r="M18" s="1">
        <f>IFERROR(__xludf.DUMMYFUNCTION("""COMPUTED_VALUE"""),79.0)</f>
        <v>79</v>
      </c>
      <c r="N18" s="1">
        <f>IFERROR(__xludf.DUMMYFUNCTION("""COMPUTED_VALUE"""),97.0)</f>
        <v>97</v>
      </c>
      <c r="O18" s="1" t="str">
        <f>IFERROR(__xludf.DUMMYFUNCTION("""COMPUTED_VALUE"""),"Pass")</f>
        <v>Pass</v>
      </c>
    </row>
    <row r="19">
      <c r="A19" s="1" t="str">
        <f>IFERROR(__xludf.DUMMYFUNCTION("""COMPUTED_VALUE"""),"STD-1153")</f>
        <v>STD-1153</v>
      </c>
      <c r="B19" s="1" t="str">
        <f>IFERROR(__xludf.DUMMYFUNCTION("""COMPUTED_VALUE"""),"Neha Kaur")</f>
        <v>Neha Kaur</v>
      </c>
      <c r="C19" s="1" t="str">
        <f>IFERROR(__xludf.DUMMYFUNCTION("""COMPUTED_VALUE"""),"Female")</f>
        <v>Female</v>
      </c>
      <c r="D19" s="1" t="str">
        <f>IFERROR(__xludf.DUMMYFUNCTION("""COMPUTED_VALUE"""),"8")</f>
        <v>8</v>
      </c>
      <c r="E19" s="1" t="str">
        <f>IFERROR(__xludf.DUMMYFUNCTION("""COMPUTED_VALUE"""),"A")</f>
        <v>A</v>
      </c>
      <c r="F19" s="1" t="str">
        <f>IFERROR(__xludf.DUMMYFUNCTION("""COMPUTED_VALUE"""),"Kolkata")</f>
        <v>Kolkata</v>
      </c>
      <c r="G19" s="1">
        <f>IFERROR(__xludf.DUMMYFUNCTION("""COMPUTED_VALUE"""),92.0)</f>
        <v>92</v>
      </c>
      <c r="H19" s="1">
        <f>IFERROR(__xludf.DUMMYFUNCTION("""COMPUTED_VALUE"""),81.0)</f>
        <v>81</v>
      </c>
      <c r="I19" s="1">
        <f>IFERROR(__xludf.DUMMYFUNCTION("""COMPUTED_VALUE"""),54.0)</f>
        <v>54</v>
      </c>
      <c r="J19" s="1">
        <f>IFERROR(__xludf.DUMMYFUNCTION("""COMPUTED_VALUE"""),46.0)</f>
        <v>46</v>
      </c>
      <c r="K19" s="1">
        <f>IFERROR(__xludf.DUMMYFUNCTION("""COMPUTED_VALUE"""),62.0)</f>
        <v>62</v>
      </c>
      <c r="L19" s="1">
        <f>IFERROR(__xludf.DUMMYFUNCTION("""COMPUTED_VALUE"""),335.0)</f>
        <v>335</v>
      </c>
      <c r="M19" s="1">
        <f>IFERROR(__xludf.DUMMYFUNCTION("""COMPUTED_VALUE"""),67.0)</f>
        <v>67</v>
      </c>
      <c r="N19" s="1">
        <f>IFERROR(__xludf.DUMMYFUNCTION("""COMPUTED_VALUE"""),72.0)</f>
        <v>72</v>
      </c>
      <c r="O19" s="1" t="str">
        <f>IFERROR(__xludf.DUMMYFUNCTION("""COMPUTED_VALUE"""),"Pass")</f>
        <v>Pass</v>
      </c>
    </row>
    <row r="20">
      <c r="A20" s="1" t="str">
        <f>IFERROR(__xludf.DUMMYFUNCTION("""COMPUTED_VALUE"""),"STD-1172")</f>
        <v>STD-1172</v>
      </c>
      <c r="B20" s="1" t="str">
        <f>IFERROR(__xludf.DUMMYFUNCTION("""COMPUTED_VALUE"""),"Rohan Das")</f>
        <v>Rohan Das</v>
      </c>
      <c r="C20" s="1" t="str">
        <f>IFERROR(__xludf.DUMMYFUNCTION("""COMPUTED_VALUE"""),"Female")</f>
        <v>Female</v>
      </c>
      <c r="D20" s="1" t="str">
        <f>IFERROR(__xludf.DUMMYFUNCTION("""COMPUTED_VALUE"""),"8")</f>
        <v>8</v>
      </c>
      <c r="E20" s="1" t="str">
        <f>IFERROR(__xludf.DUMMYFUNCTION("""COMPUTED_VALUE"""),"C")</f>
        <v>C</v>
      </c>
      <c r="F20" s="1" t="str">
        <f>IFERROR(__xludf.DUMMYFUNCTION("""COMPUTED_VALUE"""),"Bhopal")</f>
        <v>Bhopal</v>
      </c>
      <c r="G20" s="1">
        <f>IFERROR(__xludf.DUMMYFUNCTION("""COMPUTED_VALUE"""),90.0)</f>
        <v>90</v>
      </c>
      <c r="H20" s="1">
        <f>IFERROR(__xludf.DUMMYFUNCTION("""COMPUTED_VALUE"""),87.0)</f>
        <v>87</v>
      </c>
      <c r="I20" s="1">
        <f>IFERROR(__xludf.DUMMYFUNCTION("""COMPUTED_VALUE"""),61.0)</f>
        <v>61</v>
      </c>
      <c r="J20" s="1">
        <f>IFERROR(__xludf.DUMMYFUNCTION("""COMPUTED_VALUE"""),44.0)</f>
        <v>44</v>
      </c>
      <c r="K20" s="1">
        <f>IFERROR(__xludf.DUMMYFUNCTION("""COMPUTED_VALUE"""),83.0)</f>
        <v>83</v>
      </c>
      <c r="L20" s="1">
        <f>IFERROR(__xludf.DUMMYFUNCTION("""COMPUTED_VALUE"""),365.0)</f>
        <v>365</v>
      </c>
      <c r="M20" s="1">
        <f>IFERROR(__xludf.DUMMYFUNCTION("""COMPUTED_VALUE"""),73.0)</f>
        <v>73</v>
      </c>
      <c r="N20" s="1">
        <f>IFERROR(__xludf.DUMMYFUNCTION("""COMPUTED_VALUE"""),77.0)</f>
        <v>77</v>
      </c>
      <c r="O20" s="1" t="str">
        <f>IFERROR(__xludf.DUMMYFUNCTION("""COMPUTED_VALUE"""),"Pass")</f>
        <v>Pass</v>
      </c>
    </row>
    <row r="21" ht="15.75" customHeight="1">
      <c r="A21" s="1" t="str">
        <f>IFERROR(__xludf.DUMMYFUNCTION("""COMPUTED_VALUE"""),"STD-1178")</f>
        <v>STD-1178</v>
      </c>
      <c r="B21" s="1" t="str">
        <f>IFERROR(__xludf.DUMMYFUNCTION("""COMPUTED_VALUE"""),"Ritika Singh")</f>
        <v>Ritika Singh</v>
      </c>
      <c r="C21" s="1" t="str">
        <f>IFERROR(__xludf.DUMMYFUNCTION("""COMPUTED_VALUE"""),"Male")</f>
        <v>Male</v>
      </c>
      <c r="D21" s="1" t="str">
        <f>IFERROR(__xludf.DUMMYFUNCTION("""COMPUTED_VALUE"""),"9")</f>
        <v>9</v>
      </c>
      <c r="E21" s="1" t="str">
        <f>IFERROR(__xludf.DUMMYFUNCTION("""COMPUTED_VALUE"""),"B")</f>
        <v>B</v>
      </c>
      <c r="F21" s="1" t="str">
        <f>IFERROR(__xludf.DUMMYFUNCTION("""COMPUTED_VALUE"""),"Chandigarh")</f>
        <v>Chandigarh</v>
      </c>
      <c r="G21" s="1">
        <f>IFERROR(__xludf.DUMMYFUNCTION("""COMPUTED_VALUE"""),88.0)</f>
        <v>88</v>
      </c>
      <c r="H21" s="1">
        <f>IFERROR(__xludf.DUMMYFUNCTION("""COMPUTED_VALUE"""),97.0)</f>
        <v>97</v>
      </c>
      <c r="I21" s="1">
        <f>IFERROR(__xludf.DUMMYFUNCTION("""COMPUTED_VALUE"""),56.0)</f>
        <v>56</v>
      </c>
      <c r="J21" s="1">
        <f>IFERROR(__xludf.DUMMYFUNCTION("""COMPUTED_VALUE"""),53.0)</f>
        <v>53</v>
      </c>
      <c r="K21" s="1">
        <f>IFERROR(__xludf.DUMMYFUNCTION("""COMPUTED_VALUE"""),72.0)</f>
        <v>72</v>
      </c>
      <c r="L21" s="1">
        <f>IFERROR(__xludf.DUMMYFUNCTION("""COMPUTED_VALUE"""),366.0)</f>
        <v>366</v>
      </c>
      <c r="M21" s="1">
        <f>IFERROR(__xludf.DUMMYFUNCTION("""COMPUTED_VALUE"""),73.2)</f>
        <v>73.2</v>
      </c>
      <c r="N21" s="1">
        <f>IFERROR(__xludf.DUMMYFUNCTION("""COMPUTED_VALUE"""),77.0)</f>
        <v>77</v>
      </c>
      <c r="O21" s="1" t="str">
        <f>IFERROR(__xludf.DUMMYFUNCTION("""COMPUTED_VALUE"""),"Pass")</f>
        <v>Pass</v>
      </c>
    </row>
    <row r="22" ht="15.75" customHeight="1">
      <c r="A22" s="1" t="str">
        <f>IFERROR(__xludf.DUMMYFUNCTION("""COMPUTED_VALUE"""),"STD-1181")</f>
        <v>STD-1181</v>
      </c>
      <c r="B22" s="1" t="str">
        <f>IFERROR(__xludf.DUMMYFUNCTION("""COMPUTED_VALUE"""),"Rahul Verma")</f>
        <v>Rahul Verma</v>
      </c>
      <c r="C22" s="1" t="str">
        <f>IFERROR(__xludf.DUMMYFUNCTION("""COMPUTED_VALUE"""),"Female")</f>
        <v>Female</v>
      </c>
      <c r="D22" s="1" t="str">
        <f>IFERROR(__xludf.DUMMYFUNCTION("""COMPUTED_VALUE"""),"9")</f>
        <v>9</v>
      </c>
      <c r="E22" s="1" t="str">
        <f>IFERROR(__xludf.DUMMYFUNCTION("""COMPUTED_VALUE"""),"B")</f>
        <v>B</v>
      </c>
      <c r="F22" s="1" t="str">
        <f>IFERROR(__xludf.DUMMYFUNCTION("""COMPUTED_VALUE"""),"Mumbai")</f>
        <v>Mumbai</v>
      </c>
      <c r="G22" s="1">
        <f>IFERROR(__xludf.DUMMYFUNCTION("""COMPUTED_VALUE"""),93.0)</f>
        <v>93</v>
      </c>
      <c r="H22" s="1">
        <f>IFERROR(__xludf.DUMMYFUNCTION("""COMPUTED_VALUE"""),89.0)</f>
        <v>89</v>
      </c>
      <c r="I22" s="1">
        <f>IFERROR(__xludf.DUMMYFUNCTION("""COMPUTED_VALUE"""),86.0)</f>
        <v>86</v>
      </c>
      <c r="J22" s="1">
        <f>IFERROR(__xludf.DUMMYFUNCTION("""COMPUTED_VALUE"""),46.0)</f>
        <v>46</v>
      </c>
      <c r="K22" s="1">
        <f>IFERROR(__xludf.DUMMYFUNCTION("""COMPUTED_VALUE"""),65.0)</f>
        <v>65</v>
      </c>
      <c r="L22" s="1">
        <f>IFERROR(__xludf.DUMMYFUNCTION("""COMPUTED_VALUE"""),379.0)</f>
        <v>379</v>
      </c>
      <c r="M22" s="1">
        <f>IFERROR(__xludf.DUMMYFUNCTION("""COMPUTED_VALUE"""),75.8)</f>
        <v>75.8</v>
      </c>
      <c r="N22" s="1">
        <f>IFERROR(__xludf.DUMMYFUNCTION("""COMPUTED_VALUE"""),82.0)</f>
        <v>82</v>
      </c>
      <c r="O22" s="1" t="str">
        <f>IFERROR(__xludf.DUMMYFUNCTION("""COMPUTED_VALUE"""),"Pass")</f>
        <v>Pass</v>
      </c>
    </row>
    <row r="23" ht="15.75" customHeight="1">
      <c r="A23" s="1" t="str">
        <f>IFERROR(__xludf.DUMMYFUNCTION("""COMPUTED_VALUE"""),"STD-1192")</f>
        <v>STD-1192</v>
      </c>
      <c r="B23" s="1" t="str">
        <f>IFERROR(__xludf.DUMMYFUNCTION("""COMPUTED_VALUE"""),"Neha Jain")</f>
        <v>Neha Jain</v>
      </c>
      <c r="C23" s="1" t="str">
        <f>IFERROR(__xludf.DUMMYFUNCTION("""COMPUTED_VALUE"""),"Female")</f>
        <v>Female</v>
      </c>
      <c r="D23" s="1" t="str">
        <f>IFERROR(__xludf.DUMMYFUNCTION("""COMPUTED_VALUE"""),"6")</f>
        <v>6</v>
      </c>
      <c r="E23" s="1" t="str">
        <f>IFERROR(__xludf.DUMMYFUNCTION("""COMPUTED_VALUE"""),"C")</f>
        <v>C</v>
      </c>
      <c r="F23" s="1" t="str">
        <f>IFERROR(__xludf.DUMMYFUNCTION("""COMPUTED_VALUE"""),"Jaipur")</f>
        <v>Jaipur</v>
      </c>
      <c r="G23" s="1">
        <f>IFERROR(__xludf.DUMMYFUNCTION("""COMPUTED_VALUE"""),81.0)</f>
        <v>81</v>
      </c>
      <c r="H23" s="1">
        <f>IFERROR(__xludf.DUMMYFUNCTION("""COMPUTED_VALUE"""),82.0)</f>
        <v>82</v>
      </c>
      <c r="I23" s="1">
        <f>IFERROR(__xludf.DUMMYFUNCTION("""COMPUTED_VALUE"""),42.0)</f>
        <v>42</v>
      </c>
      <c r="J23" s="1">
        <f>IFERROR(__xludf.DUMMYFUNCTION("""COMPUTED_VALUE"""),66.0)</f>
        <v>66</v>
      </c>
      <c r="K23" s="1">
        <f>IFERROR(__xludf.DUMMYFUNCTION("""COMPUTED_VALUE"""),86.0)</f>
        <v>86</v>
      </c>
      <c r="L23" s="1">
        <f>IFERROR(__xludf.DUMMYFUNCTION("""COMPUTED_VALUE"""),357.0)</f>
        <v>357</v>
      </c>
      <c r="M23" s="1">
        <f>IFERROR(__xludf.DUMMYFUNCTION("""COMPUTED_VALUE"""),71.4)</f>
        <v>71.4</v>
      </c>
      <c r="N23" s="1">
        <f>IFERROR(__xludf.DUMMYFUNCTION("""COMPUTED_VALUE"""),91.0)</f>
        <v>91</v>
      </c>
      <c r="O23" s="1" t="str">
        <f>IFERROR(__xludf.DUMMYFUNCTION("""COMPUTED_VALUE"""),"Pass")</f>
        <v>Pass</v>
      </c>
    </row>
    <row r="24" ht="15.75" customHeight="1">
      <c r="A24" s="1" t="str">
        <f>IFERROR(__xludf.DUMMYFUNCTION("""COMPUTED_VALUE"""),"STD-1199")</f>
        <v>STD-1199</v>
      </c>
      <c r="B24" s="1" t="str">
        <f>IFERROR(__xludf.DUMMYFUNCTION("""COMPUTED_VALUE"""),"Ritika Das")</f>
        <v>Ritika Das</v>
      </c>
      <c r="C24" s="1" t="str">
        <f>IFERROR(__xludf.DUMMYFUNCTION("""COMPUTED_VALUE"""),"Female")</f>
        <v>Female</v>
      </c>
      <c r="D24" s="1" t="str">
        <f>IFERROR(__xludf.DUMMYFUNCTION("""COMPUTED_VALUE"""),"10")</f>
        <v>10</v>
      </c>
      <c r="E24" s="1" t="str">
        <f>IFERROR(__xludf.DUMMYFUNCTION("""COMPUTED_VALUE"""),"A")</f>
        <v>A</v>
      </c>
      <c r="F24" s="1" t="str">
        <f>IFERROR(__xludf.DUMMYFUNCTION("""COMPUTED_VALUE"""),"Mumbai")</f>
        <v>Mumbai</v>
      </c>
      <c r="G24" s="1">
        <f>IFERROR(__xludf.DUMMYFUNCTION("""COMPUTED_VALUE"""),82.0)</f>
        <v>82</v>
      </c>
      <c r="H24" s="1">
        <f>IFERROR(__xludf.DUMMYFUNCTION("""COMPUTED_VALUE"""),89.0)</f>
        <v>89</v>
      </c>
      <c r="I24" s="1">
        <f>IFERROR(__xludf.DUMMYFUNCTION("""COMPUTED_VALUE"""),48.0)</f>
        <v>48</v>
      </c>
      <c r="J24" s="1">
        <f>IFERROR(__xludf.DUMMYFUNCTION("""COMPUTED_VALUE"""),60.0)</f>
        <v>60</v>
      </c>
      <c r="K24" s="1">
        <f>IFERROR(__xludf.DUMMYFUNCTION("""COMPUTED_VALUE"""),59.0)</f>
        <v>59</v>
      </c>
      <c r="L24" s="1">
        <f>IFERROR(__xludf.DUMMYFUNCTION("""COMPUTED_VALUE"""),338.0)</f>
        <v>338</v>
      </c>
      <c r="M24" s="1">
        <f>IFERROR(__xludf.DUMMYFUNCTION("""COMPUTED_VALUE"""),67.6)</f>
        <v>67.6</v>
      </c>
      <c r="N24" s="1">
        <f>IFERROR(__xludf.DUMMYFUNCTION("""COMPUTED_VALUE"""),60.0)</f>
        <v>60</v>
      </c>
      <c r="O24" s="1" t="str">
        <f>IFERROR(__xludf.DUMMYFUNCTION("""COMPUTED_VALUE"""),"Pass")</f>
        <v>Pass</v>
      </c>
    </row>
    <row r="25" ht="15.75" customHeight="1">
      <c r="A25" s="1" t="str">
        <f>IFERROR(__xludf.DUMMYFUNCTION("""COMPUTED_VALUE"""),"STD-1206")</f>
        <v>STD-1206</v>
      </c>
      <c r="B25" s="1" t="str">
        <f>IFERROR(__xludf.DUMMYFUNCTION("""COMPUTED_VALUE"""),"Rahul Jain")</f>
        <v>Rahul Jain</v>
      </c>
      <c r="C25" s="1" t="str">
        <f>IFERROR(__xludf.DUMMYFUNCTION("""COMPUTED_VALUE"""),"Female")</f>
        <v>Female</v>
      </c>
      <c r="D25" s="1" t="str">
        <f>IFERROR(__xludf.DUMMYFUNCTION("""COMPUTED_VALUE"""),"9")</f>
        <v>9</v>
      </c>
      <c r="E25" s="1" t="str">
        <f>IFERROR(__xludf.DUMMYFUNCTION("""COMPUTED_VALUE"""),"B")</f>
        <v>B</v>
      </c>
      <c r="F25" s="1" t="str">
        <f>IFERROR(__xludf.DUMMYFUNCTION("""COMPUTED_VALUE"""),"Bhopal")</f>
        <v>Bhopal</v>
      </c>
      <c r="G25" s="1">
        <f>IFERROR(__xludf.DUMMYFUNCTION("""COMPUTED_VALUE"""),82.0)</f>
        <v>82</v>
      </c>
      <c r="H25" s="1">
        <f>IFERROR(__xludf.DUMMYFUNCTION("""COMPUTED_VALUE"""),92.0)</f>
        <v>92</v>
      </c>
      <c r="I25" s="1">
        <f>IFERROR(__xludf.DUMMYFUNCTION("""COMPUTED_VALUE"""),57.0)</f>
        <v>57</v>
      </c>
      <c r="J25" s="1">
        <f>IFERROR(__xludf.DUMMYFUNCTION("""COMPUTED_VALUE"""),74.0)</f>
        <v>74</v>
      </c>
      <c r="K25" s="1">
        <f>IFERROR(__xludf.DUMMYFUNCTION("""COMPUTED_VALUE"""),73.0)</f>
        <v>73</v>
      </c>
      <c r="L25" s="1">
        <f>IFERROR(__xludf.DUMMYFUNCTION("""COMPUTED_VALUE"""),378.0)</f>
        <v>378</v>
      </c>
      <c r="M25" s="1">
        <f>IFERROR(__xludf.DUMMYFUNCTION("""COMPUTED_VALUE"""),75.6)</f>
        <v>75.6</v>
      </c>
      <c r="N25" s="1">
        <f>IFERROR(__xludf.DUMMYFUNCTION("""COMPUTED_VALUE"""),89.0)</f>
        <v>89</v>
      </c>
      <c r="O25" s="1" t="str">
        <f>IFERROR(__xludf.DUMMYFUNCTION("""COMPUTED_VALUE"""),"Pass")</f>
        <v>Pass</v>
      </c>
    </row>
    <row r="26" ht="15.75" customHeight="1">
      <c r="A26" s="1" t="str">
        <f>IFERROR(__xludf.DUMMYFUNCTION("""COMPUTED_VALUE"""),"STD-1231")</f>
        <v>STD-1231</v>
      </c>
      <c r="B26" s="1" t="str">
        <f>IFERROR(__xludf.DUMMYFUNCTION("""COMPUTED_VALUE"""),"Aditya Reddy")</f>
        <v>Aditya Reddy</v>
      </c>
      <c r="C26" s="1" t="str">
        <f>IFERROR(__xludf.DUMMYFUNCTION("""COMPUTED_VALUE"""),"Male")</f>
        <v>Male</v>
      </c>
      <c r="D26" s="1" t="str">
        <f>IFERROR(__xludf.DUMMYFUNCTION("""COMPUTED_VALUE"""),"8")</f>
        <v>8</v>
      </c>
      <c r="E26" s="1" t="str">
        <f>IFERROR(__xludf.DUMMYFUNCTION("""COMPUTED_VALUE"""),"A")</f>
        <v>A</v>
      </c>
      <c r="F26" s="1" t="str">
        <f>IFERROR(__xludf.DUMMYFUNCTION("""COMPUTED_VALUE"""),"Delhi")</f>
        <v>Delhi</v>
      </c>
      <c r="G26" s="1">
        <f>IFERROR(__xludf.DUMMYFUNCTION("""COMPUTED_VALUE"""),83.0)</f>
        <v>83</v>
      </c>
      <c r="H26" s="1">
        <f>IFERROR(__xludf.DUMMYFUNCTION("""COMPUTED_VALUE"""),94.0)</f>
        <v>94</v>
      </c>
      <c r="I26" s="1">
        <f>IFERROR(__xludf.DUMMYFUNCTION("""COMPUTED_VALUE"""),91.0)</f>
        <v>91</v>
      </c>
      <c r="J26" s="1">
        <f>IFERROR(__xludf.DUMMYFUNCTION("""COMPUTED_VALUE"""),44.0)</f>
        <v>44</v>
      </c>
      <c r="K26" s="1">
        <f>IFERROR(__xludf.DUMMYFUNCTION("""COMPUTED_VALUE"""),76.0)</f>
        <v>76</v>
      </c>
      <c r="L26" s="1">
        <f>IFERROR(__xludf.DUMMYFUNCTION("""COMPUTED_VALUE"""),388.0)</f>
        <v>388</v>
      </c>
      <c r="M26" s="1">
        <f>IFERROR(__xludf.DUMMYFUNCTION("""COMPUTED_VALUE"""),77.6)</f>
        <v>77.6</v>
      </c>
      <c r="N26" s="1">
        <f>IFERROR(__xludf.DUMMYFUNCTION("""COMPUTED_VALUE"""),84.0)</f>
        <v>84</v>
      </c>
      <c r="O26" s="1" t="str">
        <f>IFERROR(__xludf.DUMMYFUNCTION("""COMPUTED_VALUE"""),"Pass")</f>
        <v>Pass</v>
      </c>
    </row>
    <row r="27" ht="15.75" customHeight="1">
      <c r="A27" s="1" t="str">
        <f>IFERROR(__xludf.DUMMYFUNCTION("""COMPUTED_VALUE"""),"STD-1232")</f>
        <v>STD-1232</v>
      </c>
      <c r="B27" s="1" t="str">
        <f>IFERROR(__xludf.DUMMYFUNCTION("""COMPUTED_VALUE"""),"Priya Choudhary")</f>
        <v>Priya Choudhary</v>
      </c>
      <c r="C27" s="1" t="str">
        <f>IFERROR(__xludf.DUMMYFUNCTION("""COMPUTED_VALUE"""),"Female")</f>
        <v>Female</v>
      </c>
      <c r="D27" s="1" t="str">
        <f>IFERROR(__xludf.DUMMYFUNCTION("""COMPUTED_VALUE"""),"7")</f>
        <v>7</v>
      </c>
      <c r="E27" s="1" t="str">
        <f>IFERROR(__xludf.DUMMYFUNCTION("""COMPUTED_VALUE"""),"B")</f>
        <v>B</v>
      </c>
      <c r="F27" s="1" t="str">
        <f>IFERROR(__xludf.DUMMYFUNCTION("""COMPUTED_VALUE"""),"Chandigarh")</f>
        <v>Chandigarh</v>
      </c>
      <c r="G27" s="1">
        <f>IFERROR(__xludf.DUMMYFUNCTION("""COMPUTED_VALUE"""),88.0)</f>
        <v>88</v>
      </c>
      <c r="H27" s="1">
        <f>IFERROR(__xludf.DUMMYFUNCTION("""COMPUTED_VALUE"""),94.0)</f>
        <v>94</v>
      </c>
      <c r="I27" s="1">
        <f>IFERROR(__xludf.DUMMYFUNCTION("""COMPUTED_VALUE"""),84.0)</f>
        <v>84</v>
      </c>
      <c r="J27" s="1">
        <f>IFERROR(__xludf.DUMMYFUNCTION("""COMPUTED_VALUE"""),76.0)</f>
        <v>76</v>
      </c>
      <c r="K27" s="1">
        <f>IFERROR(__xludf.DUMMYFUNCTION("""COMPUTED_VALUE"""),95.0)</f>
        <v>95</v>
      </c>
      <c r="L27" s="1">
        <f>IFERROR(__xludf.DUMMYFUNCTION("""COMPUTED_VALUE"""),437.0)</f>
        <v>437</v>
      </c>
      <c r="M27" s="1">
        <f>IFERROR(__xludf.DUMMYFUNCTION("""COMPUTED_VALUE"""),87.4)</f>
        <v>87.4</v>
      </c>
      <c r="N27" s="1">
        <f>IFERROR(__xludf.DUMMYFUNCTION("""COMPUTED_VALUE"""),62.0)</f>
        <v>62</v>
      </c>
      <c r="O27" s="1" t="str">
        <f>IFERROR(__xludf.DUMMYFUNCTION("""COMPUTED_VALUE"""),"Pass")</f>
        <v>Pass</v>
      </c>
    </row>
    <row r="28" ht="15.75" customHeight="1">
      <c r="A28" s="1" t="str">
        <f>IFERROR(__xludf.DUMMYFUNCTION("""COMPUTED_VALUE"""),"STD-1240")</f>
        <v>STD-1240</v>
      </c>
      <c r="B28" s="1" t="str">
        <f>IFERROR(__xludf.DUMMYFUNCTION("""COMPUTED_VALUE"""),"Sai Yadav")</f>
        <v>Sai Yadav</v>
      </c>
      <c r="C28" s="1" t="str">
        <f>IFERROR(__xludf.DUMMYFUNCTION("""COMPUTED_VALUE"""),"Female")</f>
        <v>Female</v>
      </c>
      <c r="D28" s="1" t="str">
        <f>IFERROR(__xludf.DUMMYFUNCTION("""COMPUTED_VALUE"""),"7")</f>
        <v>7</v>
      </c>
      <c r="E28" s="1" t="str">
        <f>IFERROR(__xludf.DUMMYFUNCTION("""COMPUTED_VALUE"""),"C")</f>
        <v>C</v>
      </c>
      <c r="F28" s="1" t="str">
        <f>IFERROR(__xludf.DUMMYFUNCTION("""COMPUTED_VALUE"""),"Delhi")</f>
        <v>Delhi</v>
      </c>
      <c r="G28" s="1">
        <f>IFERROR(__xludf.DUMMYFUNCTION("""COMPUTED_VALUE"""),95.0)</f>
        <v>95</v>
      </c>
      <c r="H28" s="1">
        <f>IFERROR(__xludf.DUMMYFUNCTION("""COMPUTED_VALUE"""),94.0)</f>
        <v>94</v>
      </c>
      <c r="I28" s="1">
        <f>IFERROR(__xludf.DUMMYFUNCTION("""COMPUTED_VALUE"""),62.0)</f>
        <v>62</v>
      </c>
      <c r="J28" s="1">
        <f>IFERROR(__xludf.DUMMYFUNCTION("""COMPUTED_VALUE"""),59.0)</f>
        <v>59</v>
      </c>
      <c r="K28" s="1">
        <f>IFERROR(__xludf.DUMMYFUNCTION("""COMPUTED_VALUE"""),53.0)</f>
        <v>53</v>
      </c>
      <c r="L28" s="1">
        <f>IFERROR(__xludf.DUMMYFUNCTION("""COMPUTED_VALUE"""),363.0)</f>
        <v>363</v>
      </c>
      <c r="M28" s="1">
        <f>IFERROR(__xludf.DUMMYFUNCTION("""COMPUTED_VALUE"""),72.6)</f>
        <v>72.6</v>
      </c>
      <c r="N28" s="1">
        <f>IFERROR(__xludf.DUMMYFUNCTION("""COMPUTED_VALUE"""),77.0)</f>
        <v>77</v>
      </c>
      <c r="O28" s="1" t="str">
        <f>IFERROR(__xludf.DUMMYFUNCTION("""COMPUTED_VALUE"""),"Pass")</f>
        <v>Pass</v>
      </c>
    </row>
    <row r="29" ht="15.75" customHeight="1">
      <c r="A29" s="1" t="str">
        <f>IFERROR(__xludf.DUMMYFUNCTION("""COMPUTED_VALUE"""),"STD-1250")</f>
        <v>STD-1250</v>
      </c>
      <c r="B29" s="1" t="str">
        <f>IFERROR(__xludf.DUMMYFUNCTION("""COMPUTED_VALUE"""),"Tanvi Choudhary")</f>
        <v>Tanvi Choudhary</v>
      </c>
      <c r="C29" s="1" t="str">
        <f>IFERROR(__xludf.DUMMYFUNCTION("""COMPUTED_VALUE"""),"Female")</f>
        <v>Female</v>
      </c>
      <c r="D29" s="1" t="str">
        <f>IFERROR(__xludf.DUMMYFUNCTION("""COMPUTED_VALUE"""),"6")</f>
        <v>6</v>
      </c>
      <c r="E29" s="1" t="str">
        <f>IFERROR(__xludf.DUMMYFUNCTION("""COMPUTED_VALUE"""),"A")</f>
        <v>A</v>
      </c>
      <c r="F29" s="1" t="str">
        <f>IFERROR(__xludf.DUMMYFUNCTION("""COMPUTED_VALUE"""),"Bhopal")</f>
        <v>Bhopal</v>
      </c>
      <c r="G29" s="1">
        <f>IFERROR(__xludf.DUMMYFUNCTION("""COMPUTED_VALUE"""),98.0)</f>
        <v>98</v>
      </c>
      <c r="H29" s="1">
        <f>IFERROR(__xludf.DUMMYFUNCTION("""COMPUTED_VALUE"""),89.0)</f>
        <v>89</v>
      </c>
      <c r="I29" s="1">
        <f>IFERROR(__xludf.DUMMYFUNCTION("""COMPUTED_VALUE"""),44.0)</f>
        <v>44</v>
      </c>
      <c r="J29" s="1">
        <f>IFERROR(__xludf.DUMMYFUNCTION("""COMPUTED_VALUE"""),59.0)</f>
        <v>59</v>
      </c>
      <c r="K29" s="1">
        <f>IFERROR(__xludf.DUMMYFUNCTION("""COMPUTED_VALUE"""),98.0)</f>
        <v>98</v>
      </c>
      <c r="L29" s="1">
        <f>IFERROR(__xludf.DUMMYFUNCTION("""COMPUTED_VALUE"""),388.0)</f>
        <v>388</v>
      </c>
      <c r="M29" s="1">
        <f>IFERROR(__xludf.DUMMYFUNCTION("""COMPUTED_VALUE"""),77.6)</f>
        <v>77.6</v>
      </c>
      <c r="N29" s="1">
        <f>IFERROR(__xludf.DUMMYFUNCTION("""COMPUTED_VALUE"""),74.0)</f>
        <v>74</v>
      </c>
      <c r="O29" s="1" t="str">
        <f>IFERROR(__xludf.DUMMYFUNCTION("""COMPUTED_VALUE"""),"Pass")</f>
        <v>Pass</v>
      </c>
    </row>
    <row r="30" ht="15.75" customHeight="1">
      <c r="A30" s="1" t="str">
        <f>IFERROR(__xludf.DUMMYFUNCTION("""COMPUTED_VALUE"""),"STD-1251")</f>
        <v>STD-1251</v>
      </c>
      <c r="B30" s="1" t="str">
        <f>IFERROR(__xludf.DUMMYFUNCTION("""COMPUTED_VALUE"""),"Shreya Choudhary")</f>
        <v>Shreya Choudhary</v>
      </c>
      <c r="C30" s="1" t="str">
        <f>IFERROR(__xludf.DUMMYFUNCTION("""COMPUTED_VALUE"""),"Female")</f>
        <v>Female</v>
      </c>
      <c r="D30" s="1" t="str">
        <f>IFERROR(__xludf.DUMMYFUNCTION("""COMPUTED_VALUE"""),"10")</f>
        <v>10</v>
      </c>
      <c r="E30" s="1" t="str">
        <f>IFERROR(__xludf.DUMMYFUNCTION("""COMPUTED_VALUE"""),"B")</f>
        <v>B</v>
      </c>
      <c r="F30" s="1" t="str">
        <f>IFERROR(__xludf.DUMMYFUNCTION("""COMPUTED_VALUE"""),"Lucknow")</f>
        <v>Lucknow</v>
      </c>
      <c r="G30" s="1">
        <f>IFERROR(__xludf.DUMMYFUNCTION("""COMPUTED_VALUE"""),92.0)</f>
        <v>92</v>
      </c>
      <c r="H30" s="1">
        <f>IFERROR(__xludf.DUMMYFUNCTION("""COMPUTED_VALUE"""),92.0)</f>
        <v>92</v>
      </c>
      <c r="I30" s="1">
        <f>IFERROR(__xludf.DUMMYFUNCTION("""COMPUTED_VALUE"""),94.0)</f>
        <v>94</v>
      </c>
      <c r="J30" s="1">
        <f>IFERROR(__xludf.DUMMYFUNCTION("""COMPUTED_VALUE"""),52.0)</f>
        <v>52</v>
      </c>
      <c r="K30" s="1">
        <f>IFERROR(__xludf.DUMMYFUNCTION("""COMPUTED_VALUE"""),68.0)</f>
        <v>68</v>
      </c>
      <c r="L30" s="1">
        <f>IFERROR(__xludf.DUMMYFUNCTION("""COMPUTED_VALUE"""),398.0)</f>
        <v>398</v>
      </c>
      <c r="M30" s="1">
        <f>IFERROR(__xludf.DUMMYFUNCTION("""COMPUTED_VALUE"""),79.6)</f>
        <v>79.6</v>
      </c>
      <c r="N30" s="1">
        <f>IFERROR(__xludf.DUMMYFUNCTION("""COMPUTED_VALUE"""),67.0)</f>
        <v>67</v>
      </c>
      <c r="O30" s="1" t="str">
        <f>IFERROR(__xludf.DUMMYFUNCTION("""COMPUTED_VALUE"""),"Pass")</f>
        <v>Pass</v>
      </c>
    </row>
    <row r="31" ht="15.75" customHeight="1">
      <c r="A31" s="1" t="str">
        <f>IFERROR(__xludf.DUMMYFUNCTION("""COMPUTED_VALUE"""),"STD-1253")</f>
        <v>STD-1253</v>
      </c>
      <c r="B31" s="1" t="str">
        <f>IFERROR(__xludf.DUMMYFUNCTION("""COMPUTED_VALUE"""),"Ishita Singh")</f>
        <v>Ishita Singh</v>
      </c>
      <c r="C31" s="1" t="str">
        <f>IFERROR(__xludf.DUMMYFUNCTION("""COMPUTED_VALUE"""),"Female")</f>
        <v>Female</v>
      </c>
      <c r="D31" s="1" t="str">
        <f>IFERROR(__xludf.DUMMYFUNCTION("""COMPUTED_VALUE"""),"10")</f>
        <v>10</v>
      </c>
      <c r="E31" s="1" t="str">
        <f>IFERROR(__xludf.DUMMYFUNCTION("""COMPUTED_VALUE"""),"C")</f>
        <v>C</v>
      </c>
      <c r="F31" s="1" t="str">
        <f>IFERROR(__xludf.DUMMYFUNCTION("""COMPUTED_VALUE"""),"Lucknow")</f>
        <v>Lucknow</v>
      </c>
      <c r="G31" s="1">
        <f>IFERROR(__xludf.DUMMYFUNCTION("""COMPUTED_VALUE"""),96.0)</f>
        <v>96</v>
      </c>
      <c r="H31" s="1">
        <f>IFERROR(__xludf.DUMMYFUNCTION("""COMPUTED_VALUE"""),95.0)</f>
        <v>95</v>
      </c>
      <c r="I31" s="1">
        <f>IFERROR(__xludf.DUMMYFUNCTION("""COMPUTED_VALUE"""),64.0)</f>
        <v>64</v>
      </c>
      <c r="J31" s="1">
        <f>IFERROR(__xludf.DUMMYFUNCTION("""COMPUTED_VALUE"""),90.0)</f>
        <v>90</v>
      </c>
      <c r="K31" s="1">
        <f>IFERROR(__xludf.DUMMYFUNCTION("""COMPUTED_VALUE"""),50.0)</f>
        <v>50</v>
      </c>
      <c r="L31" s="1">
        <f>IFERROR(__xludf.DUMMYFUNCTION("""COMPUTED_VALUE"""),395.0)</f>
        <v>395</v>
      </c>
      <c r="M31" s="1">
        <f>IFERROR(__xludf.DUMMYFUNCTION("""COMPUTED_VALUE"""),79.0)</f>
        <v>79</v>
      </c>
      <c r="N31" s="1">
        <f>IFERROR(__xludf.DUMMYFUNCTION("""COMPUTED_VALUE"""),75.0)</f>
        <v>75</v>
      </c>
      <c r="O31" s="1" t="str">
        <f>IFERROR(__xludf.DUMMYFUNCTION("""COMPUTED_VALUE"""),"Pass")</f>
        <v>Pass</v>
      </c>
    </row>
    <row r="32" ht="15.75" customHeight="1">
      <c r="A32" s="1" t="str">
        <f>IFERROR(__xludf.DUMMYFUNCTION("""COMPUTED_VALUE"""),"STD-1264")</f>
        <v>STD-1264</v>
      </c>
      <c r="B32" s="1" t="str">
        <f>IFERROR(__xludf.DUMMYFUNCTION("""COMPUTED_VALUE"""),"Ishita Nair")</f>
        <v>Ishita Nair</v>
      </c>
      <c r="C32" s="1" t="str">
        <f>IFERROR(__xludf.DUMMYFUNCTION("""COMPUTED_VALUE"""),"Female")</f>
        <v>Female</v>
      </c>
      <c r="D32" s="1" t="str">
        <f>IFERROR(__xludf.DUMMYFUNCTION("""COMPUTED_VALUE"""),"7")</f>
        <v>7</v>
      </c>
      <c r="E32" s="1" t="str">
        <f>IFERROR(__xludf.DUMMYFUNCTION("""COMPUTED_VALUE"""),"C")</f>
        <v>C</v>
      </c>
      <c r="F32" s="1" t="str">
        <f>IFERROR(__xludf.DUMMYFUNCTION("""COMPUTED_VALUE"""),"Chandigarh")</f>
        <v>Chandigarh</v>
      </c>
      <c r="G32" s="1">
        <f>IFERROR(__xludf.DUMMYFUNCTION("""COMPUTED_VALUE"""),100.0)</f>
        <v>100</v>
      </c>
      <c r="H32" s="1">
        <f>IFERROR(__xludf.DUMMYFUNCTION("""COMPUTED_VALUE"""),95.0)</f>
        <v>95</v>
      </c>
      <c r="I32" s="1">
        <f>IFERROR(__xludf.DUMMYFUNCTION("""COMPUTED_VALUE"""),90.0)</f>
        <v>90</v>
      </c>
      <c r="J32" s="1">
        <f>IFERROR(__xludf.DUMMYFUNCTION("""COMPUTED_VALUE"""),49.0)</f>
        <v>49</v>
      </c>
      <c r="K32" s="1">
        <f>IFERROR(__xludf.DUMMYFUNCTION("""COMPUTED_VALUE"""),50.0)</f>
        <v>50</v>
      </c>
      <c r="L32" s="1">
        <f>IFERROR(__xludf.DUMMYFUNCTION("""COMPUTED_VALUE"""),384.0)</f>
        <v>384</v>
      </c>
      <c r="M32" s="1">
        <f>IFERROR(__xludf.DUMMYFUNCTION("""COMPUTED_VALUE"""),76.8)</f>
        <v>76.8</v>
      </c>
      <c r="N32" s="1">
        <f>IFERROR(__xludf.DUMMYFUNCTION("""COMPUTED_VALUE"""),70.0)</f>
        <v>70</v>
      </c>
      <c r="O32" s="1" t="str">
        <f>IFERROR(__xludf.DUMMYFUNCTION("""COMPUTED_VALUE"""),"Pass")</f>
        <v>Pass</v>
      </c>
    </row>
    <row r="33" ht="15.75" customHeight="1">
      <c r="A33" s="1" t="str">
        <f>IFERROR(__xludf.DUMMYFUNCTION("""COMPUTED_VALUE"""),"STD-1269")</f>
        <v>STD-1269</v>
      </c>
      <c r="B33" s="1" t="str">
        <f>IFERROR(__xludf.DUMMYFUNCTION("""COMPUTED_VALUE"""),"Aditya Kulkarni")</f>
        <v>Aditya Kulkarni</v>
      </c>
      <c r="C33" s="1" t="str">
        <f>IFERROR(__xludf.DUMMYFUNCTION("""COMPUTED_VALUE"""),"Male")</f>
        <v>Male</v>
      </c>
      <c r="D33" s="1" t="str">
        <f>IFERROR(__xludf.DUMMYFUNCTION("""COMPUTED_VALUE"""),"10")</f>
        <v>10</v>
      </c>
      <c r="E33" s="1" t="str">
        <f>IFERROR(__xludf.DUMMYFUNCTION("""COMPUTED_VALUE"""),"B")</f>
        <v>B</v>
      </c>
      <c r="F33" s="1" t="str">
        <f>IFERROR(__xludf.DUMMYFUNCTION("""COMPUTED_VALUE"""),"Chandigarh")</f>
        <v>Chandigarh</v>
      </c>
      <c r="G33" s="1">
        <f>IFERROR(__xludf.DUMMYFUNCTION("""COMPUTED_VALUE"""),91.0)</f>
        <v>91</v>
      </c>
      <c r="H33" s="1">
        <f>IFERROR(__xludf.DUMMYFUNCTION("""COMPUTED_VALUE"""),98.0)</f>
        <v>98</v>
      </c>
      <c r="I33" s="1">
        <f>IFERROR(__xludf.DUMMYFUNCTION("""COMPUTED_VALUE"""),55.0)</f>
        <v>55</v>
      </c>
      <c r="J33" s="1">
        <f>IFERROR(__xludf.DUMMYFUNCTION("""COMPUTED_VALUE"""),70.0)</f>
        <v>70</v>
      </c>
      <c r="K33" s="1">
        <f>IFERROR(__xludf.DUMMYFUNCTION("""COMPUTED_VALUE"""),87.0)</f>
        <v>87</v>
      </c>
      <c r="L33" s="1">
        <f>IFERROR(__xludf.DUMMYFUNCTION("""COMPUTED_VALUE"""),401.0)</f>
        <v>401</v>
      </c>
      <c r="M33" s="1">
        <f>IFERROR(__xludf.DUMMYFUNCTION("""COMPUTED_VALUE"""),80.2)</f>
        <v>80.2</v>
      </c>
      <c r="N33" s="1">
        <f>IFERROR(__xludf.DUMMYFUNCTION("""COMPUTED_VALUE"""),62.0)</f>
        <v>62</v>
      </c>
      <c r="O33" s="1" t="str">
        <f>IFERROR(__xludf.DUMMYFUNCTION("""COMPUTED_VALUE"""),"Pass")</f>
        <v>Pass</v>
      </c>
    </row>
    <row r="34" ht="15.75" customHeight="1">
      <c r="A34" s="1" t="str">
        <f>IFERROR(__xludf.DUMMYFUNCTION("""COMPUTED_VALUE"""),"STD-1276")</f>
        <v>STD-1276</v>
      </c>
      <c r="B34" s="1" t="str">
        <f>IFERROR(__xludf.DUMMYFUNCTION("""COMPUTED_VALUE"""),"Meera Singh")</f>
        <v>Meera Singh</v>
      </c>
      <c r="C34" s="1" t="str">
        <f>IFERROR(__xludf.DUMMYFUNCTION("""COMPUTED_VALUE"""),"Female")</f>
        <v>Female</v>
      </c>
      <c r="D34" s="1" t="str">
        <f>IFERROR(__xludf.DUMMYFUNCTION("""COMPUTED_VALUE"""),"8")</f>
        <v>8</v>
      </c>
      <c r="E34" s="1" t="str">
        <f>IFERROR(__xludf.DUMMYFUNCTION("""COMPUTED_VALUE"""),"B")</f>
        <v>B</v>
      </c>
      <c r="F34" s="1" t="str">
        <f>IFERROR(__xludf.DUMMYFUNCTION("""COMPUTED_VALUE"""),"Jaipur")</f>
        <v>Jaipur</v>
      </c>
      <c r="G34" s="1">
        <f>IFERROR(__xludf.DUMMYFUNCTION("""COMPUTED_VALUE"""),85.0)</f>
        <v>85</v>
      </c>
      <c r="H34" s="1">
        <f>IFERROR(__xludf.DUMMYFUNCTION("""COMPUTED_VALUE"""),93.0)</f>
        <v>93</v>
      </c>
      <c r="I34" s="1">
        <f>IFERROR(__xludf.DUMMYFUNCTION("""COMPUTED_VALUE"""),51.0)</f>
        <v>51</v>
      </c>
      <c r="J34" s="1">
        <f>IFERROR(__xludf.DUMMYFUNCTION("""COMPUTED_VALUE"""),48.0)</f>
        <v>48</v>
      </c>
      <c r="K34" s="1">
        <f>IFERROR(__xludf.DUMMYFUNCTION("""COMPUTED_VALUE"""),51.0)</f>
        <v>51</v>
      </c>
      <c r="L34" s="1">
        <f>IFERROR(__xludf.DUMMYFUNCTION("""COMPUTED_VALUE"""),328.0)</f>
        <v>328</v>
      </c>
      <c r="M34" s="1">
        <f>IFERROR(__xludf.DUMMYFUNCTION("""COMPUTED_VALUE"""),65.6)</f>
        <v>65.6</v>
      </c>
      <c r="N34" s="1">
        <f>IFERROR(__xludf.DUMMYFUNCTION("""COMPUTED_VALUE"""),91.0)</f>
        <v>91</v>
      </c>
      <c r="O34" s="1" t="str">
        <f>IFERROR(__xludf.DUMMYFUNCTION("""COMPUTED_VALUE"""),"Pass")</f>
        <v>Pass</v>
      </c>
    </row>
    <row r="35" ht="15.75" customHeight="1">
      <c r="A35" s="1" t="str">
        <f>IFERROR(__xludf.DUMMYFUNCTION("""COMPUTED_VALUE"""),"STD-1279")</f>
        <v>STD-1279</v>
      </c>
      <c r="B35" s="1" t="str">
        <f>IFERROR(__xludf.DUMMYFUNCTION("""COMPUTED_VALUE"""),"Sai Iyer")</f>
        <v>Sai Iyer</v>
      </c>
      <c r="C35" s="1" t="str">
        <f>IFERROR(__xludf.DUMMYFUNCTION("""COMPUTED_VALUE"""),"Male")</f>
        <v>Male</v>
      </c>
      <c r="D35" s="1" t="str">
        <f>IFERROR(__xludf.DUMMYFUNCTION("""COMPUTED_VALUE"""),"8")</f>
        <v>8</v>
      </c>
      <c r="E35" s="1" t="str">
        <f>IFERROR(__xludf.DUMMYFUNCTION("""COMPUTED_VALUE"""),"C")</f>
        <v>C</v>
      </c>
      <c r="F35" s="1" t="str">
        <f>IFERROR(__xludf.DUMMYFUNCTION("""COMPUTED_VALUE"""),"Jaipur")</f>
        <v>Jaipur</v>
      </c>
      <c r="G35" s="1">
        <f>IFERROR(__xludf.DUMMYFUNCTION("""COMPUTED_VALUE"""),99.0)</f>
        <v>99</v>
      </c>
      <c r="H35" s="1">
        <f>IFERROR(__xludf.DUMMYFUNCTION("""COMPUTED_VALUE"""),100.0)</f>
        <v>100</v>
      </c>
      <c r="I35" s="1">
        <f>IFERROR(__xludf.DUMMYFUNCTION("""COMPUTED_VALUE"""),67.0)</f>
        <v>67</v>
      </c>
      <c r="J35" s="1">
        <f>IFERROR(__xludf.DUMMYFUNCTION("""COMPUTED_VALUE"""),75.0)</f>
        <v>75</v>
      </c>
      <c r="K35" s="1">
        <f>IFERROR(__xludf.DUMMYFUNCTION("""COMPUTED_VALUE"""),43.0)</f>
        <v>43</v>
      </c>
      <c r="L35" s="1">
        <f>IFERROR(__xludf.DUMMYFUNCTION("""COMPUTED_VALUE"""),384.0)</f>
        <v>384</v>
      </c>
      <c r="M35" s="1">
        <f>IFERROR(__xludf.DUMMYFUNCTION("""COMPUTED_VALUE"""),76.8)</f>
        <v>76.8</v>
      </c>
      <c r="N35" s="1">
        <f>IFERROR(__xludf.DUMMYFUNCTION("""COMPUTED_VALUE"""),91.0)</f>
        <v>91</v>
      </c>
      <c r="O35" s="1" t="str">
        <f>IFERROR(__xludf.DUMMYFUNCTION("""COMPUTED_VALUE"""),"Pass")</f>
        <v>Pass</v>
      </c>
    </row>
    <row r="36" ht="15.75" customHeight="1">
      <c r="A36" s="1" t="str">
        <f>IFERROR(__xludf.DUMMYFUNCTION("""COMPUTED_VALUE"""),"STD-1295")</f>
        <v>STD-1295</v>
      </c>
      <c r="B36" s="1" t="str">
        <f>IFERROR(__xludf.DUMMYFUNCTION("""COMPUTED_VALUE"""),"Sneha Singh")</f>
        <v>Sneha Singh</v>
      </c>
      <c r="C36" s="1" t="str">
        <f>IFERROR(__xludf.DUMMYFUNCTION("""COMPUTED_VALUE"""),"Male")</f>
        <v>Male</v>
      </c>
      <c r="D36" s="1" t="str">
        <f>IFERROR(__xludf.DUMMYFUNCTION("""COMPUTED_VALUE"""),"7")</f>
        <v>7</v>
      </c>
      <c r="E36" s="1" t="str">
        <f>IFERROR(__xludf.DUMMYFUNCTION("""COMPUTED_VALUE"""),"B")</f>
        <v>B</v>
      </c>
      <c r="F36" s="1" t="str">
        <f>IFERROR(__xludf.DUMMYFUNCTION("""COMPUTED_VALUE"""),"Kolkata")</f>
        <v>Kolkata</v>
      </c>
      <c r="G36" s="1">
        <f>IFERROR(__xludf.DUMMYFUNCTION("""COMPUTED_VALUE"""),84.0)</f>
        <v>84</v>
      </c>
      <c r="H36" s="1">
        <f>IFERROR(__xludf.DUMMYFUNCTION("""COMPUTED_VALUE"""),88.0)</f>
        <v>88</v>
      </c>
      <c r="I36" s="1">
        <f>IFERROR(__xludf.DUMMYFUNCTION("""COMPUTED_VALUE"""),63.0)</f>
        <v>63</v>
      </c>
      <c r="J36" s="1">
        <f>IFERROR(__xludf.DUMMYFUNCTION("""COMPUTED_VALUE"""),95.0)</f>
        <v>95</v>
      </c>
      <c r="K36" s="1">
        <f>IFERROR(__xludf.DUMMYFUNCTION("""COMPUTED_VALUE"""),63.0)</f>
        <v>63</v>
      </c>
      <c r="L36" s="1">
        <f>IFERROR(__xludf.DUMMYFUNCTION("""COMPUTED_VALUE"""),393.0)</f>
        <v>393</v>
      </c>
      <c r="M36" s="1">
        <f>IFERROR(__xludf.DUMMYFUNCTION("""COMPUTED_VALUE"""),78.6)</f>
        <v>78.6</v>
      </c>
      <c r="N36" s="1">
        <f>IFERROR(__xludf.DUMMYFUNCTION("""COMPUTED_VALUE"""),100.0)</f>
        <v>100</v>
      </c>
      <c r="O36" s="1" t="str">
        <f>IFERROR(__xludf.DUMMYFUNCTION("""COMPUTED_VALUE"""),"Pass")</f>
        <v>Pass</v>
      </c>
    </row>
    <row r="37" ht="15.75" customHeight="1">
      <c r="A37" s="1" t="str">
        <f>IFERROR(__xludf.DUMMYFUNCTION("""COMPUTED_VALUE"""),"STD-1297")</f>
        <v>STD-1297</v>
      </c>
      <c r="B37" s="1" t="str">
        <f>IFERROR(__xludf.DUMMYFUNCTION("""COMPUTED_VALUE"""),"Vivaan Choudhary")</f>
        <v>Vivaan Choudhary</v>
      </c>
      <c r="C37" s="1" t="str">
        <f>IFERROR(__xludf.DUMMYFUNCTION("""COMPUTED_VALUE"""),"Male")</f>
        <v>Male</v>
      </c>
      <c r="D37" s="1" t="str">
        <f>IFERROR(__xludf.DUMMYFUNCTION("""COMPUTED_VALUE"""),"6")</f>
        <v>6</v>
      </c>
      <c r="E37" s="1" t="str">
        <f>IFERROR(__xludf.DUMMYFUNCTION("""COMPUTED_VALUE"""),"B")</f>
        <v>B</v>
      </c>
      <c r="F37" s="1" t="str">
        <f>IFERROR(__xludf.DUMMYFUNCTION("""COMPUTED_VALUE"""),"Kolkata")</f>
        <v>Kolkata</v>
      </c>
      <c r="G37" s="1">
        <f>IFERROR(__xludf.DUMMYFUNCTION("""COMPUTED_VALUE"""),85.0)</f>
        <v>85</v>
      </c>
      <c r="H37" s="1">
        <f>IFERROR(__xludf.DUMMYFUNCTION("""COMPUTED_VALUE"""),97.0)</f>
        <v>97</v>
      </c>
      <c r="I37" s="1">
        <f>IFERROR(__xludf.DUMMYFUNCTION("""COMPUTED_VALUE"""),80.0)</f>
        <v>80</v>
      </c>
      <c r="J37" s="1">
        <f>IFERROR(__xludf.DUMMYFUNCTION("""COMPUTED_VALUE"""),75.0)</f>
        <v>75</v>
      </c>
      <c r="K37" s="1">
        <f>IFERROR(__xludf.DUMMYFUNCTION("""COMPUTED_VALUE"""),58.0)</f>
        <v>58</v>
      </c>
      <c r="L37" s="1">
        <f>IFERROR(__xludf.DUMMYFUNCTION("""COMPUTED_VALUE"""),395.0)</f>
        <v>395</v>
      </c>
      <c r="M37" s="1">
        <f>IFERROR(__xludf.DUMMYFUNCTION("""COMPUTED_VALUE"""),79.0)</f>
        <v>79</v>
      </c>
      <c r="N37" s="1">
        <f>IFERROR(__xludf.DUMMYFUNCTION("""COMPUTED_VALUE"""),96.0)</f>
        <v>96</v>
      </c>
      <c r="O37" s="1" t="str">
        <f>IFERROR(__xludf.DUMMYFUNCTION("""COMPUTED_VALUE"""),"Pass")</f>
        <v>Pass</v>
      </c>
    </row>
    <row r="38" ht="15.75" customHeight="1">
      <c r="A38" s="1" t="str">
        <f>IFERROR(__xludf.DUMMYFUNCTION("""COMPUTED_VALUE"""),"STD-1308")</f>
        <v>STD-1308</v>
      </c>
      <c r="B38" s="1" t="str">
        <f>IFERROR(__xludf.DUMMYFUNCTION("""COMPUTED_VALUE"""),"Pooja Das")</f>
        <v>Pooja Das</v>
      </c>
      <c r="C38" s="1" t="str">
        <f>IFERROR(__xludf.DUMMYFUNCTION("""COMPUTED_VALUE"""),"Male")</f>
        <v>Male</v>
      </c>
      <c r="D38" s="1" t="str">
        <f>IFERROR(__xludf.DUMMYFUNCTION("""COMPUTED_VALUE"""),"9")</f>
        <v>9</v>
      </c>
      <c r="E38" s="1" t="str">
        <f>IFERROR(__xludf.DUMMYFUNCTION("""COMPUTED_VALUE"""),"A")</f>
        <v>A</v>
      </c>
      <c r="F38" s="1" t="str">
        <f>IFERROR(__xludf.DUMMYFUNCTION("""COMPUTED_VALUE"""),"Jaipur")</f>
        <v>Jaipur</v>
      </c>
      <c r="G38" s="1">
        <f>IFERROR(__xludf.DUMMYFUNCTION("""COMPUTED_VALUE"""),93.0)</f>
        <v>93</v>
      </c>
      <c r="H38" s="1">
        <f>IFERROR(__xludf.DUMMYFUNCTION("""COMPUTED_VALUE"""),84.0)</f>
        <v>84</v>
      </c>
      <c r="I38" s="1">
        <f>IFERROR(__xludf.DUMMYFUNCTION("""COMPUTED_VALUE"""),63.0)</f>
        <v>63</v>
      </c>
      <c r="J38" s="1">
        <f>IFERROR(__xludf.DUMMYFUNCTION("""COMPUTED_VALUE"""),80.0)</f>
        <v>80</v>
      </c>
      <c r="K38" s="1">
        <f>IFERROR(__xludf.DUMMYFUNCTION("""COMPUTED_VALUE"""),76.0)</f>
        <v>76</v>
      </c>
      <c r="L38" s="1">
        <f>IFERROR(__xludf.DUMMYFUNCTION("""COMPUTED_VALUE"""),396.0)</f>
        <v>396</v>
      </c>
      <c r="M38" s="1">
        <f>IFERROR(__xludf.DUMMYFUNCTION("""COMPUTED_VALUE"""),79.2)</f>
        <v>79.2</v>
      </c>
      <c r="N38" s="1">
        <f>IFERROR(__xludf.DUMMYFUNCTION("""COMPUTED_VALUE"""),93.0)</f>
        <v>93</v>
      </c>
      <c r="O38" s="1" t="str">
        <f>IFERROR(__xludf.DUMMYFUNCTION("""COMPUTED_VALUE"""),"Pass")</f>
        <v>Pass</v>
      </c>
    </row>
    <row r="39" ht="15.75" customHeight="1">
      <c r="A39" s="1" t="str">
        <f>IFERROR(__xludf.DUMMYFUNCTION("""COMPUTED_VALUE"""),"STD-1334")</f>
        <v>STD-1334</v>
      </c>
      <c r="B39" s="1" t="str">
        <f>IFERROR(__xludf.DUMMYFUNCTION("""COMPUTED_VALUE"""),"Shreya Choudhary")</f>
        <v>Shreya Choudhary</v>
      </c>
      <c r="C39" s="1" t="str">
        <f>IFERROR(__xludf.DUMMYFUNCTION("""COMPUTED_VALUE"""),"Male")</f>
        <v>Male</v>
      </c>
      <c r="D39" s="1" t="str">
        <f>IFERROR(__xludf.DUMMYFUNCTION("""COMPUTED_VALUE"""),"10")</f>
        <v>10</v>
      </c>
      <c r="E39" s="1" t="str">
        <f>IFERROR(__xludf.DUMMYFUNCTION("""COMPUTED_VALUE"""),"C")</f>
        <v>C</v>
      </c>
      <c r="F39" s="1" t="str">
        <f>IFERROR(__xludf.DUMMYFUNCTION("""COMPUTED_VALUE"""),"Bhopal")</f>
        <v>Bhopal</v>
      </c>
      <c r="G39" s="1">
        <f>IFERROR(__xludf.DUMMYFUNCTION("""COMPUTED_VALUE"""),84.0)</f>
        <v>84</v>
      </c>
      <c r="H39" s="1">
        <f>IFERROR(__xludf.DUMMYFUNCTION("""COMPUTED_VALUE"""),85.0)</f>
        <v>85</v>
      </c>
      <c r="I39" s="1">
        <f>IFERROR(__xludf.DUMMYFUNCTION("""COMPUTED_VALUE"""),48.0)</f>
        <v>48</v>
      </c>
      <c r="J39" s="1">
        <f>IFERROR(__xludf.DUMMYFUNCTION("""COMPUTED_VALUE"""),72.0)</f>
        <v>72</v>
      </c>
      <c r="K39" s="1">
        <f>IFERROR(__xludf.DUMMYFUNCTION("""COMPUTED_VALUE"""),90.0)</f>
        <v>90</v>
      </c>
      <c r="L39" s="1">
        <f>IFERROR(__xludf.DUMMYFUNCTION("""COMPUTED_VALUE"""),379.0)</f>
        <v>379</v>
      </c>
      <c r="M39" s="1">
        <f>IFERROR(__xludf.DUMMYFUNCTION("""COMPUTED_VALUE"""),75.8)</f>
        <v>75.8</v>
      </c>
      <c r="N39" s="1">
        <f>IFERROR(__xludf.DUMMYFUNCTION("""COMPUTED_VALUE"""),81.0)</f>
        <v>81</v>
      </c>
      <c r="O39" s="1" t="str">
        <f>IFERROR(__xludf.DUMMYFUNCTION("""COMPUTED_VALUE"""),"Pass")</f>
        <v>Pass</v>
      </c>
    </row>
    <row r="40" ht="15.75" customHeight="1">
      <c r="A40" s="1" t="str">
        <f>IFERROR(__xludf.DUMMYFUNCTION("""COMPUTED_VALUE"""),"STD-1336")</f>
        <v>STD-1336</v>
      </c>
      <c r="B40" s="1" t="str">
        <f>IFERROR(__xludf.DUMMYFUNCTION("""COMPUTED_VALUE"""),"Ritika Sharma")</f>
        <v>Ritika Sharma</v>
      </c>
      <c r="C40" s="1" t="str">
        <f>IFERROR(__xludf.DUMMYFUNCTION("""COMPUTED_VALUE"""),"Female")</f>
        <v>Female</v>
      </c>
      <c r="D40" s="1" t="str">
        <f>IFERROR(__xludf.DUMMYFUNCTION("""COMPUTED_VALUE"""),"7")</f>
        <v>7</v>
      </c>
      <c r="E40" s="1" t="str">
        <f>IFERROR(__xludf.DUMMYFUNCTION("""COMPUTED_VALUE"""),"A")</f>
        <v>A</v>
      </c>
      <c r="F40" s="1" t="str">
        <f>IFERROR(__xludf.DUMMYFUNCTION("""COMPUTED_VALUE"""),"Jaipur")</f>
        <v>Jaipur</v>
      </c>
      <c r="G40" s="1">
        <f>IFERROR(__xludf.DUMMYFUNCTION("""COMPUTED_VALUE"""),94.0)</f>
        <v>94</v>
      </c>
      <c r="H40" s="1">
        <f>IFERROR(__xludf.DUMMYFUNCTION("""COMPUTED_VALUE"""),95.0)</f>
        <v>95</v>
      </c>
      <c r="I40" s="1">
        <f>IFERROR(__xludf.DUMMYFUNCTION("""COMPUTED_VALUE"""),80.0)</f>
        <v>80</v>
      </c>
      <c r="J40" s="1">
        <f>IFERROR(__xludf.DUMMYFUNCTION("""COMPUTED_VALUE"""),71.0)</f>
        <v>71</v>
      </c>
      <c r="K40" s="1">
        <f>IFERROR(__xludf.DUMMYFUNCTION("""COMPUTED_VALUE"""),91.0)</f>
        <v>91</v>
      </c>
      <c r="L40" s="1">
        <f>IFERROR(__xludf.DUMMYFUNCTION("""COMPUTED_VALUE"""),431.0)</f>
        <v>431</v>
      </c>
      <c r="M40" s="1">
        <f>IFERROR(__xludf.DUMMYFUNCTION("""COMPUTED_VALUE"""),86.2)</f>
        <v>86.2</v>
      </c>
      <c r="N40" s="1">
        <f>IFERROR(__xludf.DUMMYFUNCTION("""COMPUTED_VALUE"""),95.0)</f>
        <v>95</v>
      </c>
      <c r="O40" s="1" t="str">
        <f>IFERROR(__xludf.DUMMYFUNCTION("""COMPUTED_VALUE"""),"Pass")</f>
        <v>Pass</v>
      </c>
    </row>
    <row r="41" ht="15.75" customHeight="1">
      <c r="A41" s="1" t="str">
        <f>IFERROR(__xludf.DUMMYFUNCTION("""COMPUTED_VALUE"""),"STD-1372")</f>
        <v>STD-1372</v>
      </c>
      <c r="B41" s="1" t="str">
        <f>IFERROR(__xludf.DUMMYFUNCTION("""COMPUTED_VALUE"""),"Priya Jain")</f>
        <v>Priya Jain</v>
      </c>
      <c r="C41" s="1" t="str">
        <f>IFERROR(__xludf.DUMMYFUNCTION("""COMPUTED_VALUE"""),"Male")</f>
        <v>Male</v>
      </c>
      <c r="D41" s="1" t="str">
        <f>IFERROR(__xludf.DUMMYFUNCTION("""COMPUTED_VALUE"""),"7")</f>
        <v>7</v>
      </c>
      <c r="E41" s="1" t="str">
        <f>IFERROR(__xludf.DUMMYFUNCTION("""COMPUTED_VALUE"""),"C")</f>
        <v>C</v>
      </c>
      <c r="F41" s="1" t="str">
        <f>IFERROR(__xludf.DUMMYFUNCTION("""COMPUTED_VALUE"""),"Jaipur")</f>
        <v>Jaipur</v>
      </c>
      <c r="G41" s="1">
        <f>IFERROR(__xludf.DUMMYFUNCTION("""COMPUTED_VALUE"""),96.0)</f>
        <v>96</v>
      </c>
      <c r="H41" s="1">
        <f>IFERROR(__xludf.DUMMYFUNCTION("""COMPUTED_VALUE"""),84.0)</f>
        <v>84</v>
      </c>
      <c r="I41" s="1">
        <f>IFERROR(__xludf.DUMMYFUNCTION("""COMPUTED_VALUE"""),74.0)</f>
        <v>74</v>
      </c>
      <c r="J41" s="1">
        <f>IFERROR(__xludf.DUMMYFUNCTION("""COMPUTED_VALUE"""),61.0)</f>
        <v>61</v>
      </c>
      <c r="K41" s="1">
        <f>IFERROR(__xludf.DUMMYFUNCTION("""COMPUTED_VALUE"""),80.0)</f>
        <v>80</v>
      </c>
      <c r="L41" s="1">
        <f>IFERROR(__xludf.DUMMYFUNCTION("""COMPUTED_VALUE"""),395.0)</f>
        <v>395</v>
      </c>
      <c r="M41" s="1">
        <f>IFERROR(__xludf.DUMMYFUNCTION("""COMPUTED_VALUE"""),79.0)</f>
        <v>79</v>
      </c>
      <c r="N41" s="1">
        <f>IFERROR(__xludf.DUMMYFUNCTION("""COMPUTED_VALUE"""),60.0)</f>
        <v>60</v>
      </c>
      <c r="O41" s="1" t="str">
        <f>IFERROR(__xludf.DUMMYFUNCTION("""COMPUTED_VALUE"""),"Pass")</f>
        <v>Pass</v>
      </c>
    </row>
    <row r="42" ht="15.75" customHeight="1">
      <c r="A42" s="1" t="str">
        <f>IFERROR(__xludf.DUMMYFUNCTION("""COMPUTED_VALUE"""),"STD-1383")</f>
        <v>STD-1383</v>
      </c>
      <c r="B42" s="1" t="str">
        <f>IFERROR(__xludf.DUMMYFUNCTION("""COMPUTED_VALUE"""),"Shreya Das")</f>
        <v>Shreya Das</v>
      </c>
      <c r="C42" s="1" t="str">
        <f>IFERROR(__xludf.DUMMYFUNCTION("""COMPUTED_VALUE"""),"Female")</f>
        <v>Female</v>
      </c>
      <c r="D42" s="1" t="str">
        <f>IFERROR(__xludf.DUMMYFUNCTION("""COMPUTED_VALUE"""),"6")</f>
        <v>6</v>
      </c>
      <c r="E42" s="1" t="str">
        <f>IFERROR(__xludf.DUMMYFUNCTION("""COMPUTED_VALUE"""),"A")</f>
        <v>A</v>
      </c>
      <c r="F42" s="1" t="str">
        <f>IFERROR(__xludf.DUMMYFUNCTION("""COMPUTED_VALUE"""),"Bhopal")</f>
        <v>Bhopal</v>
      </c>
      <c r="G42" s="1">
        <f>IFERROR(__xludf.DUMMYFUNCTION("""COMPUTED_VALUE"""),96.0)</f>
        <v>96</v>
      </c>
      <c r="H42" s="1">
        <f>IFERROR(__xludf.DUMMYFUNCTION("""COMPUTED_VALUE"""),87.0)</f>
        <v>87</v>
      </c>
      <c r="I42" s="1">
        <f>IFERROR(__xludf.DUMMYFUNCTION("""COMPUTED_VALUE"""),77.0)</f>
        <v>77</v>
      </c>
      <c r="J42" s="1">
        <f>IFERROR(__xludf.DUMMYFUNCTION("""COMPUTED_VALUE"""),67.0)</f>
        <v>67</v>
      </c>
      <c r="K42" s="1">
        <f>IFERROR(__xludf.DUMMYFUNCTION("""COMPUTED_VALUE"""),88.0)</f>
        <v>88</v>
      </c>
      <c r="L42" s="1">
        <f>IFERROR(__xludf.DUMMYFUNCTION("""COMPUTED_VALUE"""),415.0)</f>
        <v>415</v>
      </c>
      <c r="M42" s="1">
        <f>IFERROR(__xludf.DUMMYFUNCTION("""COMPUTED_VALUE"""),83.0)</f>
        <v>83</v>
      </c>
      <c r="N42" s="1">
        <f>IFERROR(__xludf.DUMMYFUNCTION("""COMPUTED_VALUE"""),65.0)</f>
        <v>65</v>
      </c>
      <c r="O42" s="1" t="str">
        <f>IFERROR(__xludf.DUMMYFUNCTION("""COMPUTED_VALUE"""),"Pass")</f>
        <v>Pass</v>
      </c>
    </row>
    <row r="43" ht="15.75" customHeight="1">
      <c r="A43" s="1" t="str">
        <f>IFERROR(__xludf.DUMMYFUNCTION("""COMPUTED_VALUE"""),"STD-1384")</f>
        <v>STD-1384</v>
      </c>
      <c r="B43" s="1" t="str">
        <f>IFERROR(__xludf.DUMMYFUNCTION("""COMPUTED_VALUE"""),"Karan Reddy")</f>
        <v>Karan Reddy</v>
      </c>
      <c r="C43" s="1" t="str">
        <f>IFERROR(__xludf.DUMMYFUNCTION("""COMPUTED_VALUE"""),"Male")</f>
        <v>Male</v>
      </c>
      <c r="D43" s="1" t="str">
        <f>IFERROR(__xludf.DUMMYFUNCTION("""COMPUTED_VALUE"""),"6")</f>
        <v>6</v>
      </c>
      <c r="E43" s="1" t="str">
        <f>IFERROR(__xludf.DUMMYFUNCTION("""COMPUTED_VALUE"""),"B")</f>
        <v>B</v>
      </c>
      <c r="F43" s="1" t="str">
        <f>IFERROR(__xludf.DUMMYFUNCTION("""COMPUTED_VALUE"""),"Mumbai")</f>
        <v>Mumbai</v>
      </c>
      <c r="G43" s="1">
        <f>IFERROR(__xludf.DUMMYFUNCTION("""COMPUTED_VALUE"""),85.0)</f>
        <v>85</v>
      </c>
      <c r="H43" s="1">
        <f>IFERROR(__xludf.DUMMYFUNCTION("""COMPUTED_VALUE"""),93.0)</f>
        <v>93</v>
      </c>
      <c r="I43" s="1">
        <f>IFERROR(__xludf.DUMMYFUNCTION("""COMPUTED_VALUE"""),65.0)</f>
        <v>65</v>
      </c>
      <c r="J43" s="1">
        <f>IFERROR(__xludf.DUMMYFUNCTION("""COMPUTED_VALUE"""),57.0)</f>
        <v>57</v>
      </c>
      <c r="K43" s="1">
        <f>IFERROR(__xludf.DUMMYFUNCTION("""COMPUTED_VALUE"""),55.0)</f>
        <v>55</v>
      </c>
      <c r="L43" s="1">
        <f>IFERROR(__xludf.DUMMYFUNCTION("""COMPUTED_VALUE"""),355.0)</f>
        <v>355</v>
      </c>
      <c r="M43" s="1">
        <f>IFERROR(__xludf.DUMMYFUNCTION("""COMPUTED_VALUE"""),71.0)</f>
        <v>71</v>
      </c>
      <c r="N43" s="1">
        <f>IFERROR(__xludf.DUMMYFUNCTION("""COMPUTED_VALUE"""),84.0)</f>
        <v>84</v>
      </c>
      <c r="O43" s="1" t="str">
        <f>IFERROR(__xludf.DUMMYFUNCTION("""COMPUTED_VALUE"""),"Pass")</f>
        <v>Pass</v>
      </c>
    </row>
    <row r="44" ht="15.75" customHeight="1">
      <c r="A44" s="1" t="str">
        <f>IFERROR(__xludf.DUMMYFUNCTION("""COMPUTED_VALUE"""),"STD-1407")</f>
        <v>STD-1407</v>
      </c>
      <c r="B44" s="1" t="str">
        <f>IFERROR(__xludf.DUMMYFUNCTION("""COMPUTED_VALUE"""),"Karan Sharma")</f>
        <v>Karan Sharma</v>
      </c>
      <c r="C44" s="1" t="str">
        <f>IFERROR(__xludf.DUMMYFUNCTION("""COMPUTED_VALUE"""),"Female")</f>
        <v>Female</v>
      </c>
      <c r="D44" s="1" t="str">
        <f>IFERROR(__xludf.DUMMYFUNCTION("""COMPUTED_VALUE"""),"6")</f>
        <v>6</v>
      </c>
      <c r="E44" s="1" t="str">
        <f>IFERROR(__xludf.DUMMYFUNCTION("""COMPUTED_VALUE"""),"C")</f>
        <v>C</v>
      </c>
      <c r="F44" s="1" t="str">
        <f>IFERROR(__xludf.DUMMYFUNCTION("""COMPUTED_VALUE"""),"Jaipur")</f>
        <v>Jaipur</v>
      </c>
      <c r="G44" s="1">
        <f>IFERROR(__xludf.DUMMYFUNCTION("""COMPUTED_VALUE"""),100.0)</f>
        <v>100</v>
      </c>
      <c r="H44" s="1">
        <f>IFERROR(__xludf.DUMMYFUNCTION("""COMPUTED_VALUE"""),92.0)</f>
        <v>92</v>
      </c>
      <c r="I44" s="1">
        <f>IFERROR(__xludf.DUMMYFUNCTION("""COMPUTED_VALUE"""),94.0)</f>
        <v>94</v>
      </c>
      <c r="J44" s="1">
        <f>IFERROR(__xludf.DUMMYFUNCTION("""COMPUTED_VALUE"""),64.0)</f>
        <v>64</v>
      </c>
      <c r="K44" s="1">
        <f>IFERROR(__xludf.DUMMYFUNCTION("""COMPUTED_VALUE"""),79.0)</f>
        <v>79</v>
      </c>
      <c r="L44" s="1">
        <f>IFERROR(__xludf.DUMMYFUNCTION("""COMPUTED_VALUE"""),429.0)</f>
        <v>429</v>
      </c>
      <c r="M44" s="1">
        <f>IFERROR(__xludf.DUMMYFUNCTION("""COMPUTED_VALUE"""),85.8)</f>
        <v>85.8</v>
      </c>
      <c r="N44" s="1">
        <f>IFERROR(__xludf.DUMMYFUNCTION("""COMPUTED_VALUE"""),68.0)</f>
        <v>68</v>
      </c>
      <c r="O44" s="1" t="str">
        <f>IFERROR(__xludf.DUMMYFUNCTION("""COMPUTED_VALUE"""),"Pass")</f>
        <v>Pass</v>
      </c>
    </row>
    <row r="45" ht="15.75" customHeight="1">
      <c r="A45" s="1" t="str">
        <f>IFERROR(__xludf.DUMMYFUNCTION("""COMPUTED_VALUE"""),"STD-1423")</f>
        <v>STD-1423</v>
      </c>
      <c r="B45" s="1" t="str">
        <f>IFERROR(__xludf.DUMMYFUNCTION("""COMPUTED_VALUE"""),"Vivaan Yadav")</f>
        <v>Vivaan Yadav</v>
      </c>
      <c r="C45" s="1" t="str">
        <f>IFERROR(__xludf.DUMMYFUNCTION("""COMPUTED_VALUE"""),"Male")</f>
        <v>Male</v>
      </c>
      <c r="D45" s="1" t="str">
        <f>IFERROR(__xludf.DUMMYFUNCTION("""COMPUTED_VALUE"""),"8")</f>
        <v>8</v>
      </c>
      <c r="E45" s="1" t="str">
        <f>IFERROR(__xludf.DUMMYFUNCTION("""COMPUTED_VALUE"""),"A")</f>
        <v>A</v>
      </c>
      <c r="F45" s="1" t="str">
        <f>IFERROR(__xludf.DUMMYFUNCTION("""COMPUTED_VALUE"""),"Patna")</f>
        <v>Patna</v>
      </c>
      <c r="G45" s="1">
        <f>IFERROR(__xludf.DUMMYFUNCTION("""COMPUTED_VALUE"""),83.0)</f>
        <v>83</v>
      </c>
      <c r="H45" s="1">
        <f>IFERROR(__xludf.DUMMYFUNCTION("""COMPUTED_VALUE"""),86.0)</f>
        <v>86</v>
      </c>
      <c r="I45" s="1">
        <f>IFERROR(__xludf.DUMMYFUNCTION("""COMPUTED_VALUE"""),83.0)</f>
        <v>83</v>
      </c>
      <c r="J45" s="1">
        <f>IFERROR(__xludf.DUMMYFUNCTION("""COMPUTED_VALUE"""),82.0)</f>
        <v>82</v>
      </c>
      <c r="K45" s="1">
        <f>IFERROR(__xludf.DUMMYFUNCTION("""COMPUTED_VALUE"""),58.0)</f>
        <v>58</v>
      </c>
      <c r="L45" s="1">
        <f>IFERROR(__xludf.DUMMYFUNCTION("""COMPUTED_VALUE"""),392.0)</f>
        <v>392</v>
      </c>
      <c r="M45" s="1">
        <f>IFERROR(__xludf.DUMMYFUNCTION("""COMPUTED_VALUE"""),78.4)</f>
        <v>78.4</v>
      </c>
      <c r="N45" s="1">
        <f>IFERROR(__xludf.DUMMYFUNCTION("""COMPUTED_VALUE"""),78.0)</f>
        <v>78</v>
      </c>
      <c r="O45" s="1" t="str">
        <f>IFERROR(__xludf.DUMMYFUNCTION("""COMPUTED_VALUE"""),"Pass")</f>
        <v>Pass</v>
      </c>
    </row>
    <row r="46" ht="15.75" customHeight="1">
      <c r="A46" s="1" t="str">
        <f>IFERROR(__xludf.DUMMYFUNCTION("""COMPUTED_VALUE"""),"STD-1428")</f>
        <v>STD-1428</v>
      </c>
      <c r="B46" s="1" t="str">
        <f>IFERROR(__xludf.DUMMYFUNCTION("""COMPUTED_VALUE"""),"Meera Kulkarni")</f>
        <v>Meera Kulkarni</v>
      </c>
      <c r="C46" s="1" t="str">
        <f>IFERROR(__xludf.DUMMYFUNCTION("""COMPUTED_VALUE"""),"Male")</f>
        <v>Male</v>
      </c>
      <c r="D46" s="1" t="str">
        <f>IFERROR(__xludf.DUMMYFUNCTION("""COMPUTED_VALUE"""),"10")</f>
        <v>10</v>
      </c>
      <c r="E46" s="1" t="str">
        <f>IFERROR(__xludf.DUMMYFUNCTION("""COMPUTED_VALUE"""),"C")</f>
        <v>C</v>
      </c>
      <c r="F46" s="1" t="str">
        <f>IFERROR(__xludf.DUMMYFUNCTION("""COMPUTED_VALUE"""),"Lucknow")</f>
        <v>Lucknow</v>
      </c>
      <c r="G46" s="1">
        <f>IFERROR(__xludf.DUMMYFUNCTION("""COMPUTED_VALUE"""),83.0)</f>
        <v>83</v>
      </c>
      <c r="H46" s="1">
        <f>IFERROR(__xludf.DUMMYFUNCTION("""COMPUTED_VALUE"""),86.0)</f>
        <v>86</v>
      </c>
      <c r="I46" s="1">
        <f>IFERROR(__xludf.DUMMYFUNCTION("""COMPUTED_VALUE"""),51.0)</f>
        <v>51</v>
      </c>
      <c r="J46" s="1">
        <f>IFERROR(__xludf.DUMMYFUNCTION("""COMPUTED_VALUE"""),84.0)</f>
        <v>84</v>
      </c>
      <c r="K46" s="1">
        <f>IFERROR(__xludf.DUMMYFUNCTION("""COMPUTED_VALUE"""),85.0)</f>
        <v>85</v>
      </c>
      <c r="L46" s="1">
        <f>IFERROR(__xludf.DUMMYFUNCTION("""COMPUTED_VALUE"""),389.0)</f>
        <v>389</v>
      </c>
      <c r="M46" s="1">
        <f>IFERROR(__xludf.DUMMYFUNCTION("""COMPUTED_VALUE"""),77.8)</f>
        <v>77.8</v>
      </c>
      <c r="N46" s="1">
        <f>IFERROR(__xludf.DUMMYFUNCTION("""COMPUTED_VALUE"""),61.0)</f>
        <v>61</v>
      </c>
      <c r="O46" s="1" t="str">
        <f>IFERROR(__xludf.DUMMYFUNCTION("""COMPUTED_VALUE"""),"Pass")</f>
        <v>Pass</v>
      </c>
    </row>
    <row r="47" ht="15.75" customHeight="1">
      <c r="A47" s="1" t="str">
        <f>IFERROR(__xludf.DUMMYFUNCTION("""COMPUTED_VALUE"""),"STD-1442")</f>
        <v>STD-1442</v>
      </c>
      <c r="B47" s="1" t="str">
        <f>IFERROR(__xludf.DUMMYFUNCTION("""COMPUTED_VALUE"""),"Karan Jain")</f>
        <v>Karan Jain</v>
      </c>
      <c r="C47" s="1" t="str">
        <f>IFERROR(__xludf.DUMMYFUNCTION("""COMPUTED_VALUE"""),"Male")</f>
        <v>Male</v>
      </c>
      <c r="D47" s="1" t="str">
        <f>IFERROR(__xludf.DUMMYFUNCTION("""COMPUTED_VALUE"""),"8")</f>
        <v>8</v>
      </c>
      <c r="E47" s="1" t="str">
        <f>IFERROR(__xludf.DUMMYFUNCTION("""COMPUTED_VALUE"""),"A")</f>
        <v>A</v>
      </c>
      <c r="F47" s="1" t="str">
        <f>IFERROR(__xludf.DUMMYFUNCTION("""COMPUTED_VALUE"""),"Delhi")</f>
        <v>Delhi</v>
      </c>
      <c r="G47" s="1">
        <f>IFERROR(__xludf.DUMMYFUNCTION("""COMPUTED_VALUE"""),89.0)</f>
        <v>89</v>
      </c>
      <c r="H47" s="1">
        <f>IFERROR(__xludf.DUMMYFUNCTION("""COMPUTED_VALUE"""),93.0)</f>
        <v>93</v>
      </c>
      <c r="I47" s="1">
        <f>IFERROR(__xludf.DUMMYFUNCTION("""COMPUTED_VALUE"""),63.0)</f>
        <v>63</v>
      </c>
      <c r="J47" s="1">
        <f>IFERROR(__xludf.DUMMYFUNCTION("""COMPUTED_VALUE"""),48.0)</f>
        <v>48</v>
      </c>
      <c r="K47" s="1">
        <f>IFERROR(__xludf.DUMMYFUNCTION("""COMPUTED_VALUE"""),81.0)</f>
        <v>81</v>
      </c>
      <c r="L47" s="1">
        <f>IFERROR(__xludf.DUMMYFUNCTION("""COMPUTED_VALUE"""),374.0)</f>
        <v>374</v>
      </c>
      <c r="M47" s="1">
        <f>IFERROR(__xludf.DUMMYFUNCTION("""COMPUTED_VALUE"""),74.8)</f>
        <v>74.8</v>
      </c>
      <c r="N47" s="1">
        <f>IFERROR(__xludf.DUMMYFUNCTION("""COMPUTED_VALUE"""),88.0)</f>
        <v>88</v>
      </c>
      <c r="O47" s="1" t="str">
        <f>IFERROR(__xludf.DUMMYFUNCTION("""COMPUTED_VALUE"""),"Pass")</f>
        <v>Pass</v>
      </c>
    </row>
    <row r="48" ht="15.75" customHeight="1">
      <c r="A48" s="1" t="str">
        <f>IFERROR(__xludf.DUMMYFUNCTION("""COMPUTED_VALUE"""),"STD-1447")</f>
        <v>STD-1447</v>
      </c>
      <c r="B48" s="1" t="str">
        <f>IFERROR(__xludf.DUMMYFUNCTION("""COMPUTED_VALUE"""),"Simran Das")</f>
        <v>Simran Das</v>
      </c>
      <c r="C48" s="1" t="str">
        <f>IFERROR(__xludf.DUMMYFUNCTION("""COMPUTED_VALUE"""),"Male")</f>
        <v>Male</v>
      </c>
      <c r="D48" s="1" t="str">
        <f>IFERROR(__xludf.DUMMYFUNCTION("""COMPUTED_VALUE"""),"9")</f>
        <v>9</v>
      </c>
      <c r="E48" s="1" t="str">
        <f>IFERROR(__xludf.DUMMYFUNCTION("""COMPUTED_VALUE"""),"C")</f>
        <v>C</v>
      </c>
      <c r="F48" s="1" t="str">
        <f>IFERROR(__xludf.DUMMYFUNCTION("""COMPUTED_VALUE"""),"Patna")</f>
        <v>Patna</v>
      </c>
      <c r="G48" s="1">
        <f>IFERROR(__xludf.DUMMYFUNCTION("""COMPUTED_VALUE"""),95.0)</f>
        <v>95</v>
      </c>
      <c r="H48" s="1">
        <f>IFERROR(__xludf.DUMMYFUNCTION("""COMPUTED_VALUE"""),87.0)</f>
        <v>87</v>
      </c>
      <c r="I48" s="1">
        <f>IFERROR(__xludf.DUMMYFUNCTION("""COMPUTED_VALUE"""),54.0)</f>
        <v>54</v>
      </c>
      <c r="J48" s="1">
        <f>IFERROR(__xludf.DUMMYFUNCTION("""COMPUTED_VALUE"""),48.0)</f>
        <v>48</v>
      </c>
      <c r="K48" s="1">
        <f>IFERROR(__xludf.DUMMYFUNCTION("""COMPUTED_VALUE"""),52.0)</f>
        <v>52</v>
      </c>
      <c r="L48" s="1">
        <f>IFERROR(__xludf.DUMMYFUNCTION("""COMPUTED_VALUE"""),336.0)</f>
        <v>336</v>
      </c>
      <c r="M48" s="1">
        <f>IFERROR(__xludf.DUMMYFUNCTION("""COMPUTED_VALUE"""),67.2)</f>
        <v>67.2</v>
      </c>
      <c r="N48" s="1">
        <f>IFERROR(__xludf.DUMMYFUNCTION("""COMPUTED_VALUE"""),73.0)</f>
        <v>73</v>
      </c>
      <c r="O48" s="1" t="str">
        <f>IFERROR(__xludf.DUMMYFUNCTION("""COMPUTED_VALUE"""),"Pass")</f>
        <v>Pass</v>
      </c>
    </row>
    <row r="49" ht="15.75" customHeight="1">
      <c r="A49" s="1" t="str">
        <f>IFERROR(__xludf.DUMMYFUNCTION("""COMPUTED_VALUE"""),"STD-1452")</f>
        <v>STD-1452</v>
      </c>
      <c r="B49" s="1" t="str">
        <f>IFERROR(__xludf.DUMMYFUNCTION("""COMPUTED_VALUE"""),"Karan Gupta")</f>
        <v>Karan Gupta</v>
      </c>
      <c r="C49" s="1" t="str">
        <f>IFERROR(__xludf.DUMMYFUNCTION("""COMPUTED_VALUE"""),"Male")</f>
        <v>Male</v>
      </c>
      <c r="D49" s="1" t="str">
        <f>IFERROR(__xludf.DUMMYFUNCTION("""COMPUTED_VALUE"""),"10")</f>
        <v>10</v>
      </c>
      <c r="E49" s="1" t="str">
        <f>IFERROR(__xludf.DUMMYFUNCTION("""COMPUTED_VALUE"""),"C")</f>
        <v>C</v>
      </c>
      <c r="F49" s="1" t="str">
        <f>IFERROR(__xludf.DUMMYFUNCTION("""COMPUTED_VALUE"""),"Jaipur")</f>
        <v>Jaipur</v>
      </c>
      <c r="G49" s="1">
        <f>IFERROR(__xludf.DUMMYFUNCTION("""COMPUTED_VALUE"""),83.0)</f>
        <v>83</v>
      </c>
      <c r="H49" s="1">
        <f>IFERROR(__xludf.DUMMYFUNCTION("""COMPUTED_VALUE"""),85.0)</f>
        <v>85</v>
      </c>
      <c r="I49" s="1">
        <f>IFERROR(__xludf.DUMMYFUNCTION("""COMPUTED_VALUE"""),60.0)</f>
        <v>60</v>
      </c>
      <c r="J49" s="1">
        <f>IFERROR(__xludf.DUMMYFUNCTION("""COMPUTED_VALUE"""),58.0)</f>
        <v>58</v>
      </c>
      <c r="K49" s="1">
        <f>IFERROR(__xludf.DUMMYFUNCTION("""COMPUTED_VALUE"""),82.0)</f>
        <v>82</v>
      </c>
      <c r="L49" s="1">
        <f>IFERROR(__xludf.DUMMYFUNCTION("""COMPUTED_VALUE"""),368.0)</f>
        <v>368</v>
      </c>
      <c r="M49" s="1">
        <f>IFERROR(__xludf.DUMMYFUNCTION("""COMPUTED_VALUE"""),73.6)</f>
        <v>73.6</v>
      </c>
      <c r="N49" s="1">
        <f>IFERROR(__xludf.DUMMYFUNCTION("""COMPUTED_VALUE"""),87.0)</f>
        <v>87</v>
      </c>
      <c r="O49" s="1" t="str">
        <f>IFERROR(__xludf.DUMMYFUNCTION("""COMPUTED_VALUE"""),"Pass")</f>
        <v>Pass</v>
      </c>
    </row>
    <row r="50" ht="15.75" customHeight="1">
      <c r="A50" s="1" t="str">
        <f>IFERROR(__xludf.DUMMYFUNCTION("""COMPUTED_VALUE"""),"STD-1456")</f>
        <v>STD-1456</v>
      </c>
      <c r="B50" s="1" t="str">
        <f>IFERROR(__xludf.DUMMYFUNCTION("""COMPUTED_VALUE"""),"Karan Gupta")</f>
        <v>Karan Gupta</v>
      </c>
      <c r="C50" s="1" t="str">
        <f>IFERROR(__xludf.DUMMYFUNCTION("""COMPUTED_VALUE"""),"Female")</f>
        <v>Female</v>
      </c>
      <c r="D50" s="1" t="str">
        <f>IFERROR(__xludf.DUMMYFUNCTION("""COMPUTED_VALUE"""),"8")</f>
        <v>8</v>
      </c>
      <c r="E50" s="1" t="str">
        <f>IFERROR(__xludf.DUMMYFUNCTION("""COMPUTED_VALUE"""),"B")</f>
        <v>B</v>
      </c>
      <c r="F50" s="1" t="str">
        <f>IFERROR(__xludf.DUMMYFUNCTION("""COMPUTED_VALUE"""),"Jaipur")</f>
        <v>Jaipur</v>
      </c>
      <c r="G50" s="1">
        <f>IFERROR(__xludf.DUMMYFUNCTION("""COMPUTED_VALUE"""),100.0)</f>
        <v>100</v>
      </c>
      <c r="H50" s="1">
        <f>IFERROR(__xludf.DUMMYFUNCTION("""COMPUTED_VALUE"""),96.0)</f>
        <v>96</v>
      </c>
      <c r="I50" s="1">
        <f>IFERROR(__xludf.DUMMYFUNCTION("""COMPUTED_VALUE"""),63.0)</f>
        <v>63</v>
      </c>
      <c r="J50" s="1">
        <f>IFERROR(__xludf.DUMMYFUNCTION("""COMPUTED_VALUE"""),63.0)</f>
        <v>63</v>
      </c>
      <c r="K50" s="1">
        <f>IFERROR(__xludf.DUMMYFUNCTION("""COMPUTED_VALUE"""),78.0)</f>
        <v>78</v>
      </c>
      <c r="L50" s="1">
        <f>IFERROR(__xludf.DUMMYFUNCTION("""COMPUTED_VALUE"""),400.0)</f>
        <v>400</v>
      </c>
      <c r="M50" s="1">
        <f>IFERROR(__xludf.DUMMYFUNCTION("""COMPUTED_VALUE"""),80.0)</f>
        <v>80</v>
      </c>
      <c r="N50" s="1">
        <f>IFERROR(__xludf.DUMMYFUNCTION("""COMPUTED_VALUE"""),75.0)</f>
        <v>75</v>
      </c>
      <c r="O50" s="1" t="str">
        <f>IFERROR(__xludf.DUMMYFUNCTION("""COMPUTED_VALUE"""),"Pass")</f>
        <v>Pass</v>
      </c>
    </row>
    <row r="51" ht="15.75" customHeight="1">
      <c r="A51" s="1" t="str">
        <f>IFERROR(__xludf.DUMMYFUNCTION("""COMPUTED_VALUE"""),"STD-1481")</f>
        <v>STD-1481</v>
      </c>
      <c r="B51" s="1" t="str">
        <f>IFERROR(__xludf.DUMMYFUNCTION("""COMPUTED_VALUE"""),"Ritika Jain")</f>
        <v>Ritika Jain</v>
      </c>
      <c r="C51" s="1" t="str">
        <f>IFERROR(__xludf.DUMMYFUNCTION("""COMPUTED_VALUE"""),"Female")</f>
        <v>Female</v>
      </c>
      <c r="D51" s="1" t="str">
        <f>IFERROR(__xludf.DUMMYFUNCTION("""COMPUTED_VALUE"""),"6")</f>
        <v>6</v>
      </c>
      <c r="E51" s="1" t="str">
        <f>IFERROR(__xludf.DUMMYFUNCTION("""COMPUTED_VALUE"""),"A")</f>
        <v>A</v>
      </c>
      <c r="F51" s="1" t="str">
        <f>IFERROR(__xludf.DUMMYFUNCTION("""COMPUTED_VALUE"""),"Chandigarh")</f>
        <v>Chandigarh</v>
      </c>
      <c r="G51" s="1">
        <f>IFERROR(__xludf.DUMMYFUNCTION("""COMPUTED_VALUE"""),84.0)</f>
        <v>84</v>
      </c>
      <c r="H51" s="1">
        <f>IFERROR(__xludf.DUMMYFUNCTION("""COMPUTED_VALUE"""),87.0)</f>
        <v>87</v>
      </c>
      <c r="I51" s="1">
        <f>IFERROR(__xludf.DUMMYFUNCTION("""COMPUTED_VALUE"""),71.0)</f>
        <v>71</v>
      </c>
      <c r="J51" s="1">
        <f>IFERROR(__xludf.DUMMYFUNCTION("""COMPUTED_VALUE"""),73.0)</f>
        <v>73</v>
      </c>
      <c r="K51" s="1">
        <f>IFERROR(__xludf.DUMMYFUNCTION("""COMPUTED_VALUE"""),86.0)</f>
        <v>86</v>
      </c>
      <c r="L51" s="1">
        <f>IFERROR(__xludf.DUMMYFUNCTION("""COMPUTED_VALUE"""),401.0)</f>
        <v>401</v>
      </c>
      <c r="M51" s="1">
        <f>IFERROR(__xludf.DUMMYFUNCTION("""COMPUTED_VALUE"""),80.2)</f>
        <v>80.2</v>
      </c>
      <c r="N51" s="1">
        <f>IFERROR(__xludf.DUMMYFUNCTION("""COMPUTED_VALUE"""),86.0)</f>
        <v>86</v>
      </c>
      <c r="O51" s="1" t="str">
        <f>IFERROR(__xludf.DUMMYFUNCTION("""COMPUTED_VALUE"""),"Pass")</f>
        <v>Pass</v>
      </c>
    </row>
    <row r="52" ht="15.75" customHeight="1">
      <c r="A52" s="1" t="str">
        <f>IFERROR(__xludf.DUMMYFUNCTION("""COMPUTED_VALUE"""),"STD-1486")</f>
        <v>STD-1486</v>
      </c>
      <c r="B52" s="1" t="str">
        <f>IFERROR(__xludf.DUMMYFUNCTION("""COMPUTED_VALUE"""),"Ritika Choudhary")</f>
        <v>Ritika Choudhary</v>
      </c>
      <c r="C52" s="1" t="str">
        <f>IFERROR(__xludf.DUMMYFUNCTION("""COMPUTED_VALUE"""),"Male")</f>
        <v>Male</v>
      </c>
      <c r="D52" s="1" t="str">
        <f>IFERROR(__xludf.DUMMYFUNCTION("""COMPUTED_VALUE"""),"9")</f>
        <v>9</v>
      </c>
      <c r="E52" s="1" t="str">
        <f>IFERROR(__xludf.DUMMYFUNCTION("""COMPUTED_VALUE"""),"A")</f>
        <v>A</v>
      </c>
      <c r="F52" s="1" t="str">
        <f>IFERROR(__xludf.DUMMYFUNCTION("""COMPUTED_VALUE"""),"Mumbai")</f>
        <v>Mumbai</v>
      </c>
      <c r="G52" s="1">
        <f>IFERROR(__xludf.DUMMYFUNCTION("""COMPUTED_VALUE"""),98.0)</f>
        <v>98</v>
      </c>
      <c r="H52" s="1">
        <f>IFERROR(__xludf.DUMMYFUNCTION("""COMPUTED_VALUE"""),88.0)</f>
        <v>88</v>
      </c>
      <c r="I52" s="1">
        <f>IFERROR(__xludf.DUMMYFUNCTION("""COMPUTED_VALUE"""),63.0)</f>
        <v>63</v>
      </c>
      <c r="J52" s="1">
        <f>IFERROR(__xludf.DUMMYFUNCTION("""COMPUTED_VALUE"""),64.0)</f>
        <v>64</v>
      </c>
      <c r="K52" s="1">
        <f>IFERROR(__xludf.DUMMYFUNCTION("""COMPUTED_VALUE"""),49.0)</f>
        <v>49</v>
      </c>
      <c r="L52" s="1">
        <f>IFERROR(__xludf.DUMMYFUNCTION("""COMPUTED_VALUE"""),362.0)</f>
        <v>362</v>
      </c>
      <c r="M52" s="1">
        <f>IFERROR(__xludf.DUMMYFUNCTION("""COMPUTED_VALUE"""),72.4)</f>
        <v>72.4</v>
      </c>
      <c r="N52" s="1">
        <f>IFERROR(__xludf.DUMMYFUNCTION("""COMPUTED_VALUE"""),92.0)</f>
        <v>92</v>
      </c>
      <c r="O52" s="1" t="str">
        <f>IFERROR(__xludf.DUMMYFUNCTION("""COMPUTED_VALUE"""),"Pass")</f>
        <v>Pass</v>
      </c>
    </row>
    <row r="53" ht="15.75" customHeight="1">
      <c r="A53" s="1" t="str">
        <f>IFERROR(__xludf.DUMMYFUNCTION("""COMPUTED_VALUE"""),"STD-1497")</f>
        <v>STD-1497</v>
      </c>
      <c r="B53" s="1" t="str">
        <f>IFERROR(__xludf.DUMMYFUNCTION("""COMPUTED_VALUE"""),"Rohan Iyer")</f>
        <v>Rohan Iyer</v>
      </c>
      <c r="C53" s="1" t="str">
        <f>IFERROR(__xludf.DUMMYFUNCTION("""COMPUTED_VALUE"""),"Male")</f>
        <v>Male</v>
      </c>
      <c r="D53" s="1" t="str">
        <f>IFERROR(__xludf.DUMMYFUNCTION("""COMPUTED_VALUE"""),"6")</f>
        <v>6</v>
      </c>
      <c r="E53" s="1" t="str">
        <f>IFERROR(__xludf.DUMMYFUNCTION("""COMPUTED_VALUE"""),"B")</f>
        <v>B</v>
      </c>
      <c r="F53" s="1" t="str">
        <f>IFERROR(__xludf.DUMMYFUNCTION("""COMPUTED_VALUE"""),"Kolkata")</f>
        <v>Kolkata</v>
      </c>
      <c r="G53" s="1">
        <f>IFERROR(__xludf.DUMMYFUNCTION("""COMPUTED_VALUE"""),85.0)</f>
        <v>85</v>
      </c>
      <c r="H53" s="1">
        <f>IFERROR(__xludf.DUMMYFUNCTION("""COMPUTED_VALUE"""),98.0)</f>
        <v>98</v>
      </c>
      <c r="I53" s="1">
        <f>IFERROR(__xludf.DUMMYFUNCTION("""COMPUTED_VALUE"""),49.0)</f>
        <v>49</v>
      </c>
      <c r="J53" s="1">
        <f>IFERROR(__xludf.DUMMYFUNCTION("""COMPUTED_VALUE"""),86.0)</f>
        <v>86</v>
      </c>
      <c r="K53" s="1">
        <f>IFERROR(__xludf.DUMMYFUNCTION("""COMPUTED_VALUE"""),48.0)</f>
        <v>48</v>
      </c>
      <c r="L53" s="1">
        <f>IFERROR(__xludf.DUMMYFUNCTION("""COMPUTED_VALUE"""),366.0)</f>
        <v>366</v>
      </c>
      <c r="M53" s="1">
        <f>IFERROR(__xludf.DUMMYFUNCTION("""COMPUTED_VALUE"""),73.2)</f>
        <v>73.2</v>
      </c>
      <c r="N53" s="1">
        <f>IFERROR(__xludf.DUMMYFUNCTION("""COMPUTED_VALUE"""),79.0)</f>
        <v>79</v>
      </c>
      <c r="O53" s="1" t="str">
        <f>IFERROR(__xludf.DUMMYFUNCTION("""COMPUTED_VALUE"""),"Pass")</f>
        <v>Pass</v>
      </c>
    </row>
    <row r="54" ht="15.75" customHeight="1">
      <c r="A54" s="1" t="str">
        <f>IFERROR(__xludf.DUMMYFUNCTION("""COMPUTED_VALUE"""),"STD-1498")</f>
        <v>STD-1498</v>
      </c>
      <c r="B54" s="1" t="str">
        <f>IFERROR(__xludf.DUMMYFUNCTION("""COMPUTED_VALUE"""),"Meera Iyer")</f>
        <v>Meera Iyer</v>
      </c>
      <c r="C54" s="1" t="str">
        <f>IFERROR(__xludf.DUMMYFUNCTION("""COMPUTED_VALUE"""),"Male")</f>
        <v>Male</v>
      </c>
      <c r="D54" s="1" t="str">
        <f>IFERROR(__xludf.DUMMYFUNCTION("""COMPUTED_VALUE"""),"9")</f>
        <v>9</v>
      </c>
      <c r="E54" s="1" t="str">
        <f>IFERROR(__xludf.DUMMYFUNCTION("""COMPUTED_VALUE"""),"A")</f>
        <v>A</v>
      </c>
      <c r="F54" s="1" t="str">
        <f>IFERROR(__xludf.DUMMYFUNCTION("""COMPUTED_VALUE"""),"Lucknow")</f>
        <v>Lucknow</v>
      </c>
      <c r="G54" s="1">
        <f>IFERROR(__xludf.DUMMYFUNCTION("""COMPUTED_VALUE"""),98.0)</f>
        <v>98</v>
      </c>
      <c r="H54" s="1">
        <f>IFERROR(__xludf.DUMMYFUNCTION("""COMPUTED_VALUE"""),83.0)</f>
        <v>83</v>
      </c>
      <c r="I54" s="1">
        <f>IFERROR(__xludf.DUMMYFUNCTION("""COMPUTED_VALUE"""),64.0)</f>
        <v>64</v>
      </c>
      <c r="J54" s="1">
        <f>IFERROR(__xludf.DUMMYFUNCTION("""COMPUTED_VALUE"""),96.0)</f>
        <v>96</v>
      </c>
      <c r="K54" s="1">
        <f>IFERROR(__xludf.DUMMYFUNCTION("""COMPUTED_VALUE"""),61.0)</f>
        <v>61</v>
      </c>
      <c r="L54" s="1">
        <f>IFERROR(__xludf.DUMMYFUNCTION("""COMPUTED_VALUE"""),402.0)</f>
        <v>402</v>
      </c>
      <c r="M54" s="1">
        <f>IFERROR(__xludf.DUMMYFUNCTION("""COMPUTED_VALUE"""),80.4)</f>
        <v>80.4</v>
      </c>
      <c r="N54" s="1">
        <f>IFERROR(__xludf.DUMMYFUNCTION("""COMPUTED_VALUE"""),74.0)</f>
        <v>74</v>
      </c>
      <c r="O54" s="1" t="str">
        <f>IFERROR(__xludf.DUMMYFUNCTION("""COMPUTED_VALUE"""),"Pass")</f>
        <v>Pass</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6" width="14.43"/>
  </cols>
  <sheetData>
    <row r="1">
      <c r="A1" s="2" t="str">
        <f t="array" ref="A1">'Questions Answers'!A10</f>
        <v>9. Identify how many students belong to Section A in Class 9.</v>
      </c>
      <c r="B1" s="2"/>
      <c r="C1" s="2"/>
    </row>
    <row r="2" ht="15.0" customHeight="1">
      <c r="A2" s="2"/>
      <c r="B2" s="2"/>
      <c r="C2" s="2"/>
    </row>
    <row r="3">
      <c r="A3" s="2" t="s">
        <v>809</v>
      </c>
      <c r="B3" s="2">
        <f>COUNTIFS(Student_Data!E:E, "A", Student_Data!D:D, 9)</f>
        <v>38</v>
      </c>
      <c r="C3" s="2"/>
    </row>
    <row r="4">
      <c r="A4" s="1" t="s">
        <v>0</v>
      </c>
      <c r="B4" s="1" t="s">
        <v>1</v>
      </c>
      <c r="C4" s="1" t="s">
        <v>2</v>
      </c>
      <c r="D4" s="1" t="s">
        <v>3</v>
      </c>
      <c r="E4" s="1" t="s">
        <v>4</v>
      </c>
      <c r="F4" s="1" t="s">
        <v>5</v>
      </c>
      <c r="G4" s="1" t="s">
        <v>6</v>
      </c>
      <c r="H4" s="1" t="s">
        <v>7</v>
      </c>
      <c r="I4" s="1" t="s">
        <v>8</v>
      </c>
      <c r="J4" s="1" t="s">
        <v>9</v>
      </c>
      <c r="K4" s="1" t="s">
        <v>10</v>
      </c>
      <c r="L4" s="1" t="s">
        <v>11</v>
      </c>
      <c r="M4" s="1" t="s">
        <v>12</v>
      </c>
      <c r="N4" s="1" t="s">
        <v>13</v>
      </c>
      <c r="O4" s="1" t="s">
        <v>14</v>
      </c>
    </row>
    <row r="5">
      <c r="A5" s="1" t="str">
        <f>IFERROR(__xludf.DUMMYFUNCTION("IFERROR(FILTER(Student_Data!A2:O1000, Student_Data!E2:E1000=""A"", Student_Data!D2:D1000&amp;""""=""9""), ""No Data Found"")"),"STD-1041")</f>
        <v>STD-1041</v>
      </c>
      <c r="B5" s="1" t="str">
        <f>IFERROR(__xludf.DUMMYFUNCTION("""COMPUTED_VALUE"""),"Ananya Kulkarni")</f>
        <v>Ananya Kulkarni</v>
      </c>
      <c r="C5" s="1" t="str">
        <f>IFERROR(__xludf.DUMMYFUNCTION("""COMPUTED_VALUE"""),"Male")</f>
        <v>Male</v>
      </c>
      <c r="D5" s="1" t="str">
        <f>IFERROR(__xludf.DUMMYFUNCTION("""COMPUTED_VALUE"""),"9")</f>
        <v>9</v>
      </c>
      <c r="E5" s="1" t="str">
        <f>IFERROR(__xludf.DUMMYFUNCTION("""COMPUTED_VALUE"""),"A")</f>
        <v>A</v>
      </c>
      <c r="F5" s="1" t="str">
        <f>IFERROR(__xludf.DUMMYFUNCTION("""COMPUTED_VALUE"""),"Mumbai")</f>
        <v>Mumbai</v>
      </c>
      <c r="G5" s="1">
        <f>IFERROR(__xludf.DUMMYFUNCTION("""COMPUTED_VALUE"""),55.0)</f>
        <v>55</v>
      </c>
      <c r="H5" s="1">
        <f>IFERROR(__xludf.DUMMYFUNCTION("""COMPUTED_VALUE"""),88.0)</f>
        <v>88</v>
      </c>
      <c r="I5" s="1">
        <f>IFERROR(__xludf.DUMMYFUNCTION("""COMPUTED_VALUE"""),75.0)</f>
        <v>75</v>
      </c>
      <c r="J5" s="1">
        <f>IFERROR(__xludf.DUMMYFUNCTION("""COMPUTED_VALUE"""),89.0)</f>
        <v>89</v>
      </c>
      <c r="K5" s="1">
        <f>IFERROR(__xludf.DUMMYFUNCTION("""COMPUTED_VALUE"""),69.0)</f>
        <v>69</v>
      </c>
      <c r="L5" s="1">
        <f>IFERROR(__xludf.DUMMYFUNCTION("""COMPUTED_VALUE"""),376.0)</f>
        <v>376</v>
      </c>
      <c r="M5" s="1">
        <f>IFERROR(__xludf.DUMMYFUNCTION("""COMPUTED_VALUE"""),75.2)</f>
        <v>75.2</v>
      </c>
      <c r="N5" s="1">
        <f>IFERROR(__xludf.DUMMYFUNCTION("""COMPUTED_VALUE"""),88.0)</f>
        <v>88</v>
      </c>
      <c r="O5" s="1" t="str">
        <f>IFERROR(__xludf.DUMMYFUNCTION("""COMPUTED_VALUE"""),"Pass")</f>
        <v>Pass</v>
      </c>
    </row>
    <row r="6">
      <c r="A6" s="1" t="str">
        <f>IFERROR(__xludf.DUMMYFUNCTION("""COMPUTED_VALUE"""),"STD-1043")</f>
        <v>STD-1043</v>
      </c>
      <c r="B6" s="1" t="str">
        <f>IFERROR(__xludf.DUMMYFUNCTION("""COMPUTED_VALUE"""),"Priya Jain")</f>
        <v>Priya Jain</v>
      </c>
      <c r="C6" s="1" t="str">
        <f>IFERROR(__xludf.DUMMYFUNCTION("""COMPUTED_VALUE"""),"Male")</f>
        <v>Male</v>
      </c>
      <c r="D6" s="1" t="str">
        <f>IFERROR(__xludf.DUMMYFUNCTION("""COMPUTED_VALUE"""),"9")</f>
        <v>9</v>
      </c>
      <c r="E6" s="1" t="str">
        <f>IFERROR(__xludf.DUMMYFUNCTION("""COMPUTED_VALUE"""),"A")</f>
        <v>A</v>
      </c>
      <c r="F6" s="1" t="str">
        <f>IFERROR(__xludf.DUMMYFUNCTION("""COMPUTED_VALUE"""),"Mumbai")</f>
        <v>Mumbai</v>
      </c>
      <c r="G6" s="1">
        <f>IFERROR(__xludf.DUMMYFUNCTION("""COMPUTED_VALUE"""),88.0)</f>
        <v>88</v>
      </c>
      <c r="H6" s="1">
        <f>IFERROR(__xludf.DUMMYFUNCTION("""COMPUTED_VALUE"""),98.0)</f>
        <v>98</v>
      </c>
      <c r="I6" s="1">
        <f>IFERROR(__xludf.DUMMYFUNCTION("""COMPUTED_VALUE"""),45.0)</f>
        <v>45</v>
      </c>
      <c r="J6" s="1">
        <f>IFERROR(__xludf.DUMMYFUNCTION("""COMPUTED_VALUE"""),50.0)</f>
        <v>50</v>
      </c>
      <c r="K6" s="1">
        <f>IFERROR(__xludf.DUMMYFUNCTION("""COMPUTED_VALUE"""),53.0)</f>
        <v>53</v>
      </c>
      <c r="L6" s="1">
        <f>IFERROR(__xludf.DUMMYFUNCTION("""COMPUTED_VALUE"""),334.0)</f>
        <v>334</v>
      </c>
      <c r="M6" s="1">
        <f>IFERROR(__xludf.DUMMYFUNCTION("""COMPUTED_VALUE"""),66.8)</f>
        <v>66.8</v>
      </c>
      <c r="N6" s="1">
        <f>IFERROR(__xludf.DUMMYFUNCTION("""COMPUTED_VALUE"""),63.0)</f>
        <v>63</v>
      </c>
      <c r="O6" s="1" t="str">
        <f>IFERROR(__xludf.DUMMYFUNCTION("""COMPUTED_VALUE"""),"Pass")</f>
        <v>Pass</v>
      </c>
    </row>
    <row r="7">
      <c r="A7" s="1" t="str">
        <f>IFERROR(__xludf.DUMMYFUNCTION("""COMPUTED_VALUE"""),"STD-1059")</f>
        <v>STD-1059</v>
      </c>
      <c r="B7" s="1" t="str">
        <f>IFERROR(__xludf.DUMMYFUNCTION("""COMPUTED_VALUE"""),"Ananya Iyer")</f>
        <v>Ananya Iyer</v>
      </c>
      <c r="C7" s="1" t="str">
        <f>IFERROR(__xludf.DUMMYFUNCTION("""COMPUTED_VALUE"""),"Female")</f>
        <v>Female</v>
      </c>
      <c r="D7" s="1" t="str">
        <f>IFERROR(__xludf.DUMMYFUNCTION("""COMPUTED_VALUE"""),"9")</f>
        <v>9</v>
      </c>
      <c r="E7" s="1" t="str">
        <f>IFERROR(__xludf.DUMMYFUNCTION("""COMPUTED_VALUE"""),"A")</f>
        <v>A</v>
      </c>
      <c r="F7" s="1" t="str">
        <f>IFERROR(__xludf.DUMMYFUNCTION("""COMPUTED_VALUE"""),"Patna")</f>
        <v>Patna</v>
      </c>
      <c r="G7" s="1">
        <f>IFERROR(__xludf.DUMMYFUNCTION("""COMPUTED_VALUE"""),95.0)</f>
        <v>95</v>
      </c>
      <c r="H7" s="1">
        <f>IFERROR(__xludf.DUMMYFUNCTION("""COMPUTED_VALUE"""),86.0)</f>
        <v>86</v>
      </c>
      <c r="I7" s="1">
        <f>IFERROR(__xludf.DUMMYFUNCTION("""COMPUTED_VALUE"""),87.0)</f>
        <v>87</v>
      </c>
      <c r="J7" s="1">
        <f>IFERROR(__xludf.DUMMYFUNCTION("""COMPUTED_VALUE"""),42.0)</f>
        <v>42</v>
      </c>
      <c r="K7" s="1">
        <f>IFERROR(__xludf.DUMMYFUNCTION("""COMPUTED_VALUE"""),67.0)</f>
        <v>67</v>
      </c>
      <c r="L7" s="1">
        <f>IFERROR(__xludf.DUMMYFUNCTION("""COMPUTED_VALUE"""),377.0)</f>
        <v>377</v>
      </c>
      <c r="M7" s="1">
        <f>IFERROR(__xludf.DUMMYFUNCTION("""COMPUTED_VALUE"""),75.4)</f>
        <v>75.4</v>
      </c>
      <c r="N7" s="1">
        <f>IFERROR(__xludf.DUMMYFUNCTION("""COMPUTED_VALUE"""),77.0)</f>
        <v>77</v>
      </c>
      <c r="O7" s="1" t="str">
        <f>IFERROR(__xludf.DUMMYFUNCTION("""COMPUTED_VALUE"""),"Pass")</f>
        <v>Pass</v>
      </c>
    </row>
    <row r="8">
      <c r="A8" s="1" t="str">
        <f>IFERROR(__xludf.DUMMYFUNCTION("""COMPUTED_VALUE"""),"STD-1074")</f>
        <v>STD-1074</v>
      </c>
      <c r="B8" s="1" t="str">
        <f>IFERROR(__xludf.DUMMYFUNCTION("""COMPUTED_VALUE"""),"Pooja Verma")</f>
        <v>Pooja Verma</v>
      </c>
      <c r="C8" s="1" t="str">
        <f>IFERROR(__xludf.DUMMYFUNCTION("""COMPUTED_VALUE"""),"Female")</f>
        <v>Female</v>
      </c>
      <c r="D8" s="1" t="str">
        <f>IFERROR(__xludf.DUMMYFUNCTION("""COMPUTED_VALUE"""),"9")</f>
        <v>9</v>
      </c>
      <c r="E8" s="1" t="str">
        <f>IFERROR(__xludf.DUMMYFUNCTION("""COMPUTED_VALUE"""),"A")</f>
        <v>A</v>
      </c>
      <c r="F8" s="1" t="str">
        <f>IFERROR(__xludf.DUMMYFUNCTION("""COMPUTED_VALUE"""),"Bhopal")</f>
        <v>Bhopal</v>
      </c>
      <c r="G8" s="1">
        <f>IFERROR(__xludf.DUMMYFUNCTION("""COMPUTED_VALUE"""),88.0)</f>
        <v>88</v>
      </c>
      <c r="H8" s="1">
        <f>IFERROR(__xludf.DUMMYFUNCTION("""COMPUTED_VALUE"""),88.0)</f>
        <v>88</v>
      </c>
      <c r="I8" s="1">
        <f>IFERROR(__xludf.DUMMYFUNCTION("""COMPUTED_VALUE"""),40.0)</f>
        <v>40</v>
      </c>
      <c r="J8" s="1">
        <f>IFERROR(__xludf.DUMMYFUNCTION("""COMPUTED_VALUE"""),100.0)</f>
        <v>100</v>
      </c>
      <c r="K8" s="1">
        <f>IFERROR(__xludf.DUMMYFUNCTION("""COMPUTED_VALUE"""),78.0)</f>
        <v>78</v>
      </c>
      <c r="L8" s="1">
        <f>IFERROR(__xludf.DUMMYFUNCTION("""COMPUTED_VALUE"""),394.0)</f>
        <v>394</v>
      </c>
      <c r="M8" s="1">
        <f>IFERROR(__xludf.DUMMYFUNCTION("""COMPUTED_VALUE"""),78.8)</f>
        <v>78.8</v>
      </c>
      <c r="N8" s="1">
        <f>IFERROR(__xludf.DUMMYFUNCTION("""COMPUTED_VALUE"""),64.0)</f>
        <v>64</v>
      </c>
      <c r="O8" s="1" t="str">
        <f>IFERROR(__xludf.DUMMYFUNCTION("""COMPUTED_VALUE"""),"Pass")</f>
        <v>Pass</v>
      </c>
    </row>
    <row r="9">
      <c r="A9" s="1" t="str">
        <f>IFERROR(__xludf.DUMMYFUNCTION("""COMPUTED_VALUE"""),"STD-1114")</f>
        <v>STD-1114</v>
      </c>
      <c r="B9" s="1" t="str">
        <f>IFERROR(__xludf.DUMMYFUNCTION("""COMPUTED_VALUE"""),"Rahul Yadav")</f>
        <v>Rahul Yadav</v>
      </c>
      <c r="C9" s="1" t="str">
        <f>IFERROR(__xludf.DUMMYFUNCTION("""COMPUTED_VALUE"""),"Male")</f>
        <v>Male</v>
      </c>
      <c r="D9" s="1" t="str">
        <f>IFERROR(__xludf.DUMMYFUNCTION("""COMPUTED_VALUE"""),"9")</f>
        <v>9</v>
      </c>
      <c r="E9" s="1" t="str">
        <f>IFERROR(__xludf.DUMMYFUNCTION("""COMPUTED_VALUE"""),"A")</f>
        <v>A</v>
      </c>
      <c r="F9" s="1" t="str">
        <f>IFERROR(__xludf.DUMMYFUNCTION("""COMPUTED_VALUE"""),"Delhi")</f>
        <v>Delhi</v>
      </c>
      <c r="G9" s="1">
        <f>IFERROR(__xludf.DUMMYFUNCTION("""COMPUTED_VALUE"""),66.0)</f>
        <v>66</v>
      </c>
      <c r="H9" s="1">
        <f>IFERROR(__xludf.DUMMYFUNCTION("""COMPUTED_VALUE"""),63.0)</f>
        <v>63</v>
      </c>
      <c r="I9" s="1">
        <f>IFERROR(__xludf.DUMMYFUNCTION("""COMPUTED_VALUE"""),53.0)</f>
        <v>53</v>
      </c>
      <c r="J9" s="1">
        <f>IFERROR(__xludf.DUMMYFUNCTION("""COMPUTED_VALUE"""),83.0)</f>
        <v>83</v>
      </c>
      <c r="K9" s="1">
        <f>IFERROR(__xludf.DUMMYFUNCTION("""COMPUTED_VALUE"""),43.0)</f>
        <v>43</v>
      </c>
      <c r="L9" s="1">
        <f>IFERROR(__xludf.DUMMYFUNCTION("""COMPUTED_VALUE"""),308.0)</f>
        <v>308</v>
      </c>
      <c r="M9" s="1">
        <f>IFERROR(__xludf.DUMMYFUNCTION("""COMPUTED_VALUE"""),61.6)</f>
        <v>61.6</v>
      </c>
      <c r="N9" s="1">
        <f>IFERROR(__xludf.DUMMYFUNCTION("""COMPUTED_VALUE"""),95.0)</f>
        <v>95</v>
      </c>
      <c r="O9" s="1" t="str">
        <f>IFERROR(__xludf.DUMMYFUNCTION("""COMPUTED_VALUE"""),"Pass")</f>
        <v>Pass</v>
      </c>
    </row>
    <row r="10">
      <c r="A10" s="1" t="str">
        <f>IFERROR(__xludf.DUMMYFUNCTION("""COMPUTED_VALUE"""),"STD-1139")</f>
        <v>STD-1139</v>
      </c>
      <c r="B10" s="1" t="str">
        <f>IFERROR(__xludf.DUMMYFUNCTION("""COMPUTED_VALUE"""),"Sai Jain")</f>
        <v>Sai Jain</v>
      </c>
      <c r="C10" s="1" t="str">
        <f>IFERROR(__xludf.DUMMYFUNCTION("""COMPUTED_VALUE"""),"Female")</f>
        <v>Female</v>
      </c>
      <c r="D10" s="1" t="str">
        <f>IFERROR(__xludf.DUMMYFUNCTION("""COMPUTED_VALUE"""),"9")</f>
        <v>9</v>
      </c>
      <c r="E10" s="1" t="str">
        <f>IFERROR(__xludf.DUMMYFUNCTION("""COMPUTED_VALUE"""),"A")</f>
        <v>A</v>
      </c>
      <c r="F10" s="1" t="str">
        <f>IFERROR(__xludf.DUMMYFUNCTION("""COMPUTED_VALUE"""),"Bhopal")</f>
        <v>Bhopal</v>
      </c>
      <c r="G10" s="1">
        <f>IFERROR(__xludf.DUMMYFUNCTION("""COMPUTED_VALUE"""),93.0)</f>
        <v>93</v>
      </c>
      <c r="H10" s="1">
        <f>IFERROR(__xludf.DUMMYFUNCTION("""COMPUTED_VALUE"""),79.0)</f>
        <v>79</v>
      </c>
      <c r="I10" s="1">
        <f>IFERROR(__xludf.DUMMYFUNCTION("""COMPUTED_VALUE"""),59.0)</f>
        <v>59</v>
      </c>
      <c r="J10" s="1">
        <f>IFERROR(__xludf.DUMMYFUNCTION("""COMPUTED_VALUE"""),56.0)</f>
        <v>56</v>
      </c>
      <c r="K10" s="1">
        <f>IFERROR(__xludf.DUMMYFUNCTION("""COMPUTED_VALUE"""),73.0)</f>
        <v>73</v>
      </c>
      <c r="L10" s="1">
        <f>IFERROR(__xludf.DUMMYFUNCTION("""COMPUTED_VALUE"""),360.0)</f>
        <v>360</v>
      </c>
      <c r="M10" s="1">
        <f>IFERROR(__xludf.DUMMYFUNCTION("""COMPUTED_VALUE"""),72.0)</f>
        <v>72</v>
      </c>
      <c r="N10" s="1">
        <f>IFERROR(__xludf.DUMMYFUNCTION("""COMPUTED_VALUE"""),63.0)</f>
        <v>63</v>
      </c>
      <c r="O10" s="1" t="str">
        <f>IFERROR(__xludf.DUMMYFUNCTION("""COMPUTED_VALUE"""),"Pass")</f>
        <v>Pass</v>
      </c>
    </row>
    <row r="11">
      <c r="A11" s="1" t="str">
        <f>IFERROR(__xludf.DUMMYFUNCTION("""COMPUTED_VALUE"""),"STD-1150")</f>
        <v>STD-1150</v>
      </c>
      <c r="B11" s="1" t="str">
        <f>IFERROR(__xludf.DUMMYFUNCTION("""COMPUTED_VALUE"""),"Meera Kulkarni")</f>
        <v>Meera Kulkarni</v>
      </c>
      <c r="C11" s="1" t="str">
        <f>IFERROR(__xludf.DUMMYFUNCTION("""COMPUTED_VALUE"""),"Female")</f>
        <v>Female</v>
      </c>
      <c r="D11" s="1" t="str">
        <f>IFERROR(__xludf.DUMMYFUNCTION("""COMPUTED_VALUE"""),"9")</f>
        <v>9</v>
      </c>
      <c r="E11" s="1" t="str">
        <f>IFERROR(__xludf.DUMMYFUNCTION("""COMPUTED_VALUE"""),"A")</f>
        <v>A</v>
      </c>
      <c r="F11" s="1" t="str">
        <f>IFERROR(__xludf.DUMMYFUNCTION("""COMPUTED_VALUE"""),"Delhi")</f>
        <v>Delhi</v>
      </c>
      <c r="G11" s="1">
        <f>IFERROR(__xludf.DUMMYFUNCTION("""COMPUTED_VALUE"""),77.0)</f>
        <v>77</v>
      </c>
      <c r="H11" s="1">
        <f>IFERROR(__xludf.DUMMYFUNCTION("""COMPUTED_VALUE"""),83.0)</f>
        <v>83</v>
      </c>
      <c r="I11" s="1">
        <f>IFERROR(__xludf.DUMMYFUNCTION("""COMPUTED_VALUE"""),52.0)</f>
        <v>52</v>
      </c>
      <c r="J11" s="1">
        <f>IFERROR(__xludf.DUMMYFUNCTION("""COMPUTED_VALUE"""),98.0)</f>
        <v>98</v>
      </c>
      <c r="K11" s="1">
        <f>IFERROR(__xludf.DUMMYFUNCTION("""COMPUTED_VALUE"""),40.0)</f>
        <v>40</v>
      </c>
      <c r="L11" s="1">
        <f>IFERROR(__xludf.DUMMYFUNCTION("""COMPUTED_VALUE"""),350.0)</f>
        <v>350</v>
      </c>
      <c r="M11" s="1">
        <f>IFERROR(__xludf.DUMMYFUNCTION("""COMPUTED_VALUE"""),70.0)</f>
        <v>70</v>
      </c>
      <c r="N11" s="1">
        <f>IFERROR(__xludf.DUMMYFUNCTION("""COMPUTED_VALUE"""),73.0)</f>
        <v>73</v>
      </c>
      <c r="O11" s="1" t="str">
        <f>IFERROR(__xludf.DUMMYFUNCTION("""COMPUTED_VALUE"""),"Pass")</f>
        <v>Pass</v>
      </c>
    </row>
    <row r="12">
      <c r="A12" s="1" t="str">
        <f>IFERROR(__xludf.DUMMYFUNCTION("""COMPUTED_VALUE"""),"STD-1156")</f>
        <v>STD-1156</v>
      </c>
      <c r="B12" s="1" t="str">
        <f>IFERROR(__xludf.DUMMYFUNCTION("""COMPUTED_VALUE"""),"Tanvi Yadav")</f>
        <v>Tanvi Yadav</v>
      </c>
      <c r="C12" s="1" t="str">
        <f>IFERROR(__xludf.DUMMYFUNCTION("""COMPUTED_VALUE"""),"Male")</f>
        <v>Male</v>
      </c>
      <c r="D12" s="1" t="str">
        <f>IFERROR(__xludf.DUMMYFUNCTION("""COMPUTED_VALUE"""),"9")</f>
        <v>9</v>
      </c>
      <c r="E12" s="1" t="str">
        <f>IFERROR(__xludf.DUMMYFUNCTION("""COMPUTED_VALUE"""),"A")</f>
        <v>A</v>
      </c>
      <c r="F12" s="1" t="str">
        <f>IFERROR(__xludf.DUMMYFUNCTION("""COMPUTED_VALUE"""),"Delhi")</f>
        <v>Delhi</v>
      </c>
      <c r="G12" s="1">
        <f>IFERROR(__xludf.DUMMYFUNCTION("""COMPUTED_VALUE"""),49.0)</f>
        <v>49</v>
      </c>
      <c r="H12" s="1">
        <f>IFERROR(__xludf.DUMMYFUNCTION("""COMPUTED_VALUE"""),78.0)</f>
        <v>78</v>
      </c>
      <c r="I12" s="1">
        <f>IFERROR(__xludf.DUMMYFUNCTION("""COMPUTED_VALUE"""),49.0)</f>
        <v>49</v>
      </c>
      <c r="J12" s="1">
        <f>IFERROR(__xludf.DUMMYFUNCTION("""COMPUTED_VALUE"""),75.0)</f>
        <v>75</v>
      </c>
      <c r="K12" s="1">
        <f>IFERROR(__xludf.DUMMYFUNCTION("""COMPUTED_VALUE"""),40.0)</f>
        <v>40</v>
      </c>
      <c r="L12" s="1">
        <f>IFERROR(__xludf.DUMMYFUNCTION("""COMPUTED_VALUE"""),291.0)</f>
        <v>291</v>
      </c>
      <c r="M12" s="1">
        <f>IFERROR(__xludf.DUMMYFUNCTION("""COMPUTED_VALUE"""),58.2)</f>
        <v>58.2</v>
      </c>
      <c r="N12" s="1">
        <f>IFERROR(__xludf.DUMMYFUNCTION("""COMPUTED_VALUE"""),98.0)</f>
        <v>98</v>
      </c>
      <c r="O12" s="1" t="str">
        <f>IFERROR(__xludf.DUMMYFUNCTION("""COMPUTED_VALUE"""),"Pass")</f>
        <v>Pass</v>
      </c>
    </row>
    <row r="13">
      <c r="A13" s="1" t="str">
        <f>IFERROR(__xludf.DUMMYFUNCTION("""COMPUTED_VALUE"""),"STD-1158")</f>
        <v>STD-1158</v>
      </c>
      <c r="B13" s="1" t="str">
        <f>IFERROR(__xludf.DUMMYFUNCTION("""COMPUTED_VALUE"""),"Aditya Verma")</f>
        <v>Aditya Verma</v>
      </c>
      <c r="C13" s="1" t="str">
        <f>IFERROR(__xludf.DUMMYFUNCTION("""COMPUTED_VALUE"""),"Male")</f>
        <v>Male</v>
      </c>
      <c r="D13" s="1" t="str">
        <f>IFERROR(__xludf.DUMMYFUNCTION("""COMPUTED_VALUE"""),"9")</f>
        <v>9</v>
      </c>
      <c r="E13" s="1" t="str">
        <f>IFERROR(__xludf.DUMMYFUNCTION("""COMPUTED_VALUE"""),"A")</f>
        <v>A</v>
      </c>
      <c r="F13" s="1" t="str">
        <f>IFERROR(__xludf.DUMMYFUNCTION("""COMPUTED_VALUE"""),"Chandigarh")</f>
        <v>Chandigarh</v>
      </c>
      <c r="G13" s="1">
        <f>IFERROR(__xludf.DUMMYFUNCTION("""COMPUTED_VALUE"""),49.0)</f>
        <v>49</v>
      </c>
      <c r="H13" s="1">
        <f>IFERROR(__xludf.DUMMYFUNCTION("""COMPUTED_VALUE"""),81.0)</f>
        <v>81</v>
      </c>
      <c r="I13" s="1">
        <f>IFERROR(__xludf.DUMMYFUNCTION("""COMPUTED_VALUE"""),70.0)</f>
        <v>70</v>
      </c>
      <c r="J13" s="1">
        <f>IFERROR(__xludf.DUMMYFUNCTION("""COMPUTED_VALUE"""),69.0)</f>
        <v>69</v>
      </c>
      <c r="K13" s="1">
        <f>IFERROR(__xludf.DUMMYFUNCTION("""COMPUTED_VALUE"""),85.0)</f>
        <v>85</v>
      </c>
      <c r="L13" s="1">
        <f>IFERROR(__xludf.DUMMYFUNCTION("""COMPUTED_VALUE"""),354.0)</f>
        <v>354</v>
      </c>
      <c r="M13" s="1">
        <f>IFERROR(__xludf.DUMMYFUNCTION("""COMPUTED_VALUE"""),70.8)</f>
        <v>70.8</v>
      </c>
      <c r="N13" s="1">
        <f>IFERROR(__xludf.DUMMYFUNCTION("""COMPUTED_VALUE"""),85.0)</f>
        <v>85</v>
      </c>
      <c r="O13" s="1" t="str">
        <f>IFERROR(__xludf.DUMMYFUNCTION("""COMPUTED_VALUE"""),"Pass")</f>
        <v>Pass</v>
      </c>
    </row>
    <row r="14">
      <c r="A14" s="1" t="str">
        <f>IFERROR(__xludf.DUMMYFUNCTION("""COMPUTED_VALUE"""),"STD-1183")</f>
        <v>STD-1183</v>
      </c>
      <c r="B14" s="1" t="str">
        <f>IFERROR(__xludf.DUMMYFUNCTION("""COMPUTED_VALUE"""),"Ananya Banerjee")</f>
        <v>Ananya Banerjee</v>
      </c>
      <c r="C14" s="1" t="str">
        <f>IFERROR(__xludf.DUMMYFUNCTION("""COMPUTED_VALUE"""),"Male")</f>
        <v>Male</v>
      </c>
      <c r="D14" s="1" t="str">
        <f>IFERROR(__xludf.DUMMYFUNCTION("""COMPUTED_VALUE"""),"9")</f>
        <v>9</v>
      </c>
      <c r="E14" s="1" t="str">
        <f>IFERROR(__xludf.DUMMYFUNCTION("""COMPUTED_VALUE"""),"A")</f>
        <v>A</v>
      </c>
      <c r="F14" s="1" t="str">
        <f>IFERROR(__xludf.DUMMYFUNCTION("""COMPUTED_VALUE"""),"Patna")</f>
        <v>Patna</v>
      </c>
      <c r="G14" s="1">
        <f>IFERROR(__xludf.DUMMYFUNCTION("""COMPUTED_VALUE"""),94.0)</f>
        <v>94</v>
      </c>
      <c r="H14" s="1">
        <f>IFERROR(__xludf.DUMMYFUNCTION("""COMPUTED_VALUE"""),42.0)</f>
        <v>42</v>
      </c>
      <c r="I14" s="1">
        <f>IFERROR(__xludf.DUMMYFUNCTION("""COMPUTED_VALUE"""),75.0)</f>
        <v>75</v>
      </c>
      <c r="J14" s="1">
        <f>IFERROR(__xludf.DUMMYFUNCTION("""COMPUTED_VALUE"""),91.0)</f>
        <v>91</v>
      </c>
      <c r="K14" s="1">
        <f>IFERROR(__xludf.DUMMYFUNCTION("""COMPUTED_VALUE"""),68.0)</f>
        <v>68</v>
      </c>
      <c r="L14" s="1">
        <f>IFERROR(__xludf.DUMMYFUNCTION("""COMPUTED_VALUE"""),370.0)</f>
        <v>370</v>
      </c>
      <c r="M14" s="1">
        <f>IFERROR(__xludf.DUMMYFUNCTION("""COMPUTED_VALUE"""),74.0)</f>
        <v>74</v>
      </c>
      <c r="N14" s="1">
        <f>IFERROR(__xludf.DUMMYFUNCTION("""COMPUTED_VALUE"""),77.0)</f>
        <v>77</v>
      </c>
      <c r="O14" s="1" t="str">
        <f>IFERROR(__xludf.DUMMYFUNCTION("""COMPUTED_VALUE"""),"Pass")</f>
        <v>Pass</v>
      </c>
    </row>
    <row r="15">
      <c r="A15" s="1" t="str">
        <f>IFERROR(__xludf.DUMMYFUNCTION("""COMPUTED_VALUE"""),"STD-1194")</f>
        <v>STD-1194</v>
      </c>
      <c r="B15" s="1" t="str">
        <f>IFERROR(__xludf.DUMMYFUNCTION("""COMPUTED_VALUE"""),"Aarav Patel")</f>
        <v>Aarav Patel</v>
      </c>
      <c r="C15" s="1" t="str">
        <f>IFERROR(__xludf.DUMMYFUNCTION("""COMPUTED_VALUE"""),"Male")</f>
        <v>Male</v>
      </c>
      <c r="D15" s="1" t="str">
        <f>IFERROR(__xludf.DUMMYFUNCTION("""COMPUTED_VALUE"""),"9")</f>
        <v>9</v>
      </c>
      <c r="E15" s="1" t="str">
        <f>IFERROR(__xludf.DUMMYFUNCTION("""COMPUTED_VALUE"""),"A")</f>
        <v>A</v>
      </c>
      <c r="F15" s="1" t="str">
        <f>IFERROR(__xludf.DUMMYFUNCTION("""COMPUTED_VALUE"""),"Bhopal")</f>
        <v>Bhopal</v>
      </c>
      <c r="G15" s="1">
        <f>IFERROR(__xludf.DUMMYFUNCTION("""COMPUTED_VALUE"""),94.0)</f>
        <v>94</v>
      </c>
      <c r="H15" s="1">
        <f>IFERROR(__xludf.DUMMYFUNCTION("""COMPUTED_VALUE"""),67.0)</f>
        <v>67</v>
      </c>
      <c r="I15" s="1">
        <f>IFERROR(__xludf.DUMMYFUNCTION("""COMPUTED_VALUE"""),77.0)</f>
        <v>77</v>
      </c>
      <c r="J15" s="1">
        <f>IFERROR(__xludf.DUMMYFUNCTION("""COMPUTED_VALUE"""),60.0)</f>
        <v>60</v>
      </c>
      <c r="K15" s="1">
        <f>IFERROR(__xludf.DUMMYFUNCTION("""COMPUTED_VALUE"""),85.0)</f>
        <v>85</v>
      </c>
      <c r="L15" s="1">
        <f>IFERROR(__xludf.DUMMYFUNCTION("""COMPUTED_VALUE"""),383.0)</f>
        <v>383</v>
      </c>
      <c r="M15" s="1">
        <f>IFERROR(__xludf.DUMMYFUNCTION("""COMPUTED_VALUE"""),76.6)</f>
        <v>76.6</v>
      </c>
      <c r="N15" s="1">
        <f>IFERROR(__xludf.DUMMYFUNCTION("""COMPUTED_VALUE"""),98.0)</f>
        <v>98</v>
      </c>
      <c r="O15" s="1" t="str">
        <f>IFERROR(__xludf.DUMMYFUNCTION("""COMPUTED_VALUE"""),"Pass")</f>
        <v>Pass</v>
      </c>
    </row>
    <row r="16">
      <c r="A16" s="1" t="str">
        <f>IFERROR(__xludf.DUMMYFUNCTION("""COMPUTED_VALUE"""),"STD-1219")</f>
        <v>STD-1219</v>
      </c>
      <c r="B16" s="1" t="str">
        <f>IFERROR(__xludf.DUMMYFUNCTION("""COMPUTED_VALUE"""),"Sai Kaur")</f>
        <v>Sai Kaur</v>
      </c>
      <c r="C16" s="1" t="str">
        <f>IFERROR(__xludf.DUMMYFUNCTION("""COMPUTED_VALUE"""),"Male")</f>
        <v>Male</v>
      </c>
      <c r="D16" s="1" t="str">
        <f>IFERROR(__xludf.DUMMYFUNCTION("""COMPUTED_VALUE"""),"9")</f>
        <v>9</v>
      </c>
      <c r="E16" s="1" t="str">
        <f>IFERROR(__xludf.DUMMYFUNCTION("""COMPUTED_VALUE"""),"A")</f>
        <v>A</v>
      </c>
      <c r="F16" s="1" t="str">
        <f>IFERROR(__xludf.DUMMYFUNCTION("""COMPUTED_VALUE"""),"Bhopal")</f>
        <v>Bhopal</v>
      </c>
      <c r="G16" s="1">
        <f>IFERROR(__xludf.DUMMYFUNCTION("""COMPUTED_VALUE"""),85.0)</f>
        <v>85</v>
      </c>
      <c r="H16" s="1">
        <f>IFERROR(__xludf.DUMMYFUNCTION("""COMPUTED_VALUE"""),51.0)</f>
        <v>51</v>
      </c>
      <c r="I16" s="1">
        <f>IFERROR(__xludf.DUMMYFUNCTION("""COMPUTED_VALUE"""),52.0)</f>
        <v>52</v>
      </c>
      <c r="J16" s="1">
        <f>IFERROR(__xludf.DUMMYFUNCTION("""COMPUTED_VALUE"""),73.0)</f>
        <v>73</v>
      </c>
      <c r="K16" s="1">
        <f>IFERROR(__xludf.DUMMYFUNCTION("""COMPUTED_VALUE"""),94.0)</f>
        <v>94</v>
      </c>
      <c r="L16" s="1">
        <f>IFERROR(__xludf.DUMMYFUNCTION("""COMPUTED_VALUE"""),355.0)</f>
        <v>355</v>
      </c>
      <c r="M16" s="1">
        <f>IFERROR(__xludf.DUMMYFUNCTION("""COMPUTED_VALUE"""),71.0)</f>
        <v>71</v>
      </c>
      <c r="N16" s="1">
        <f>IFERROR(__xludf.DUMMYFUNCTION("""COMPUTED_VALUE"""),69.0)</f>
        <v>69</v>
      </c>
      <c r="O16" s="1" t="str">
        <f>IFERROR(__xludf.DUMMYFUNCTION("""COMPUTED_VALUE"""),"Pass")</f>
        <v>Pass</v>
      </c>
    </row>
    <row r="17">
      <c r="A17" s="1" t="str">
        <f>IFERROR(__xludf.DUMMYFUNCTION("""COMPUTED_VALUE"""),"STD-1244")</f>
        <v>STD-1244</v>
      </c>
      <c r="B17" s="1" t="str">
        <f>IFERROR(__xludf.DUMMYFUNCTION("""COMPUTED_VALUE"""),"Karan Verma")</f>
        <v>Karan Verma</v>
      </c>
      <c r="C17" s="1" t="str">
        <f>IFERROR(__xludf.DUMMYFUNCTION("""COMPUTED_VALUE"""),"Female")</f>
        <v>Female</v>
      </c>
      <c r="D17" s="1" t="str">
        <f>IFERROR(__xludf.DUMMYFUNCTION("""COMPUTED_VALUE"""),"9")</f>
        <v>9</v>
      </c>
      <c r="E17" s="1" t="str">
        <f>IFERROR(__xludf.DUMMYFUNCTION("""COMPUTED_VALUE"""),"A")</f>
        <v>A</v>
      </c>
      <c r="F17" s="1" t="str">
        <f>IFERROR(__xludf.DUMMYFUNCTION("""COMPUTED_VALUE"""),"Chandigarh")</f>
        <v>Chandigarh</v>
      </c>
      <c r="G17" s="1">
        <f>IFERROR(__xludf.DUMMYFUNCTION("""COMPUTED_VALUE"""),40.0)</f>
        <v>40</v>
      </c>
      <c r="H17" s="1">
        <f>IFERROR(__xludf.DUMMYFUNCTION("""COMPUTED_VALUE"""),64.0)</f>
        <v>64</v>
      </c>
      <c r="I17" s="1">
        <f>IFERROR(__xludf.DUMMYFUNCTION("""COMPUTED_VALUE"""),73.0)</f>
        <v>73</v>
      </c>
      <c r="J17" s="1">
        <f>IFERROR(__xludf.DUMMYFUNCTION("""COMPUTED_VALUE"""),45.0)</f>
        <v>45</v>
      </c>
      <c r="K17" s="1">
        <f>IFERROR(__xludf.DUMMYFUNCTION("""COMPUTED_VALUE"""),48.0)</f>
        <v>48</v>
      </c>
      <c r="L17" s="1">
        <f>IFERROR(__xludf.DUMMYFUNCTION("""COMPUTED_VALUE"""),270.0)</f>
        <v>270</v>
      </c>
      <c r="M17" s="1">
        <f>IFERROR(__xludf.DUMMYFUNCTION("""COMPUTED_VALUE"""),54.0)</f>
        <v>54</v>
      </c>
      <c r="N17" s="1">
        <f>IFERROR(__xludf.DUMMYFUNCTION("""COMPUTED_VALUE"""),76.0)</f>
        <v>76</v>
      </c>
      <c r="O17" s="1" t="str">
        <f>IFERROR(__xludf.DUMMYFUNCTION("""COMPUTED_VALUE"""),"Pass")</f>
        <v>Pass</v>
      </c>
    </row>
    <row r="18">
      <c r="A18" s="1" t="str">
        <f>IFERROR(__xludf.DUMMYFUNCTION("""COMPUTED_VALUE"""),"STD-1256")</f>
        <v>STD-1256</v>
      </c>
      <c r="B18" s="1" t="str">
        <f>IFERROR(__xludf.DUMMYFUNCTION("""COMPUTED_VALUE"""),"Tanvi Yadav")</f>
        <v>Tanvi Yadav</v>
      </c>
      <c r="C18" s="1" t="str">
        <f>IFERROR(__xludf.DUMMYFUNCTION("""COMPUTED_VALUE"""),"Male")</f>
        <v>Male</v>
      </c>
      <c r="D18" s="1" t="str">
        <f>IFERROR(__xludf.DUMMYFUNCTION("""COMPUTED_VALUE"""),"9")</f>
        <v>9</v>
      </c>
      <c r="E18" s="1" t="str">
        <f>IFERROR(__xludf.DUMMYFUNCTION("""COMPUTED_VALUE"""),"A")</f>
        <v>A</v>
      </c>
      <c r="F18" s="1" t="str">
        <f>IFERROR(__xludf.DUMMYFUNCTION("""COMPUTED_VALUE"""),"Kolkata")</f>
        <v>Kolkata</v>
      </c>
      <c r="G18" s="1">
        <f>IFERROR(__xludf.DUMMYFUNCTION("""COMPUTED_VALUE"""),43.0)</f>
        <v>43</v>
      </c>
      <c r="H18" s="1">
        <f>IFERROR(__xludf.DUMMYFUNCTION("""COMPUTED_VALUE"""),70.0)</f>
        <v>70</v>
      </c>
      <c r="I18" s="1">
        <f>IFERROR(__xludf.DUMMYFUNCTION("""COMPUTED_VALUE"""),60.0)</f>
        <v>60</v>
      </c>
      <c r="J18" s="1">
        <f>IFERROR(__xludf.DUMMYFUNCTION("""COMPUTED_VALUE"""),66.0)</f>
        <v>66</v>
      </c>
      <c r="K18" s="1">
        <f>IFERROR(__xludf.DUMMYFUNCTION("""COMPUTED_VALUE"""),66.0)</f>
        <v>66</v>
      </c>
      <c r="L18" s="1">
        <f>IFERROR(__xludf.DUMMYFUNCTION("""COMPUTED_VALUE"""),305.0)</f>
        <v>305</v>
      </c>
      <c r="M18" s="1">
        <f>IFERROR(__xludf.DUMMYFUNCTION("""COMPUTED_VALUE"""),61.0)</f>
        <v>61</v>
      </c>
      <c r="N18" s="1">
        <f>IFERROR(__xludf.DUMMYFUNCTION("""COMPUTED_VALUE"""),96.0)</f>
        <v>96</v>
      </c>
      <c r="O18" s="1" t="str">
        <f>IFERROR(__xludf.DUMMYFUNCTION("""COMPUTED_VALUE"""),"Pass")</f>
        <v>Pass</v>
      </c>
    </row>
    <row r="19">
      <c r="A19" s="1" t="str">
        <f>IFERROR(__xludf.DUMMYFUNCTION("""COMPUTED_VALUE"""),"STD-1266")</f>
        <v>STD-1266</v>
      </c>
      <c r="B19" s="1" t="str">
        <f>IFERROR(__xludf.DUMMYFUNCTION("""COMPUTED_VALUE"""),"Kavya Jain")</f>
        <v>Kavya Jain</v>
      </c>
      <c r="C19" s="1" t="str">
        <f>IFERROR(__xludf.DUMMYFUNCTION("""COMPUTED_VALUE"""),"Female")</f>
        <v>Female</v>
      </c>
      <c r="D19" s="1" t="str">
        <f>IFERROR(__xludf.DUMMYFUNCTION("""COMPUTED_VALUE"""),"9")</f>
        <v>9</v>
      </c>
      <c r="E19" s="1" t="str">
        <f>IFERROR(__xludf.DUMMYFUNCTION("""COMPUTED_VALUE"""),"A")</f>
        <v>A</v>
      </c>
      <c r="F19" s="1" t="str">
        <f>IFERROR(__xludf.DUMMYFUNCTION("""COMPUTED_VALUE"""),"Kolkata")</f>
        <v>Kolkata</v>
      </c>
      <c r="G19" s="1">
        <f>IFERROR(__xludf.DUMMYFUNCTION("""COMPUTED_VALUE"""),46.0)</f>
        <v>46</v>
      </c>
      <c r="H19" s="1">
        <f>IFERROR(__xludf.DUMMYFUNCTION("""COMPUTED_VALUE"""),71.0)</f>
        <v>71</v>
      </c>
      <c r="I19" s="1">
        <f>IFERROR(__xludf.DUMMYFUNCTION("""COMPUTED_VALUE"""),71.0)</f>
        <v>71</v>
      </c>
      <c r="J19" s="1">
        <f>IFERROR(__xludf.DUMMYFUNCTION("""COMPUTED_VALUE"""),84.0)</f>
        <v>84</v>
      </c>
      <c r="K19" s="1">
        <f>IFERROR(__xludf.DUMMYFUNCTION("""COMPUTED_VALUE"""),87.0)</f>
        <v>87</v>
      </c>
      <c r="L19" s="1">
        <f>IFERROR(__xludf.DUMMYFUNCTION("""COMPUTED_VALUE"""),359.0)</f>
        <v>359</v>
      </c>
      <c r="M19" s="1">
        <f>IFERROR(__xludf.DUMMYFUNCTION("""COMPUTED_VALUE"""),71.8)</f>
        <v>71.8</v>
      </c>
      <c r="N19" s="1">
        <f>IFERROR(__xludf.DUMMYFUNCTION("""COMPUTED_VALUE"""),84.0)</f>
        <v>84</v>
      </c>
      <c r="O19" s="1" t="str">
        <f>IFERROR(__xludf.DUMMYFUNCTION("""COMPUTED_VALUE"""),"Pass")</f>
        <v>Pass</v>
      </c>
    </row>
    <row r="20">
      <c r="A20" s="1" t="str">
        <f>IFERROR(__xludf.DUMMYFUNCTION("""COMPUTED_VALUE"""),"STD-1281")</f>
        <v>STD-1281</v>
      </c>
      <c r="B20" s="1" t="str">
        <f>IFERROR(__xludf.DUMMYFUNCTION("""COMPUTED_VALUE"""),"Neha Das")</f>
        <v>Neha Das</v>
      </c>
      <c r="C20" s="1" t="str">
        <f>IFERROR(__xludf.DUMMYFUNCTION("""COMPUTED_VALUE"""),"Male")</f>
        <v>Male</v>
      </c>
      <c r="D20" s="1" t="str">
        <f>IFERROR(__xludf.DUMMYFUNCTION("""COMPUTED_VALUE"""),"9")</f>
        <v>9</v>
      </c>
      <c r="E20" s="1" t="str">
        <f>IFERROR(__xludf.DUMMYFUNCTION("""COMPUTED_VALUE"""),"A")</f>
        <v>A</v>
      </c>
      <c r="F20" s="1" t="str">
        <f>IFERROR(__xludf.DUMMYFUNCTION("""COMPUTED_VALUE"""),"Bhopal")</f>
        <v>Bhopal</v>
      </c>
      <c r="G20" s="1">
        <f>IFERROR(__xludf.DUMMYFUNCTION("""COMPUTED_VALUE"""),94.0)</f>
        <v>94</v>
      </c>
      <c r="H20" s="1">
        <f>IFERROR(__xludf.DUMMYFUNCTION("""COMPUTED_VALUE"""),49.0)</f>
        <v>49</v>
      </c>
      <c r="I20" s="1">
        <f>IFERROR(__xludf.DUMMYFUNCTION("""COMPUTED_VALUE"""),50.0)</f>
        <v>50</v>
      </c>
      <c r="J20" s="1">
        <f>IFERROR(__xludf.DUMMYFUNCTION("""COMPUTED_VALUE"""),98.0)</f>
        <v>98</v>
      </c>
      <c r="K20" s="1">
        <f>IFERROR(__xludf.DUMMYFUNCTION("""COMPUTED_VALUE"""),47.0)</f>
        <v>47</v>
      </c>
      <c r="L20" s="1">
        <f>IFERROR(__xludf.DUMMYFUNCTION("""COMPUTED_VALUE"""),338.0)</f>
        <v>338</v>
      </c>
      <c r="M20" s="1">
        <f>IFERROR(__xludf.DUMMYFUNCTION("""COMPUTED_VALUE"""),67.6)</f>
        <v>67.6</v>
      </c>
      <c r="N20" s="1">
        <f>IFERROR(__xludf.DUMMYFUNCTION("""COMPUTED_VALUE"""),91.0)</f>
        <v>91</v>
      </c>
      <c r="O20" s="1" t="str">
        <f>IFERROR(__xludf.DUMMYFUNCTION("""COMPUTED_VALUE"""),"Pass")</f>
        <v>Pass</v>
      </c>
    </row>
    <row r="21" ht="15.75" customHeight="1">
      <c r="A21" s="1" t="str">
        <f>IFERROR(__xludf.DUMMYFUNCTION("""COMPUTED_VALUE"""),"STD-1308")</f>
        <v>STD-1308</v>
      </c>
      <c r="B21" s="1" t="str">
        <f>IFERROR(__xludf.DUMMYFUNCTION("""COMPUTED_VALUE"""),"Pooja Das")</f>
        <v>Pooja Das</v>
      </c>
      <c r="C21" s="1" t="str">
        <f>IFERROR(__xludf.DUMMYFUNCTION("""COMPUTED_VALUE"""),"Male")</f>
        <v>Male</v>
      </c>
      <c r="D21" s="1" t="str">
        <f>IFERROR(__xludf.DUMMYFUNCTION("""COMPUTED_VALUE"""),"9")</f>
        <v>9</v>
      </c>
      <c r="E21" s="1" t="str">
        <f>IFERROR(__xludf.DUMMYFUNCTION("""COMPUTED_VALUE"""),"A")</f>
        <v>A</v>
      </c>
      <c r="F21" s="1" t="str">
        <f>IFERROR(__xludf.DUMMYFUNCTION("""COMPUTED_VALUE"""),"Jaipur")</f>
        <v>Jaipur</v>
      </c>
      <c r="G21" s="1">
        <f>IFERROR(__xludf.DUMMYFUNCTION("""COMPUTED_VALUE"""),93.0)</f>
        <v>93</v>
      </c>
      <c r="H21" s="1">
        <f>IFERROR(__xludf.DUMMYFUNCTION("""COMPUTED_VALUE"""),84.0)</f>
        <v>84</v>
      </c>
      <c r="I21" s="1">
        <f>IFERROR(__xludf.DUMMYFUNCTION("""COMPUTED_VALUE"""),63.0)</f>
        <v>63</v>
      </c>
      <c r="J21" s="1">
        <f>IFERROR(__xludf.DUMMYFUNCTION("""COMPUTED_VALUE"""),80.0)</f>
        <v>80</v>
      </c>
      <c r="K21" s="1">
        <f>IFERROR(__xludf.DUMMYFUNCTION("""COMPUTED_VALUE"""),76.0)</f>
        <v>76</v>
      </c>
      <c r="L21" s="1">
        <f>IFERROR(__xludf.DUMMYFUNCTION("""COMPUTED_VALUE"""),396.0)</f>
        <v>396</v>
      </c>
      <c r="M21" s="1">
        <f>IFERROR(__xludf.DUMMYFUNCTION("""COMPUTED_VALUE"""),79.2)</f>
        <v>79.2</v>
      </c>
      <c r="N21" s="1">
        <f>IFERROR(__xludf.DUMMYFUNCTION("""COMPUTED_VALUE"""),93.0)</f>
        <v>93</v>
      </c>
      <c r="O21" s="1" t="str">
        <f>IFERROR(__xludf.DUMMYFUNCTION("""COMPUTED_VALUE"""),"Pass")</f>
        <v>Pass</v>
      </c>
    </row>
    <row r="22" ht="15.75" customHeight="1">
      <c r="A22" s="1" t="str">
        <f>IFERROR(__xludf.DUMMYFUNCTION("""COMPUTED_VALUE"""),"STD-1311")</f>
        <v>STD-1311</v>
      </c>
      <c r="B22" s="1" t="str">
        <f>IFERROR(__xludf.DUMMYFUNCTION("""COMPUTED_VALUE"""),"Meera Das")</f>
        <v>Meera Das</v>
      </c>
      <c r="C22" s="1" t="str">
        <f>IFERROR(__xludf.DUMMYFUNCTION("""COMPUTED_VALUE"""),"Female")</f>
        <v>Female</v>
      </c>
      <c r="D22" s="1" t="str">
        <f>IFERROR(__xludf.DUMMYFUNCTION("""COMPUTED_VALUE"""),"9")</f>
        <v>9</v>
      </c>
      <c r="E22" s="1" t="str">
        <f>IFERROR(__xludf.DUMMYFUNCTION("""COMPUTED_VALUE"""),"A")</f>
        <v>A</v>
      </c>
      <c r="F22" s="1" t="str">
        <f>IFERROR(__xludf.DUMMYFUNCTION("""COMPUTED_VALUE"""),"Delhi")</f>
        <v>Delhi</v>
      </c>
      <c r="G22" s="1">
        <f>IFERROR(__xludf.DUMMYFUNCTION("""COMPUTED_VALUE"""),49.0)</f>
        <v>49</v>
      </c>
      <c r="H22" s="1">
        <f>IFERROR(__xludf.DUMMYFUNCTION("""COMPUTED_VALUE"""),43.0)</f>
        <v>43</v>
      </c>
      <c r="I22" s="1">
        <f>IFERROR(__xludf.DUMMYFUNCTION("""COMPUTED_VALUE"""),55.0)</f>
        <v>55</v>
      </c>
      <c r="J22" s="1">
        <f>IFERROR(__xludf.DUMMYFUNCTION("""COMPUTED_VALUE"""),68.0)</f>
        <v>68</v>
      </c>
      <c r="K22" s="1">
        <f>IFERROR(__xludf.DUMMYFUNCTION("""COMPUTED_VALUE"""),52.0)</f>
        <v>52</v>
      </c>
      <c r="L22" s="1">
        <f>IFERROR(__xludf.DUMMYFUNCTION("""COMPUTED_VALUE"""),267.0)</f>
        <v>267</v>
      </c>
      <c r="M22" s="1">
        <f>IFERROR(__xludf.DUMMYFUNCTION("""COMPUTED_VALUE"""),53.4)</f>
        <v>53.4</v>
      </c>
      <c r="N22" s="1">
        <f>IFERROR(__xludf.DUMMYFUNCTION("""COMPUTED_VALUE"""),84.0)</f>
        <v>84</v>
      </c>
      <c r="O22" s="1" t="str">
        <f>IFERROR(__xludf.DUMMYFUNCTION("""COMPUTED_VALUE"""),"Pass")</f>
        <v>Pass</v>
      </c>
    </row>
    <row r="23" ht="15.75" customHeight="1">
      <c r="A23" s="1" t="str">
        <f>IFERROR(__xludf.DUMMYFUNCTION("""COMPUTED_VALUE"""),"STD-1321")</f>
        <v>STD-1321</v>
      </c>
      <c r="B23" s="1" t="str">
        <f>IFERROR(__xludf.DUMMYFUNCTION("""COMPUTED_VALUE"""),"Sai Choudhary")</f>
        <v>Sai Choudhary</v>
      </c>
      <c r="C23" s="1" t="str">
        <f>IFERROR(__xludf.DUMMYFUNCTION("""COMPUTED_VALUE"""),"Male")</f>
        <v>Male</v>
      </c>
      <c r="D23" s="1" t="str">
        <f>IFERROR(__xludf.DUMMYFUNCTION("""COMPUTED_VALUE"""),"9")</f>
        <v>9</v>
      </c>
      <c r="E23" s="1" t="str">
        <f>IFERROR(__xludf.DUMMYFUNCTION("""COMPUTED_VALUE"""),"A")</f>
        <v>A</v>
      </c>
      <c r="F23" s="1" t="str">
        <f>IFERROR(__xludf.DUMMYFUNCTION("""COMPUTED_VALUE"""),"Kolkata")</f>
        <v>Kolkata</v>
      </c>
      <c r="G23" s="1">
        <f>IFERROR(__xludf.DUMMYFUNCTION("""COMPUTED_VALUE"""),100.0)</f>
        <v>100</v>
      </c>
      <c r="H23" s="1">
        <f>IFERROR(__xludf.DUMMYFUNCTION("""COMPUTED_VALUE"""),55.0)</f>
        <v>55</v>
      </c>
      <c r="I23" s="1">
        <f>IFERROR(__xludf.DUMMYFUNCTION("""COMPUTED_VALUE"""),91.0)</f>
        <v>91</v>
      </c>
      <c r="J23" s="1">
        <f>IFERROR(__xludf.DUMMYFUNCTION("""COMPUTED_VALUE"""),42.0)</f>
        <v>42</v>
      </c>
      <c r="K23" s="1">
        <f>IFERROR(__xludf.DUMMYFUNCTION("""COMPUTED_VALUE"""),73.0)</f>
        <v>73</v>
      </c>
      <c r="L23" s="1">
        <f>IFERROR(__xludf.DUMMYFUNCTION("""COMPUTED_VALUE"""),361.0)</f>
        <v>361</v>
      </c>
      <c r="M23" s="1">
        <f>IFERROR(__xludf.DUMMYFUNCTION("""COMPUTED_VALUE"""),72.2)</f>
        <v>72.2</v>
      </c>
      <c r="N23" s="1">
        <f>IFERROR(__xludf.DUMMYFUNCTION("""COMPUTED_VALUE"""),83.0)</f>
        <v>83</v>
      </c>
      <c r="O23" s="1" t="str">
        <f>IFERROR(__xludf.DUMMYFUNCTION("""COMPUTED_VALUE"""),"Pass")</f>
        <v>Pass</v>
      </c>
    </row>
    <row r="24" ht="15.75" customHeight="1">
      <c r="A24" s="1" t="str">
        <f>IFERROR(__xludf.DUMMYFUNCTION("""COMPUTED_VALUE"""),"STD-1323")</f>
        <v>STD-1323</v>
      </c>
      <c r="B24" s="1" t="str">
        <f>IFERROR(__xludf.DUMMYFUNCTION("""COMPUTED_VALUE"""),"Arjun Singh")</f>
        <v>Arjun Singh</v>
      </c>
      <c r="C24" s="1" t="str">
        <f>IFERROR(__xludf.DUMMYFUNCTION("""COMPUTED_VALUE"""),"Female")</f>
        <v>Female</v>
      </c>
      <c r="D24" s="1" t="str">
        <f>IFERROR(__xludf.DUMMYFUNCTION("""COMPUTED_VALUE"""),"9")</f>
        <v>9</v>
      </c>
      <c r="E24" s="1" t="str">
        <f>IFERROR(__xludf.DUMMYFUNCTION("""COMPUTED_VALUE"""),"A")</f>
        <v>A</v>
      </c>
      <c r="F24" s="1" t="str">
        <f>IFERROR(__xludf.DUMMYFUNCTION("""COMPUTED_VALUE"""),"Mumbai")</f>
        <v>Mumbai</v>
      </c>
      <c r="G24" s="1">
        <f>IFERROR(__xludf.DUMMYFUNCTION("""COMPUTED_VALUE"""),51.0)</f>
        <v>51</v>
      </c>
      <c r="H24" s="1">
        <f>IFERROR(__xludf.DUMMYFUNCTION("""COMPUTED_VALUE"""),65.0)</f>
        <v>65</v>
      </c>
      <c r="I24" s="1">
        <f>IFERROR(__xludf.DUMMYFUNCTION("""COMPUTED_VALUE"""),50.0)</f>
        <v>50</v>
      </c>
      <c r="J24" s="1">
        <f>IFERROR(__xludf.DUMMYFUNCTION("""COMPUTED_VALUE"""),43.0)</f>
        <v>43</v>
      </c>
      <c r="K24" s="1">
        <f>IFERROR(__xludf.DUMMYFUNCTION("""COMPUTED_VALUE"""),72.0)</f>
        <v>72</v>
      </c>
      <c r="L24" s="1">
        <f>IFERROR(__xludf.DUMMYFUNCTION("""COMPUTED_VALUE"""),281.0)</f>
        <v>281</v>
      </c>
      <c r="M24" s="1">
        <f>IFERROR(__xludf.DUMMYFUNCTION("""COMPUTED_VALUE"""),56.2)</f>
        <v>56.2</v>
      </c>
      <c r="N24" s="1">
        <f>IFERROR(__xludf.DUMMYFUNCTION("""COMPUTED_VALUE"""),77.0)</f>
        <v>77</v>
      </c>
      <c r="O24" s="1" t="str">
        <f>IFERROR(__xludf.DUMMYFUNCTION("""COMPUTED_VALUE"""),"Pass")</f>
        <v>Pass</v>
      </c>
    </row>
    <row r="25" ht="15.75" customHeight="1">
      <c r="A25" s="1" t="str">
        <f>IFERROR(__xludf.DUMMYFUNCTION("""COMPUTED_VALUE"""),"STD-1329")</f>
        <v>STD-1329</v>
      </c>
      <c r="B25" s="1" t="str">
        <f>IFERROR(__xludf.DUMMYFUNCTION("""COMPUTED_VALUE"""),"Aarav Singh")</f>
        <v>Aarav Singh</v>
      </c>
      <c r="C25" s="1" t="str">
        <f>IFERROR(__xludf.DUMMYFUNCTION("""COMPUTED_VALUE"""),"Female")</f>
        <v>Female</v>
      </c>
      <c r="D25" s="1" t="str">
        <f>IFERROR(__xludf.DUMMYFUNCTION("""COMPUTED_VALUE"""),"9")</f>
        <v>9</v>
      </c>
      <c r="E25" s="1" t="str">
        <f>IFERROR(__xludf.DUMMYFUNCTION("""COMPUTED_VALUE"""),"A")</f>
        <v>A</v>
      </c>
      <c r="F25" s="1" t="str">
        <f>IFERROR(__xludf.DUMMYFUNCTION("""COMPUTED_VALUE"""),"Chandigarh")</f>
        <v>Chandigarh</v>
      </c>
      <c r="G25" s="1">
        <f>IFERROR(__xludf.DUMMYFUNCTION("""COMPUTED_VALUE"""),67.0)</f>
        <v>67</v>
      </c>
      <c r="H25" s="1">
        <f>IFERROR(__xludf.DUMMYFUNCTION("""COMPUTED_VALUE"""),41.0)</f>
        <v>41</v>
      </c>
      <c r="I25" s="1">
        <f>IFERROR(__xludf.DUMMYFUNCTION("""COMPUTED_VALUE"""),98.0)</f>
        <v>98</v>
      </c>
      <c r="J25" s="1">
        <f>IFERROR(__xludf.DUMMYFUNCTION("""COMPUTED_VALUE"""),67.0)</f>
        <v>67</v>
      </c>
      <c r="K25" s="1">
        <f>IFERROR(__xludf.DUMMYFUNCTION("""COMPUTED_VALUE"""),86.0)</f>
        <v>86</v>
      </c>
      <c r="L25" s="1">
        <f>IFERROR(__xludf.DUMMYFUNCTION("""COMPUTED_VALUE"""),359.0)</f>
        <v>359</v>
      </c>
      <c r="M25" s="1">
        <f>IFERROR(__xludf.DUMMYFUNCTION("""COMPUTED_VALUE"""),71.8)</f>
        <v>71.8</v>
      </c>
      <c r="N25" s="1">
        <f>IFERROR(__xludf.DUMMYFUNCTION("""COMPUTED_VALUE"""),68.0)</f>
        <v>68</v>
      </c>
      <c r="O25" s="1" t="str">
        <f>IFERROR(__xludf.DUMMYFUNCTION("""COMPUTED_VALUE"""),"Pass")</f>
        <v>Pass</v>
      </c>
    </row>
    <row r="26" ht="15.75" customHeight="1">
      <c r="A26" s="1" t="str">
        <f>IFERROR(__xludf.DUMMYFUNCTION("""COMPUTED_VALUE"""),"STD-1352")</f>
        <v>STD-1352</v>
      </c>
      <c r="B26" s="1" t="str">
        <f>IFERROR(__xludf.DUMMYFUNCTION("""COMPUTED_VALUE"""),"Pooja Iyer")</f>
        <v>Pooja Iyer</v>
      </c>
      <c r="C26" s="1" t="str">
        <f>IFERROR(__xludf.DUMMYFUNCTION("""COMPUTED_VALUE"""),"Female")</f>
        <v>Female</v>
      </c>
      <c r="D26" s="1" t="str">
        <f>IFERROR(__xludf.DUMMYFUNCTION("""COMPUTED_VALUE"""),"9")</f>
        <v>9</v>
      </c>
      <c r="E26" s="1" t="str">
        <f>IFERROR(__xludf.DUMMYFUNCTION("""COMPUTED_VALUE"""),"A")</f>
        <v>A</v>
      </c>
      <c r="F26" s="1" t="str">
        <f>IFERROR(__xludf.DUMMYFUNCTION("""COMPUTED_VALUE"""),"Lucknow")</f>
        <v>Lucknow</v>
      </c>
      <c r="G26" s="1">
        <f>IFERROR(__xludf.DUMMYFUNCTION("""COMPUTED_VALUE"""),65.0)</f>
        <v>65</v>
      </c>
      <c r="H26" s="1">
        <f>IFERROR(__xludf.DUMMYFUNCTION("""COMPUTED_VALUE"""),88.0)</f>
        <v>88</v>
      </c>
      <c r="I26" s="1">
        <f>IFERROR(__xludf.DUMMYFUNCTION("""COMPUTED_VALUE"""),58.0)</f>
        <v>58</v>
      </c>
      <c r="J26" s="1">
        <f>IFERROR(__xludf.DUMMYFUNCTION("""COMPUTED_VALUE"""),65.0)</f>
        <v>65</v>
      </c>
      <c r="K26" s="1">
        <f>IFERROR(__xludf.DUMMYFUNCTION("""COMPUTED_VALUE"""),59.0)</f>
        <v>59</v>
      </c>
      <c r="L26" s="1">
        <f>IFERROR(__xludf.DUMMYFUNCTION("""COMPUTED_VALUE"""),335.0)</f>
        <v>335</v>
      </c>
      <c r="M26" s="1">
        <f>IFERROR(__xludf.DUMMYFUNCTION("""COMPUTED_VALUE"""),67.0)</f>
        <v>67</v>
      </c>
      <c r="N26" s="1">
        <f>IFERROR(__xludf.DUMMYFUNCTION("""COMPUTED_VALUE"""),91.0)</f>
        <v>91</v>
      </c>
      <c r="O26" s="1" t="str">
        <f>IFERROR(__xludf.DUMMYFUNCTION("""COMPUTED_VALUE"""),"Pass")</f>
        <v>Pass</v>
      </c>
    </row>
    <row r="27" ht="15.75" customHeight="1">
      <c r="A27" s="1" t="str">
        <f>IFERROR(__xludf.DUMMYFUNCTION("""COMPUTED_VALUE"""),"STD-1366")</f>
        <v>STD-1366</v>
      </c>
      <c r="B27" s="1" t="str">
        <f>IFERROR(__xludf.DUMMYFUNCTION("""COMPUTED_VALUE"""),"Pooja Verma")</f>
        <v>Pooja Verma</v>
      </c>
      <c r="C27" s="1" t="str">
        <f>IFERROR(__xludf.DUMMYFUNCTION("""COMPUTED_VALUE"""),"Female")</f>
        <v>Female</v>
      </c>
      <c r="D27" s="1" t="str">
        <f>IFERROR(__xludf.DUMMYFUNCTION("""COMPUTED_VALUE"""),"9")</f>
        <v>9</v>
      </c>
      <c r="E27" s="1" t="str">
        <f>IFERROR(__xludf.DUMMYFUNCTION("""COMPUTED_VALUE"""),"A")</f>
        <v>A</v>
      </c>
      <c r="F27" s="1" t="str">
        <f>IFERROR(__xludf.DUMMYFUNCTION("""COMPUTED_VALUE"""),"Jaipur")</f>
        <v>Jaipur</v>
      </c>
      <c r="G27" s="1">
        <f>IFERROR(__xludf.DUMMYFUNCTION("""COMPUTED_VALUE"""),77.0)</f>
        <v>77</v>
      </c>
      <c r="H27" s="1">
        <f>IFERROR(__xludf.DUMMYFUNCTION("""COMPUTED_VALUE"""),83.0)</f>
        <v>83</v>
      </c>
      <c r="I27" s="1">
        <f>IFERROR(__xludf.DUMMYFUNCTION("""COMPUTED_VALUE"""),82.0)</f>
        <v>82</v>
      </c>
      <c r="J27" s="1">
        <f>IFERROR(__xludf.DUMMYFUNCTION("""COMPUTED_VALUE"""),71.0)</f>
        <v>71</v>
      </c>
      <c r="K27" s="1">
        <f>IFERROR(__xludf.DUMMYFUNCTION("""COMPUTED_VALUE"""),88.0)</f>
        <v>88</v>
      </c>
      <c r="L27" s="1">
        <f>IFERROR(__xludf.DUMMYFUNCTION("""COMPUTED_VALUE"""),401.0)</f>
        <v>401</v>
      </c>
      <c r="M27" s="1">
        <f>IFERROR(__xludf.DUMMYFUNCTION("""COMPUTED_VALUE"""),80.2)</f>
        <v>80.2</v>
      </c>
      <c r="N27" s="1">
        <f>IFERROR(__xludf.DUMMYFUNCTION("""COMPUTED_VALUE"""),64.0)</f>
        <v>64</v>
      </c>
      <c r="O27" s="1" t="str">
        <f>IFERROR(__xludf.DUMMYFUNCTION("""COMPUTED_VALUE"""),"Pass")</f>
        <v>Pass</v>
      </c>
    </row>
    <row r="28" ht="15.75" customHeight="1">
      <c r="A28" s="1" t="str">
        <f>IFERROR(__xludf.DUMMYFUNCTION("""COMPUTED_VALUE"""),"STD-1387")</f>
        <v>STD-1387</v>
      </c>
      <c r="B28" s="1" t="str">
        <f>IFERROR(__xludf.DUMMYFUNCTION("""COMPUTED_VALUE"""),"Aditya Banerjee")</f>
        <v>Aditya Banerjee</v>
      </c>
      <c r="C28" s="1" t="str">
        <f>IFERROR(__xludf.DUMMYFUNCTION("""COMPUTED_VALUE"""),"Male")</f>
        <v>Male</v>
      </c>
      <c r="D28" s="1" t="str">
        <f>IFERROR(__xludf.DUMMYFUNCTION("""COMPUTED_VALUE"""),"9")</f>
        <v>9</v>
      </c>
      <c r="E28" s="1" t="str">
        <f>IFERROR(__xludf.DUMMYFUNCTION("""COMPUTED_VALUE"""),"A")</f>
        <v>A</v>
      </c>
      <c r="F28" s="1" t="str">
        <f>IFERROR(__xludf.DUMMYFUNCTION("""COMPUTED_VALUE"""),"Kolkata")</f>
        <v>Kolkata</v>
      </c>
      <c r="G28" s="1">
        <f>IFERROR(__xludf.DUMMYFUNCTION("""COMPUTED_VALUE"""),66.0)</f>
        <v>66</v>
      </c>
      <c r="H28" s="1">
        <f>IFERROR(__xludf.DUMMYFUNCTION("""COMPUTED_VALUE"""),56.0)</f>
        <v>56</v>
      </c>
      <c r="I28" s="1">
        <f>IFERROR(__xludf.DUMMYFUNCTION("""COMPUTED_VALUE"""),82.0)</f>
        <v>82</v>
      </c>
      <c r="J28" s="1">
        <f>IFERROR(__xludf.DUMMYFUNCTION("""COMPUTED_VALUE"""),64.0)</f>
        <v>64</v>
      </c>
      <c r="K28" s="1">
        <f>IFERROR(__xludf.DUMMYFUNCTION("""COMPUTED_VALUE"""),79.0)</f>
        <v>79</v>
      </c>
      <c r="L28" s="1">
        <f>IFERROR(__xludf.DUMMYFUNCTION("""COMPUTED_VALUE"""),347.0)</f>
        <v>347</v>
      </c>
      <c r="M28" s="1">
        <f>IFERROR(__xludf.DUMMYFUNCTION("""COMPUTED_VALUE"""),69.4)</f>
        <v>69.4</v>
      </c>
      <c r="N28" s="1">
        <f>IFERROR(__xludf.DUMMYFUNCTION("""COMPUTED_VALUE"""),68.0)</f>
        <v>68</v>
      </c>
      <c r="O28" s="1" t="str">
        <f>IFERROR(__xludf.DUMMYFUNCTION("""COMPUTED_VALUE"""),"Pass")</f>
        <v>Pass</v>
      </c>
    </row>
    <row r="29" ht="15.75" customHeight="1">
      <c r="A29" s="1" t="str">
        <f>IFERROR(__xludf.DUMMYFUNCTION("""COMPUTED_VALUE"""),"STD-1394")</f>
        <v>STD-1394</v>
      </c>
      <c r="B29" s="1" t="str">
        <f>IFERROR(__xludf.DUMMYFUNCTION("""COMPUTED_VALUE"""),"Vivaan Nair")</f>
        <v>Vivaan Nair</v>
      </c>
      <c r="C29" s="1" t="str">
        <f>IFERROR(__xludf.DUMMYFUNCTION("""COMPUTED_VALUE"""),"Female")</f>
        <v>Female</v>
      </c>
      <c r="D29" s="1" t="str">
        <f>IFERROR(__xludf.DUMMYFUNCTION("""COMPUTED_VALUE"""),"9")</f>
        <v>9</v>
      </c>
      <c r="E29" s="1" t="str">
        <f>IFERROR(__xludf.DUMMYFUNCTION("""COMPUTED_VALUE"""),"A")</f>
        <v>A</v>
      </c>
      <c r="F29" s="1" t="str">
        <f>IFERROR(__xludf.DUMMYFUNCTION("""COMPUTED_VALUE"""),"Kolkata")</f>
        <v>Kolkata</v>
      </c>
      <c r="G29" s="1">
        <f>IFERROR(__xludf.DUMMYFUNCTION("""COMPUTED_VALUE"""),61.0)</f>
        <v>61</v>
      </c>
      <c r="H29" s="1">
        <f>IFERROR(__xludf.DUMMYFUNCTION("""COMPUTED_VALUE"""),100.0)</f>
        <v>100</v>
      </c>
      <c r="I29" s="1">
        <f>IFERROR(__xludf.DUMMYFUNCTION("""COMPUTED_VALUE"""),73.0)</f>
        <v>73</v>
      </c>
      <c r="J29" s="1">
        <f>IFERROR(__xludf.DUMMYFUNCTION("""COMPUTED_VALUE"""),48.0)</f>
        <v>48</v>
      </c>
      <c r="K29" s="1">
        <f>IFERROR(__xludf.DUMMYFUNCTION("""COMPUTED_VALUE"""),60.0)</f>
        <v>60</v>
      </c>
      <c r="L29" s="1">
        <f>IFERROR(__xludf.DUMMYFUNCTION("""COMPUTED_VALUE"""),342.0)</f>
        <v>342</v>
      </c>
      <c r="M29" s="1">
        <f>IFERROR(__xludf.DUMMYFUNCTION("""COMPUTED_VALUE"""),68.4)</f>
        <v>68.4</v>
      </c>
      <c r="N29" s="1">
        <f>IFERROR(__xludf.DUMMYFUNCTION("""COMPUTED_VALUE"""),92.0)</f>
        <v>92</v>
      </c>
      <c r="O29" s="1" t="str">
        <f>IFERROR(__xludf.DUMMYFUNCTION("""COMPUTED_VALUE"""),"Pass")</f>
        <v>Pass</v>
      </c>
    </row>
    <row r="30" ht="15.75" customHeight="1">
      <c r="A30" s="1" t="str">
        <f>IFERROR(__xludf.DUMMYFUNCTION("""COMPUTED_VALUE"""),"STD-1402")</f>
        <v>STD-1402</v>
      </c>
      <c r="B30" s="1" t="str">
        <f>IFERROR(__xludf.DUMMYFUNCTION("""COMPUTED_VALUE"""),"Vivaan Gupta")</f>
        <v>Vivaan Gupta</v>
      </c>
      <c r="C30" s="1" t="str">
        <f>IFERROR(__xludf.DUMMYFUNCTION("""COMPUTED_VALUE"""),"Male")</f>
        <v>Male</v>
      </c>
      <c r="D30" s="1" t="str">
        <f>IFERROR(__xludf.DUMMYFUNCTION("""COMPUTED_VALUE"""),"9")</f>
        <v>9</v>
      </c>
      <c r="E30" s="1" t="str">
        <f>IFERROR(__xludf.DUMMYFUNCTION("""COMPUTED_VALUE"""),"A")</f>
        <v>A</v>
      </c>
      <c r="F30" s="1" t="str">
        <f>IFERROR(__xludf.DUMMYFUNCTION("""COMPUTED_VALUE"""),"Delhi")</f>
        <v>Delhi</v>
      </c>
      <c r="G30" s="1">
        <f>IFERROR(__xludf.DUMMYFUNCTION("""COMPUTED_VALUE"""),63.0)</f>
        <v>63</v>
      </c>
      <c r="H30" s="1">
        <f>IFERROR(__xludf.DUMMYFUNCTION("""COMPUTED_VALUE"""),55.0)</f>
        <v>55</v>
      </c>
      <c r="I30" s="1">
        <f>IFERROR(__xludf.DUMMYFUNCTION("""COMPUTED_VALUE"""),98.0)</f>
        <v>98</v>
      </c>
      <c r="J30" s="1">
        <f>IFERROR(__xludf.DUMMYFUNCTION("""COMPUTED_VALUE"""),65.0)</f>
        <v>65</v>
      </c>
      <c r="K30" s="1">
        <f>IFERROR(__xludf.DUMMYFUNCTION("""COMPUTED_VALUE"""),47.0)</f>
        <v>47</v>
      </c>
      <c r="L30" s="1">
        <f>IFERROR(__xludf.DUMMYFUNCTION("""COMPUTED_VALUE"""),328.0)</f>
        <v>328</v>
      </c>
      <c r="M30" s="1">
        <f>IFERROR(__xludf.DUMMYFUNCTION("""COMPUTED_VALUE"""),65.6)</f>
        <v>65.6</v>
      </c>
      <c r="N30" s="1">
        <f>IFERROR(__xludf.DUMMYFUNCTION("""COMPUTED_VALUE"""),82.0)</f>
        <v>82</v>
      </c>
      <c r="O30" s="1" t="str">
        <f>IFERROR(__xludf.DUMMYFUNCTION("""COMPUTED_VALUE"""),"Pass")</f>
        <v>Pass</v>
      </c>
    </row>
    <row r="31" ht="15.75" customHeight="1">
      <c r="A31" s="1" t="str">
        <f>IFERROR(__xludf.DUMMYFUNCTION("""COMPUTED_VALUE"""),"STD-1404")</f>
        <v>STD-1404</v>
      </c>
      <c r="B31" s="1" t="str">
        <f>IFERROR(__xludf.DUMMYFUNCTION("""COMPUTED_VALUE"""),"Vivaan Banerjee")</f>
        <v>Vivaan Banerjee</v>
      </c>
      <c r="C31" s="1" t="str">
        <f>IFERROR(__xludf.DUMMYFUNCTION("""COMPUTED_VALUE"""),"Female")</f>
        <v>Female</v>
      </c>
      <c r="D31" s="1" t="str">
        <f>IFERROR(__xludf.DUMMYFUNCTION("""COMPUTED_VALUE"""),"9")</f>
        <v>9</v>
      </c>
      <c r="E31" s="1" t="str">
        <f>IFERROR(__xludf.DUMMYFUNCTION("""COMPUTED_VALUE"""),"A")</f>
        <v>A</v>
      </c>
      <c r="F31" s="1" t="str">
        <f>IFERROR(__xludf.DUMMYFUNCTION("""COMPUTED_VALUE"""),"Bhopal")</f>
        <v>Bhopal</v>
      </c>
      <c r="G31" s="1">
        <f>IFERROR(__xludf.DUMMYFUNCTION("""COMPUTED_VALUE"""),66.0)</f>
        <v>66</v>
      </c>
      <c r="H31" s="1">
        <f>IFERROR(__xludf.DUMMYFUNCTION("""COMPUTED_VALUE"""),50.0)</f>
        <v>50</v>
      </c>
      <c r="I31" s="1">
        <f>IFERROR(__xludf.DUMMYFUNCTION("""COMPUTED_VALUE"""),72.0)</f>
        <v>72</v>
      </c>
      <c r="J31" s="1">
        <f>IFERROR(__xludf.DUMMYFUNCTION("""COMPUTED_VALUE"""),82.0)</f>
        <v>82</v>
      </c>
      <c r="K31" s="1">
        <f>IFERROR(__xludf.DUMMYFUNCTION("""COMPUTED_VALUE"""),83.0)</f>
        <v>83</v>
      </c>
      <c r="L31" s="1">
        <f>IFERROR(__xludf.DUMMYFUNCTION("""COMPUTED_VALUE"""),353.0)</f>
        <v>353</v>
      </c>
      <c r="M31" s="1">
        <f>IFERROR(__xludf.DUMMYFUNCTION("""COMPUTED_VALUE"""),70.6)</f>
        <v>70.6</v>
      </c>
      <c r="N31" s="1">
        <f>IFERROR(__xludf.DUMMYFUNCTION("""COMPUTED_VALUE"""),74.0)</f>
        <v>74</v>
      </c>
      <c r="O31" s="1" t="str">
        <f>IFERROR(__xludf.DUMMYFUNCTION("""COMPUTED_VALUE"""),"Pass")</f>
        <v>Pass</v>
      </c>
    </row>
    <row r="32" ht="15.75" customHeight="1">
      <c r="A32" s="1" t="str">
        <f>IFERROR(__xludf.DUMMYFUNCTION("""COMPUTED_VALUE"""),"STD-1430")</f>
        <v>STD-1430</v>
      </c>
      <c r="B32" s="1" t="str">
        <f>IFERROR(__xludf.DUMMYFUNCTION("""COMPUTED_VALUE"""),"Kavya Jain")</f>
        <v>Kavya Jain</v>
      </c>
      <c r="C32" s="1" t="str">
        <f>IFERROR(__xludf.DUMMYFUNCTION("""COMPUTED_VALUE"""),"Female")</f>
        <v>Female</v>
      </c>
      <c r="D32" s="1" t="str">
        <f>IFERROR(__xludf.DUMMYFUNCTION("""COMPUTED_VALUE"""),"9")</f>
        <v>9</v>
      </c>
      <c r="E32" s="1" t="str">
        <f>IFERROR(__xludf.DUMMYFUNCTION("""COMPUTED_VALUE"""),"A")</f>
        <v>A</v>
      </c>
      <c r="F32" s="1" t="str">
        <f>IFERROR(__xludf.DUMMYFUNCTION("""COMPUTED_VALUE"""),"Lucknow")</f>
        <v>Lucknow</v>
      </c>
      <c r="G32" s="1">
        <f>IFERROR(__xludf.DUMMYFUNCTION("""COMPUTED_VALUE"""),55.0)</f>
        <v>55</v>
      </c>
      <c r="H32" s="1">
        <f>IFERROR(__xludf.DUMMYFUNCTION("""COMPUTED_VALUE"""),83.0)</f>
        <v>83</v>
      </c>
      <c r="I32" s="1">
        <f>IFERROR(__xludf.DUMMYFUNCTION("""COMPUTED_VALUE"""),99.0)</f>
        <v>99</v>
      </c>
      <c r="J32" s="1">
        <f>IFERROR(__xludf.DUMMYFUNCTION("""COMPUTED_VALUE"""),53.0)</f>
        <v>53</v>
      </c>
      <c r="K32" s="1">
        <f>IFERROR(__xludf.DUMMYFUNCTION("""COMPUTED_VALUE"""),49.0)</f>
        <v>49</v>
      </c>
      <c r="L32" s="1">
        <f>IFERROR(__xludf.DUMMYFUNCTION("""COMPUTED_VALUE"""),339.0)</f>
        <v>339</v>
      </c>
      <c r="M32" s="1">
        <f>IFERROR(__xludf.DUMMYFUNCTION("""COMPUTED_VALUE"""),67.8)</f>
        <v>67.8</v>
      </c>
      <c r="N32" s="1">
        <f>IFERROR(__xludf.DUMMYFUNCTION("""COMPUTED_VALUE"""),84.0)</f>
        <v>84</v>
      </c>
      <c r="O32" s="1" t="str">
        <f>IFERROR(__xludf.DUMMYFUNCTION("""COMPUTED_VALUE"""),"Pass")</f>
        <v>Pass</v>
      </c>
    </row>
    <row r="33" ht="15.75" customHeight="1">
      <c r="A33" s="1" t="str">
        <f>IFERROR(__xludf.DUMMYFUNCTION("""COMPUTED_VALUE"""),"STD-1433")</f>
        <v>STD-1433</v>
      </c>
      <c r="B33" s="1" t="str">
        <f>IFERROR(__xludf.DUMMYFUNCTION("""COMPUTED_VALUE"""),"Pooja Verma")</f>
        <v>Pooja Verma</v>
      </c>
      <c r="C33" s="1" t="str">
        <f>IFERROR(__xludf.DUMMYFUNCTION("""COMPUTED_VALUE"""),"Male")</f>
        <v>Male</v>
      </c>
      <c r="D33" s="1" t="str">
        <f>IFERROR(__xludf.DUMMYFUNCTION("""COMPUTED_VALUE"""),"9")</f>
        <v>9</v>
      </c>
      <c r="E33" s="1" t="str">
        <f>IFERROR(__xludf.DUMMYFUNCTION("""COMPUTED_VALUE"""),"A")</f>
        <v>A</v>
      </c>
      <c r="F33" s="1" t="str">
        <f>IFERROR(__xludf.DUMMYFUNCTION("""COMPUTED_VALUE"""),"Delhi")</f>
        <v>Delhi</v>
      </c>
      <c r="G33" s="1">
        <f>IFERROR(__xludf.DUMMYFUNCTION("""COMPUTED_VALUE"""),59.0)</f>
        <v>59</v>
      </c>
      <c r="H33" s="1">
        <f>IFERROR(__xludf.DUMMYFUNCTION("""COMPUTED_VALUE"""),45.0)</f>
        <v>45</v>
      </c>
      <c r="I33" s="1">
        <f>IFERROR(__xludf.DUMMYFUNCTION("""COMPUTED_VALUE"""),50.0)</f>
        <v>50</v>
      </c>
      <c r="J33" s="1">
        <f>IFERROR(__xludf.DUMMYFUNCTION("""COMPUTED_VALUE"""),86.0)</f>
        <v>86</v>
      </c>
      <c r="K33" s="1">
        <f>IFERROR(__xludf.DUMMYFUNCTION("""COMPUTED_VALUE"""),50.0)</f>
        <v>50</v>
      </c>
      <c r="L33" s="1">
        <f>IFERROR(__xludf.DUMMYFUNCTION("""COMPUTED_VALUE"""),290.0)</f>
        <v>290</v>
      </c>
      <c r="M33" s="1">
        <f>IFERROR(__xludf.DUMMYFUNCTION("""COMPUTED_VALUE"""),58.0)</f>
        <v>58</v>
      </c>
      <c r="N33" s="1">
        <f>IFERROR(__xludf.DUMMYFUNCTION("""COMPUTED_VALUE"""),88.0)</f>
        <v>88</v>
      </c>
      <c r="O33" s="1" t="str">
        <f>IFERROR(__xludf.DUMMYFUNCTION("""COMPUTED_VALUE"""),"Pass")</f>
        <v>Pass</v>
      </c>
    </row>
    <row r="34" ht="15.75" customHeight="1">
      <c r="A34" s="1" t="str">
        <f>IFERROR(__xludf.DUMMYFUNCTION("""COMPUTED_VALUE"""),"STD-1437")</f>
        <v>STD-1437</v>
      </c>
      <c r="B34" s="1" t="str">
        <f>IFERROR(__xludf.DUMMYFUNCTION("""COMPUTED_VALUE"""),"Neha Gupta")</f>
        <v>Neha Gupta</v>
      </c>
      <c r="C34" s="1" t="str">
        <f>IFERROR(__xludf.DUMMYFUNCTION("""COMPUTED_VALUE"""),"Female")</f>
        <v>Female</v>
      </c>
      <c r="D34" s="1" t="str">
        <f>IFERROR(__xludf.DUMMYFUNCTION("""COMPUTED_VALUE"""),"9")</f>
        <v>9</v>
      </c>
      <c r="E34" s="1" t="str">
        <f>IFERROR(__xludf.DUMMYFUNCTION("""COMPUTED_VALUE"""),"A")</f>
        <v>A</v>
      </c>
      <c r="F34" s="1" t="str">
        <f>IFERROR(__xludf.DUMMYFUNCTION("""COMPUTED_VALUE"""),"Patna")</f>
        <v>Patna</v>
      </c>
      <c r="G34" s="1">
        <f>IFERROR(__xludf.DUMMYFUNCTION("""COMPUTED_VALUE"""),89.0)</f>
        <v>89</v>
      </c>
      <c r="H34" s="1">
        <f>IFERROR(__xludf.DUMMYFUNCTION("""COMPUTED_VALUE"""),77.0)</f>
        <v>77</v>
      </c>
      <c r="I34" s="1">
        <f>IFERROR(__xludf.DUMMYFUNCTION("""COMPUTED_VALUE"""),91.0)</f>
        <v>91</v>
      </c>
      <c r="J34" s="1">
        <f>IFERROR(__xludf.DUMMYFUNCTION("""COMPUTED_VALUE"""),44.0)</f>
        <v>44</v>
      </c>
      <c r="K34" s="1">
        <f>IFERROR(__xludf.DUMMYFUNCTION("""COMPUTED_VALUE"""),79.0)</f>
        <v>79</v>
      </c>
      <c r="L34" s="1">
        <f>IFERROR(__xludf.DUMMYFUNCTION("""COMPUTED_VALUE"""),380.0)</f>
        <v>380</v>
      </c>
      <c r="M34" s="1">
        <f>IFERROR(__xludf.DUMMYFUNCTION("""COMPUTED_VALUE"""),76.0)</f>
        <v>76</v>
      </c>
      <c r="N34" s="1">
        <f>IFERROR(__xludf.DUMMYFUNCTION("""COMPUTED_VALUE"""),78.0)</f>
        <v>78</v>
      </c>
      <c r="O34" s="1" t="str">
        <f>IFERROR(__xludf.DUMMYFUNCTION("""COMPUTED_VALUE"""),"Pass")</f>
        <v>Pass</v>
      </c>
    </row>
    <row r="35" ht="15.75" customHeight="1">
      <c r="A35" s="1" t="str">
        <f>IFERROR(__xludf.DUMMYFUNCTION("""COMPUTED_VALUE"""),"STD-1450")</f>
        <v>STD-1450</v>
      </c>
      <c r="B35" s="1" t="str">
        <f>IFERROR(__xludf.DUMMYFUNCTION("""COMPUTED_VALUE"""),"Karan Jain")</f>
        <v>Karan Jain</v>
      </c>
      <c r="C35" s="1" t="str">
        <f>IFERROR(__xludf.DUMMYFUNCTION("""COMPUTED_VALUE"""),"Male")</f>
        <v>Male</v>
      </c>
      <c r="D35" s="1" t="str">
        <f>IFERROR(__xludf.DUMMYFUNCTION("""COMPUTED_VALUE"""),"9")</f>
        <v>9</v>
      </c>
      <c r="E35" s="1" t="str">
        <f>IFERROR(__xludf.DUMMYFUNCTION("""COMPUTED_VALUE"""),"A")</f>
        <v>A</v>
      </c>
      <c r="F35" s="1" t="str">
        <f>IFERROR(__xludf.DUMMYFUNCTION("""COMPUTED_VALUE"""),"Patna")</f>
        <v>Patna</v>
      </c>
      <c r="G35" s="1">
        <f>IFERROR(__xludf.DUMMYFUNCTION("""COMPUTED_VALUE"""),75.0)</f>
        <v>75</v>
      </c>
      <c r="H35" s="1">
        <f>IFERROR(__xludf.DUMMYFUNCTION("""COMPUTED_VALUE"""),72.0)</f>
        <v>72</v>
      </c>
      <c r="I35" s="1">
        <f>IFERROR(__xludf.DUMMYFUNCTION("""COMPUTED_VALUE"""),41.0)</f>
        <v>41</v>
      </c>
      <c r="J35" s="1">
        <f>IFERROR(__xludf.DUMMYFUNCTION("""COMPUTED_VALUE"""),83.0)</f>
        <v>83</v>
      </c>
      <c r="K35" s="1">
        <f>IFERROR(__xludf.DUMMYFUNCTION("""COMPUTED_VALUE"""),62.0)</f>
        <v>62</v>
      </c>
      <c r="L35" s="1">
        <f>IFERROR(__xludf.DUMMYFUNCTION("""COMPUTED_VALUE"""),333.0)</f>
        <v>333</v>
      </c>
      <c r="M35" s="1">
        <f>IFERROR(__xludf.DUMMYFUNCTION("""COMPUTED_VALUE"""),66.6)</f>
        <v>66.6</v>
      </c>
      <c r="N35" s="1">
        <f>IFERROR(__xludf.DUMMYFUNCTION("""COMPUTED_VALUE"""),70.0)</f>
        <v>70</v>
      </c>
      <c r="O35" s="1" t="str">
        <f>IFERROR(__xludf.DUMMYFUNCTION("""COMPUTED_VALUE"""),"Pass")</f>
        <v>Pass</v>
      </c>
    </row>
    <row r="36" ht="15.75" customHeight="1">
      <c r="A36" s="1" t="str">
        <f>IFERROR(__xludf.DUMMYFUNCTION("""COMPUTED_VALUE"""),"STD-1457")</f>
        <v>STD-1457</v>
      </c>
      <c r="B36" s="1" t="str">
        <f>IFERROR(__xludf.DUMMYFUNCTION("""COMPUTED_VALUE"""),"Neha Das")</f>
        <v>Neha Das</v>
      </c>
      <c r="C36" s="1" t="str">
        <f>IFERROR(__xludf.DUMMYFUNCTION("""COMPUTED_VALUE"""),"Male")</f>
        <v>Male</v>
      </c>
      <c r="D36" s="1" t="str">
        <f>IFERROR(__xludf.DUMMYFUNCTION("""COMPUTED_VALUE"""),"9")</f>
        <v>9</v>
      </c>
      <c r="E36" s="1" t="str">
        <f>IFERROR(__xludf.DUMMYFUNCTION("""COMPUTED_VALUE"""),"A")</f>
        <v>A</v>
      </c>
      <c r="F36" s="1" t="str">
        <f>IFERROR(__xludf.DUMMYFUNCTION("""COMPUTED_VALUE"""),"Chandigarh")</f>
        <v>Chandigarh</v>
      </c>
      <c r="G36" s="1">
        <f>IFERROR(__xludf.DUMMYFUNCTION("""COMPUTED_VALUE"""),73.0)</f>
        <v>73</v>
      </c>
      <c r="H36" s="1">
        <f>IFERROR(__xludf.DUMMYFUNCTION("""COMPUTED_VALUE"""),50.0)</f>
        <v>50</v>
      </c>
      <c r="I36" s="1">
        <f>IFERROR(__xludf.DUMMYFUNCTION("""COMPUTED_VALUE"""),80.0)</f>
        <v>80</v>
      </c>
      <c r="J36" s="1">
        <f>IFERROR(__xludf.DUMMYFUNCTION("""COMPUTED_VALUE"""),83.0)</f>
        <v>83</v>
      </c>
      <c r="K36" s="1">
        <f>IFERROR(__xludf.DUMMYFUNCTION("""COMPUTED_VALUE"""),85.0)</f>
        <v>85</v>
      </c>
      <c r="L36" s="1">
        <f>IFERROR(__xludf.DUMMYFUNCTION("""COMPUTED_VALUE"""),371.0)</f>
        <v>371</v>
      </c>
      <c r="M36" s="1">
        <f>IFERROR(__xludf.DUMMYFUNCTION("""COMPUTED_VALUE"""),74.2)</f>
        <v>74.2</v>
      </c>
      <c r="N36" s="1">
        <f>IFERROR(__xludf.DUMMYFUNCTION("""COMPUTED_VALUE"""),64.0)</f>
        <v>64</v>
      </c>
      <c r="O36" s="1" t="str">
        <f>IFERROR(__xludf.DUMMYFUNCTION("""COMPUTED_VALUE"""),"Pass")</f>
        <v>Pass</v>
      </c>
    </row>
    <row r="37" ht="15.75" customHeight="1">
      <c r="A37" s="1" t="str">
        <f>IFERROR(__xludf.DUMMYFUNCTION("""COMPUTED_VALUE"""),"STD-1466")</f>
        <v>STD-1466</v>
      </c>
      <c r="B37" s="1" t="str">
        <f>IFERROR(__xludf.DUMMYFUNCTION("""COMPUTED_VALUE"""),"Ananya Jain")</f>
        <v>Ananya Jain</v>
      </c>
      <c r="C37" s="1" t="str">
        <f>IFERROR(__xludf.DUMMYFUNCTION("""COMPUTED_VALUE"""),"Female")</f>
        <v>Female</v>
      </c>
      <c r="D37" s="1" t="str">
        <f>IFERROR(__xludf.DUMMYFUNCTION("""COMPUTED_VALUE"""),"9")</f>
        <v>9</v>
      </c>
      <c r="E37" s="1" t="str">
        <f>IFERROR(__xludf.DUMMYFUNCTION("""COMPUTED_VALUE"""),"A")</f>
        <v>A</v>
      </c>
      <c r="F37" s="1" t="str">
        <f>IFERROR(__xludf.DUMMYFUNCTION("""COMPUTED_VALUE"""),"Mumbai")</f>
        <v>Mumbai</v>
      </c>
      <c r="G37" s="1">
        <f>IFERROR(__xludf.DUMMYFUNCTION("""COMPUTED_VALUE"""),74.0)</f>
        <v>74</v>
      </c>
      <c r="H37" s="1">
        <f>IFERROR(__xludf.DUMMYFUNCTION("""COMPUTED_VALUE"""),92.0)</f>
        <v>92</v>
      </c>
      <c r="I37" s="1">
        <f>IFERROR(__xludf.DUMMYFUNCTION("""COMPUTED_VALUE"""),74.0)</f>
        <v>74</v>
      </c>
      <c r="J37" s="1">
        <f>IFERROR(__xludf.DUMMYFUNCTION("""COMPUTED_VALUE"""),66.0)</f>
        <v>66</v>
      </c>
      <c r="K37" s="1">
        <f>IFERROR(__xludf.DUMMYFUNCTION("""COMPUTED_VALUE"""),59.0)</f>
        <v>59</v>
      </c>
      <c r="L37" s="1">
        <f>IFERROR(__xludf.DUMMYFUNCTION("""COMPUTED_VALUE"""),365.0)</f>
        <v>365</v>
      </c>
      <c r="M37" s="1">
        <f>IFERROR(__xludf.DUMMYFUNCTION("""COMPUTED_VALUE"""),73.0)</f>
        <v>73</v>
      </c>
      <c r="N37" s="1">
        <f>IFERROR(__xludf.DUMMYFUNCTION("""COMPUTED_VALUE"""),78.0)</f>
        <v>78</v>
      </c>
      <c r="O37" s="1" t="str">
        <f>IFERROR(__xludf.DUMMYFUNCTION("""COMPUTED_VALUE"""),"Pass")</f>
        <v>Pass</v>
      </c>
    </row>
    <row r="38" ht="15.75" customHeight="1">
      <c r="A38" s="1" t="str">
        <f>IFERROR(__xludf.DUMMYFUNCTION("""COMPUTED_VALUE"""),"STD-1467")</f>
        <v>STD-1467</v>
      </c>
      <c r="B38" s="1" t="str">
        <f>IFERROR(__xludf.DUMMYFUNCTION("""COMPUTED_VALUE"""),"Rahul Kulkarni")</f>
        <v>Rahul Kulkarni</v>
      </c>
      <c r="C38" s="1" t="str">
        <f>IFERROR(__xludf.DUMMYFUNCTION("""COMPUTED_VALUE"""),"Male")</f>
        <v>Male</v>
      </c>
      <c r="D38" s="1" t="str">
        <f>IFERROR(__xludf.DUMMYFUNCTION("""COMPUTED_VALUE"""),"9")</f>
        <v>9</v>
      </c>
      <c r="E38" s="1" t="str">
        <f>IFERROR(__xludf.DUMMYFUNCTION("""COMPUTED_VALUE"""),"A")</f>
        <v>A</v>
      </c>
      <c r="F38" s="1" t="str">
        <f>IFERROR(__xludf.DUMMYFUNCTION("""COMPUTED_VALUE"""),"Kolkata")</f>
        <v>Kolkata</v>
      </c>
      <c r="G38" s="1">
        <f>IFERROR(__xludf.DUMMYFUNCTION("""COMPUTED_VALUE"""),45.0)</f>
        <v>45</v>
      </c>
      <c r="H38" s="1">
        <f>IFERROR(__xludf.DUMMYFUNCTION("""COMPUTED_VALUE"""),78.0)</f>
        <v>78</v>
      </c>
      <c r="I38" s="1">
        <f>IFERROR(__xludf.DUMMYFUNCTION("""COMPUTED_VALUE"""),40.0)</f>
        <v>40</v>
      </c>
      <c r="J38" s="1">
        <f>IFERROR(__xludf.DUMMYFUNCTION("""COMPUTED_VALUE"""),40.0)</f>
        <v>40</v>
      </c>
      <c r="K38" s="1">
        <f>IFERROR(__xludf.DUMMYFUNCTION("""COMPUTED_VALUE"""),84.0)</f>
        <v>84</v>
      </c>
      <c r="L38" s="1">
        <f>IFERROR(__xludf.DUMMYFUNCTION("""COMPUTED_VALUE"""),287.0)</f>
        <v>287</v>
      </c>
      <c r="M38" s="1">
        <f>IFERROR(__xludf.DUMMYFUNCTION("""COMPUTED_VALUE"""),57.4)</f>
        <v>57.4</v>
      </c>
      <c r="N38" s="1">
        <f>IFERROR(__xludf.DUMMYFUNCTION("""COMPUTED_VALUE"""),94.0)</f>
        <v>94</v>
      </c>
      <c r="O38" s="1" t="str">
        <f>IFERROR(__xludf.DUMMYFUNCTION("""COMPUTED_VALUE"""),"Pass")</f>
        <v>Pass</v>
      </c>
    </row>
    <row r="39" ht="15.75" customHeight="1">
      <c r="A39" s="1" t="str">
        <f>IFERROR(__xludf.DUMMYFUNCTION("""COMPUTED_VALUE"""),"STD-1480")</f>
        <v>STD-1480</v>
      </c>
      <c r="B39" s="1" t="str">
        <f>IFERROR(__xludf.DUMMYFUNCTION("""COMPUTED_VALUE"""),"Vivaan Banerjee")</f>
        <v>Vivaan Banerjee</v>
      </c>
      <c r="C39" s="1" t="str">
        <f>IFERROR(__xludf.DUMMYFUNCTION("""COMPUTED_VALUE"""),"Female")</f>
        <v>Female</v>
      </c>
      <c r="D39" s="1" t="str">
        <f>IFERROR(__xludf.DUMMYFUNCTION("""COMPUTED_VALUE"""),"9")</f>
        <v>9</v>
      </c>
      <c r="E39" s="1" t="str">
        <f>IFERROR(__xludf.DUMMYFUNCTION("""COMPUTED_VALUE"""),"A")</f>
        <v>A</v>
      </c>
      <c r="F39" s="1" t="str">
        <f>IFERROR(__xludf.DUMMYFUNCTION("""COMPUTED_VALUE"""),"Chandigarh")</f>
        <v>Chandigarh</v>
      </c>
      <c r="G39" s="1">
        <f>IFERROR(__xludf.DUMMYFUNCTION("""COMPUTED_VALUE"""),71.0)</f>
        <v>71</v>
      </c>
      <c r="H39" s="1">
        <f>IFERROR(__xludf.DUMMYFUNCTION("""COMPUTED_VALUE"""),80.0)</f>
        <v>80</v>
      </c>
      <c r="I39" s="1">
        <f>IFERROR(__xludf.DUMMYFUNCTION("""COMPUTED_VALUE"""),65.0)</f>
        <v>65</v>
      </c>
      <c r="J39" s="1">
        <f>IFERROR(__xludf.DUMMYFUNCTION("""COMPUTED_VALUE"""),46.0)</f>
        <v>46</v>
      </c>
      <c r="K39" s="1">
        <f>IFERROR(__xludf.DUMMYFUNCTION("""COMPUTED_VALUE"""),79.0)</f>
        <v>79</v>
      </c>
      <c r="L39" s="1">
        <f>IFERROR(__xludf.DUMMYFUNCTION("""COMPUTED_VALUE"""),341.0)</f>
        <v>341</v>
      </c>
      <c r="M39" s="1">
        <f>IFERROR(__xludf.DUMMYFUNCTION("""COMPUTED_VALUE"""),68.2)</f>
        <v>68.2</v>
      </c>
      <c r="N39" s="1">
        <f>IFERROR(__xludf.DUMMYFUNCTION("""COMPUTED_VALUE"""),62.0)</f>
        <v>62</v>
      </c>
      <c r="O39" s="1" t="str">
        <f>IFERROR(__xludf.DUMMYFUNCTION("""COMPUTED_VALUE"""),"Pass")</f>
        <v>Pass</v>
      </c>
    </row>
    <row r="40" ht="15.75" customHeight="1">
      <c r="A40" s="1" t="str">
        <f>IFERROR(__xludf.DUMMYFUNCTION("""COMPUTED_VALUE"""),"STD-1486")</f>
        <v>STD-1486</v>
      </c>
      <c r="B40" s="1" t="str">
        <f>IFERROR(__xludf.DUMMYFUNCTION("""COMPUTED_VALUE"""),"Ritika Choudhary")</f>
        <v>Ritika Choudhary</v>
      </c>
      <c r="C40" s="1" t="str">
        <f>IFERROR(__xludf.DUMMYFUNCTION("""COMPUTED_VALUE"""),"Male")</f>
        <v>Male</v>
      </c>
      <c r="D40" s="1" t="str">
        <f>IFERROR(__xludf.DUMMYFUNCTION("""COMPUTED_VALUE"""),"9")</f>
        <v>9</v>
      </c>
      <c r="E40" s="1" t="str">
        <f>IFERROR(__xludf.DUMMYFUNCTION("""COMPUTED_VALUE"""),"A")</f>
        <v>A</v>
      </c>
      <c r="F40" s="1" t="str">
        <f>IFERROR(__xludf.DUMMYFUNCTION("""COMPUTED_VALUE"""),"Mumbai")</f>
        <v>Mumbai</v>
      </c>
      <c r="G40" s="1">
        <f>IFERROR(__xludf.DUMMYFUNCTION("""COMPUTED_VALUE"""),98.0)</f>
        <v>98</v>
      </c>
      <c r="H40" s="1">
        <f>IFERROR(__xludf.DUMMYFUNCTION("""COMPUTED_VALUE"""),88.0)</f>
        <v>88</v>
      </c>
      <c r="I40" s="1">
        <f>IFERROR(__xludf.DUMMYFUNCTION("""COMPUTED_VALUE"""),63.0)</f>
        <v>63</v>
      </c>
      <c r="J40" s="1">
        <f>IFERROR(__xludf.DUMMYFUNCTION("""COMPUTED_VALUE"""),64.0)</f>
        <v>64</v>
      </c>
      <c r="K40" s="1">
        <f>IFERROR(__xludf.DUMMYFUNCTION("""COMPUTED_VALUE"""),49.0)</f>
        <v>49</v>
      </c>
      <c r="L40" s="1">
        <f>IFERROR(__xludf.DUMMYFUNCTION("""COMPUTED_VALUE"""),362.0)</f>
        <v>362</v>
      </c>
      <c r="M40" s="1">
        <f>IFERROR(__xludf.DUMMYFUNCTION("""COMPUTED_VALUE"""),72.4)</f>
        <v>72.4</v>
      </c>
      <c r="N40" s="1">
        <f>IFERROR(__xludf.DUMMYFUNCTION("""COMPUTED_VALUE"""),92.0)</f>
        <v>92</v>
      </c>
      <c r="O40" s="1" t="str">
        <f>IFERROR(__xludf.DUMMYFUNCTION("""COMPUTED_VALUE"""),"Pass")</f>
        <v>Pass</v>
      </c>
    </row>
    <row r="41" ht="15.75" customHeight="1">
      <c r="A41" s="1" t="str">
        <f>IFERROR(__xludf.DUMMYFUNCTION("""COMPUTED_VALUE"""),"STD-1494")</f>
        <v>STD-1494</v>
      </c>
      <c r="B41" s="1" t="str">
        <f>IFERROR(__xludf.DUMMYFUNCTION("""COMPUTED_VALUE"""),"Meera Banerjee")</f>
        <v>Meera Banerjee</v>
      </c>
      <c r="C41" s="1" t="str">
        <f>IFERROR(__xludf.DUMMYFUNCTION("""COMPUTED_VALUE"""),"Male")</f>
        <v>Male</v>
      </c>
      <c r="D41" s="1" t="str">
        <f>IFERROR(__xludf.DUMMYFUNCTION("""COMPUTED_VALUE"""),"9")</f>
        <v>9</v>
      </c>
      <c r="E41" s="1" t="str">
        <f>IFERROR(__xludf.DUMMYFUNCTION("""COMPUTED_VALUE"""),"A")</f>
        <v>A</v>
      </c>
      <c r="F41" s="1" t="str">
        <f>IFERROR(__xludf.DUMMYFUNCTION("""COMPUTED_VALUE"""),"Mumbai")</f>
        <v>Mumbai</v>
      </c>
      <c r="G41" s="1">
        <f>IFERROR(__xludf.DUMMYFUNCTION("""COMPUTED_VALUE"""),63.0)</f>
        <v>63</v>
      </c>
      <c r="H41" s="1">
        <f>IFERROR(__xludf.DUMMYFUNCTION("""COMPUTED_VALUE"""),68.0)</f>
        <v>68</v>
      </c>
      <c r="I41" s="1">
        <f>IFERROR(__xludf.DUMMYFUNCTION("""COMPUTED_VALUE"""),100.0)</f>
        <v>100</v>
      </c>
      <c r="J41" s="1">
        <f>IFERROR(__xludf.DUMMYFUNCTION("""COMPUTED_VALUE"""),58.0)</f>
        <v>58</v>
      </c>
      <c r="K41" s="1">
        <f>IFERROR(__xludf.DUMMYFUNCTION("""COMPUTED_VALUE"""),80.0)</f>
        <v>80</v>
      </c>
      <c r="L41" s="1">
        <f>IFERROR(__xludf.DUMMYFUNCTION("""COMPUTED_VALUE"""),369.0)</f>
        <v>369</v>
      </c>
      <c r="M41" s="1">
        <f>IFERROR(__xludf.DUMMYFUNCTION("""COMPUTED_VALUE"""),73.8)</f>
        <v>73.8</v>
      </c>
      <c r="N41" s="1">
        <f>IFERROR(__xludf.DUMMYFUNCTION("""COMPUTED_VALUE"""),65.0)</f>
        <v>65</v>
      </c>
      <c r="O41" s="1" t="str">
        <f>IFERROR(__xludf.DUMMYFUNCTION("""COMPUTED_VALUE"""),"Pass")</f>
        <v>Pass</v>
      </c>
    </row>
    <row r="42" ht="15.75" customHeight="1">
      <c r="A42" s="1" t="str">
        <f>IFERROR(__xludf.DUMMYFUNCTION("""COMPUTED_VALUE"""),"STD-1498")</f>
        <v>STD-1498</v>
      </c>
      <c r="B42" s="1" t="str">
        <f>IFERROR(__xludf.DUMMYFUNCTION("""COMPUTED_VALUE"""),"Meera Iyer")</f>
        <v>Meera Iyer</v>
      </c>
      <c r="C42" s="1" t="str">
        <f>IFERROR(__xludf.DUMMYFUNCTION("""COMPUTED_VALUE"""),"Male")</f>
        <v>Male</v>
      </c>
      <c r="D42" s="1" t="str">
        <f>IFERROR(__xludf.DUMMYFUNCTION("""COMPUTED_VALUE"""),"9")</f>
        <v>9</v>
      </c>
      <c r="E42" s="1" t="str">
        <f>IFERROR(__xludf.DUMMYFUNCTION("""COMPUTED_VALUE"""),"A")</f>
        <v>A</v>
      </c>
      <c r="F42" s="1" t="str">
        <f>IFERROR(__xludf.DUMMYFUNCTION("""COMPUTED_VALUE"""),"Lucknow")</f>
        <v>Lucknow</v>
      </c>
      <c r="G42" s="1">
        <f>IFERROR(__xludf.DUMMYFUNCTION("""COMPUTED_VALUE"""),98.0)</f>
        <v>98</v>
      </c>
      <c r="H42" s="1">
        <f>IFERROR(__xludf.DUMMYFUNCTION("""COMPUTED_VALUE"""),83.0)</f>
        <v>83</v>
      </c>
      <c r="I42" s="1">
        <f>IFERROR(__xludf.DUMMYFUNCTION("""COMPUTED_VALUE"""),64.0)</f>
        <v>64</v>
      </c>
      <c r="J42" s="1">
        <f>IFERROR(__xludf.DUMMYFUNCTION("""COMPUTED_VALUE"""),96.0)</f>
        <v>96</v>
      </c>
      <c r="K42" s="1">
        <f>IFERROR(__xludf.DUMMYFUNCTION("""COMPUTED_VALUE"""),61.0)</f>
        <v>61</v>
      </c>
      <c r="L42" s="1">
        <f>IFERROR(__xludf.DUMMYFUNCTION("""COMPUTED_VALUE"""),402.0)</f>
        <v>402</v>
      </c>
      <c r="M42" s="1">
        <f>IFERROR(__xludf.DUMMYFUNCTION("""COMPUTED_VALUE"""),80.4)</f>
        <v>80.4</v>
      </c>
      <c r="N42" s="1">
        <f>IFERROR(__xludf.DUMMYFUNCTION("""COMPUTED_VALUE"""),74.0)</f>
        <v>74</v>
      </c>
      <c r="O42" s="1" t="str">
        <f>IFERROR(__xludf.DUMMYFUNCTION("""COMPUTED_VALUE"""),"Pass")</f>
        <v>Pass</v>
      </c>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6" width="14.43"/>
  </cols>
  <sheetData>
    <row r="1">
      <c r="A1" s="2" t="str">
        <f t="array" ref="A1">'Questions Answers'!A11</f>
        <v>10. Calculate the total marks obtained by students from Delhi.</v>
      </c>
      <c r="B1" s="2"/>
      <c r="C1" s="2"/>
      <c r="D1" s="2"/>
    </row>
    <row r="3">
      <c r="A3" s="1" t="str">
        <f>IFERROR(__xludf.DUMMYFUNCTION("QUERY(Student_Data!A1:O1000, ""SELECT F, SUM(L) WHERE F = 'Delhi' GROUP BY F LABEL F 'City', SUM(L) 'Total Marks'"")"),"City")</f>
        <v>City</v>
      </c>
      <c r="B3" s="1" t="str">
        <f>IFERROR(__xludf.DUMMYFUNCTION("""COMPUTED_VALUE"""),"Total Marks")</f>
        <v>Total Marks</v>
      </c>
    </row>
    <row r="4">
      <c r="A4" s="1" t="str">
        <f>IFERROR(__xludf.DUMMYFUNCTION("""COMPUTED_VALUE"""),"Delhi")</f>
        <v>Delhi</v>
      </c>
      <c r="B4" s="1">
        <f>IFERROR(__xludf.DUMMYFUNCTION("""COMPUTED_VALUE"""),19058.0)</f>
        <v>19058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6" width="14.43"/>
  </cols>
  <sheetData>
    <row r="1">
      <c r="A1" s="2" t="str">
        <f t="array" ref="A1">'Questions Answers'!A12</f>
        <v>11. Find total Maths marks for students of Class 8.</v>
      </c>
      <c r="B1" s="2"/>
      <c r="C1" s="2"/>
      <c r="D1" s="2"/>
    </row>
    <row r="3">
      <c r="A3" s="1" t="s">
        <v>809</v>
      </c>
      <c r="B3" s="1">
        <f>SUMIFS(Student_Data!G:G, Student_Data!D:D, 8)</f>
        <v>6288</v>
      </c>
    </row>
    <row r="4">
      <c r="A4" s="1" t="s">
        <v>0</v>
      </c>
      <c r="B4" s="1" t="s">
        <v>1</v>
      </c>
      <c r="C4" s="1" t="s">
        <v>2</v>
      </c>
      <c r="D4" s="1" t="s">
        <v>3</v>
      </c>
      <c r="E4" s="1" t="s">
        <v>4</v>
      </c>
      <c r="F4" s="1" t="s">
        <v>5</v>
      </c>
      <c r="G4" s="1" t="s">
        <v>6</v>
      </c>
      <c r="H4" s="1" t="s">
        <v>7</v>
      </c>
      <c r="I4" s="1" t="s">
        <v>8</v>
      </c>
      <c r="J4" s="1" t="s">
        <v>9</v>
      </c>
      <c r="K4" s="1" t="s">
        <v>10</v>
      </c>
      <c r="L4" s="1" t="s">
        <v>11</v>
      </c>
      <c r="M4" s="1" t="s">
        <v>12</v>
      </c>
      <c r="N4" s="1" t="s">
        <v>13</v>
      </c>
      <c r="O4" s="1" t="s">
        <v>14</v>
      </c>
    </row>
    <row r="5">
      <c r="A5" s="1" t="str">
        <f>IFERROR(__xludf.DUMMYFUNCTION("IFERROR(FILTER(Student_Data!A2:O1000, Student_Data!D2:D1000&amp;""""=""8""), ""No Data Found"")"),"STD-1003")</f>
        <v>STD-1003</v>
      </c>
      <c r="B5" s="1" t="str">
        <f>IFERROR(__xludf.DUMMYFUNCTION("""COMPUTED_VALUE"""),"Sai Iyer")</f>
        <v>Sai Iyer</v>
      </c>
      <c r="C5" s="1" t="str">
        <f>IFERROR(__xludf.DUMMYFUNCTION("""COMPUTED_VALUE"""),"Male")</f>
        <v>Male</v>
      </c>
      <c r="D5" s="1" t="str">
        <f>IFERROR(__xludf.DUMMYFUNCTION("""COMPUTED_VALUE"""),"8")</f>
        <v>8</v>
      </c>
      <c r="E5" s="1" t="str">
        <f>IFERROR(__xludf.DUMMYFUNCTION("""COMPUTED_VALUE"""),"C")</f>
        <v>C</v>
      </c>
      <c r="F5" s="1" t="str">
        <f>IFERROR(__xludf.DUMMYFUNCTION("""COMPUTED_VALUE"""),"Kolkata")</f>
        <v>Kolkata</v>
      </c>
      <c r="G5" s="1">
        <f>IFERROR(__xludf.DUMMYFUNCTION("""COMPUTED_VALUE"""),48.0)</f>
        <v>48</v>
      </c>
      <c r="H5" s="1">
        <f>IFERROR(__xludf.DUMMYFUNCTION("""COMPUTED_VALUE"""),53.0)</f>
        <v>53</v>
      </c>
      <c r="I5" s="1">
        <f>IFERROR(__xludf.DUMMYFUNCTION("""COMPUTED_VALUE"""),61.0)</f>
        <v>61</v>
      </c>
      <c r="J5" s="1">
        <f>IFERROR(__xludf.DUMMYFUNCTION("""COMPUTED_VALUE"""),57.0)</f>
        <v>57</v>
      </c>
      <c r="K5" s="1">
        <f>IFERROR(__xludf.DUMMYFUNCTION("""COMPUTED_VALUE"""),81.0)</f>
        <v>81</v>
      </c>
      <c r="L5" s="1">
        <f>IFERROR(__xludf.DUMMYFUNCTION("""COMPUTED_VALUE"""),300.0)</f>
        <v>300</v>
      </c>
      <c r="M5" s="1">
        <f>IFERROR(__xludf.DUMMYFUNCTION("""COMPUTED_VALUE"""),60.0)</f>
        <v>60</v>
      </c>
      <c r="N5" s="1">
        <f>IFERROR(__xludf.DUMMYFUNCTION("""COMPUTED_VALUE"""),86.0)</f>
        <v>86</v>
      </c>
      <c r="O5" s="1" t="str">
        <f>IFERROR(__xludf.DUMMYFUNCTION("""COMPUTED_VALUE"""),"Pass")</f>
        <v>Pass</v>
      </c>
    </row>
    <row r="6">
      <c r="A6" s="1" t="str">
        <f>IFERROR(__xludf.DUMMYFUNCTION("""COMPUTED_VALUE"""),"STD-1004")</f>
        <v>STD-1004</v>
      </c>
      <c r="B6" s="1" t="str">
        <f>IFERROR(__xludf.DUMMYFUNCTION("""COMPUTED_VALUE"""),"Ananya Singh")</f>
        <v>Ananya Singh</v>
      </c>
      <c r="C6" s="1" t="str">
        <f>IFERROR(__xludf.DUMMYFUNCTION("""COMPUTED_VALUE"""),"Female")</f>
        <v>Female</v>
      </c>
      <c r="D6" s="1" t="str">
        <f>IFERROR(__xludf.DUMMYFUNCTION("""COMPUTED_VALUE"""),"8")</f>
        <v>8</v>
      </c>
      <c r="E6" s="1" t="str">
        <f>IFERROR(__xludf.DUMMYFUNCTION("""COMPUTED_VALUE"""),"C")</f>
        <v>C</v>
      </c>
      <c r="F6" s="1" t="str">
        <f>IFERROR(__xludf.DUMMYFUNCTION("""COMPUTED_VALUE"""),"Kolkata")</f>
        <v>Kolkata</v>
      </c>
      <c r="G6" s="1">
        <f>IFERROR(__xludf.DUMMYFUNCTION("""COMPUTED_VALUE"""),84.0)</f>
        <v>84</v>
      </c>
      <c r="H6" s="1">
        <f>IFERROR(__xludf.DUMMYFUNCTION("""COMPUTED_VALUE"""),56.0)</f>
        <v>56</v>
      </c>
      <c r="I6" s="1">
        <f>IFERROR(__xludf.DUMMYFUNCTION("""COMPUTED_VALUE"""),72.0)</f>
        <v>72</v>
      </c>
      <c r="J6" s="1">
        <f>IFERROR(__xludf.DUMMYFUNCTION("""COMPUTED_VALUE"""),92.0)</f>
        <v>92</v>
      </c>
      <c r="K6" s="1">
        <f>IFERROR(__xludf.DUMMYFUNCTION("""COMPUTED_VALUE"""),68.0)</f>
        <v>68</v>
      </c>
      <c r="L6" s="1">
        <f>IFERROR(__xludf.DUMMYFUNCTION("""COMPUTED_VALUE"""),372.0)</f>
        <v>372</v>
      </c>
      <c r="M6" s="1">
        <f>IFERROR(__xludf.DUMMYFUNCTION("""COMPUTED_VALUE"""),74.4)</f>
        <v>74.4</v>
      </c>
      <c r="N6" s="1">
        <f>IFERROR(__xludf.DUMMYFUNCTION("""COMPUTED_VALUE"""),84.0)</f>
        <v>84</v>
      </c>
      <c r="O6" s="1" t="str">
        <f>IFERROR(__xludf.DUMMYFUNCTION("""COMPUTED_VALUE"""),"Pass")</f>
        <v>Pass</v>
      </c>
    </row>
    <row r="7">
      <c r="A7" s="1" t="str">
        <f>IFERROR(__xludf.DUMMYFUNCTION("""COMPUTED_VALUE"""),"STD-1005")</f>
        <v>STD-1005</v>
      </c>
      <c r="B7" s="1" t="str">
        <f>IFERROR(__xludf.DUMMYFUNCTION("""COMPUTED_VALUE"""),"Shreya Kulkarni")</f>
        <v>Shreya Kulkarni</v>
      </c>
      <c r="C7" s="1" t="str">
        <f>IFERROR(__xludf.DUMMYFUNCTION("""COMPUTED_VALUE"""),"Male")</f>
        <v>Male</v>
      </c>
      <c r="D7" s="1" t="str">
        <f>IFERROR(__xludf.DUMMYFUNCTION("""COMPUTED_VALUE"""),"8")</f>
        <v>8</v>
      </c>
      <c r="E7" s="1" t="str">
        <f>IFERROR(__xludf.DUMMYFUNCTION("""COMPUTED_VALUE"""),"C")</f>
        <v>C</v>
      </c>
      <c r="F7" s="1" t="str">
        <f>IFERROR(__xludf.DUMMYFUNCTION("""COMPUTED_VALUE"""),"Chandigarh")</f>
        <v>Chandigarh</v>
      </c>
      <c r="G7" s="1">
        <f>IFERROR(__xludf.DUMMYFUNCTION("""COMPUTED_VALUE"""),71.0)</f>
        <v>71</v>
      </c>
      <c r="H7" s="1">
        <f>IFERROR(__xludf.DUMMYFUNCTION("""COMPUTED_VALUE"""),48.0)</f>
        <v>48</v>
      </c>
      <c r="I7" s="1">
        <f>IFERROR(__xludf.DUMMYFUNCTION("""COMPUTED_VALUE"""),54.0)</f>
        <v>54</v>
      </c>
      <c r="J7" s="1">
        <f>IFERROR(__xludf.DUMMYFUNCTION("""COMPUTED_VALUE"""),79.0)</f>
        <v>79</v>
      </c>
      <c r="K7" s="1">
        <f>IFERROR(__xludf.DUMMYFUNCTION("""COMPUTED_VALUE"""),92.0)</f>
        <v>92</v>
      </c>
      <c r="L7" s="1">
        <f>IFERROR(__xludf.DUMMYFUNCTION("""COMPUTED_VALUE"""),344.0)</f>
        <v>344</v>
      </c>
      <c r="M7" s="1">
        <f>IFERROR(__xludf.DUMMYFUNCTION("""COMPUTED_VALUE"""),68.8)</f>
        <v>68.8</v>
      </c>
      <c r="N7" s="1">
        <f>IFERROR(__xludf.DUMMYFUNCTION("""COMPUTED_VALUE"""),80.0)</f>
        <v>80</v>
      </c>
      <c r="O7" s="1" t="str">
        <f>IFERROR(__xludf.DUMMYFUNCTION("""COMPUTED_VALUE"""),"Pass")</f>
        <v>Pass</v>
      </c>
    </row>
    <row r="8">
      <c r="A8" s="1" t="str">
        <f>IFERROR(__xludf.DUMMYFUNCTION("""COMPUTED_VALUE"""),"STD-1013")</f>
        <v>STD-1013</v>
      </c>
      <c r="B8" s="1" t="str">
        <f>IFERROR(__xludf.DUMMYFUNCTION("""COMPUTED_VALUE"""),"Sai Verma")</f>
        <v>Sai Verma</v>
      </c>
      <c r="C8" s="1" t="str">
        <f>IFERROR(__xludf.DUMMYFUNCTION("""COMPUTED_VALUE"""),"Female")</f>
        <v>Female</v>
      </c>
      <c r="D8" s="1" t="str">
        <f>IFERROR(__xludf.DUMMYFUNCTION("""COMPUTED_VALUE"""),"8")</f>
        <v>8</v>
      </c>
      <c r="E8" s="1" t="str">
        <f>IFERROR(__xludf.DUMMYFUNCTION("""COMPUTED_VALUE"""),"B")</f>
        <v>B</v>
      </c>
      <c r="F8" s="1" t="str">
        <f>IFERROR(__xludf.DUMMYFUNCTION("""COMPUTED_VALUE"""),"Lucknow")</f>
        <v>Lucknow</v>
      </c>
      <c r="G8" s="1">
        <f>IFERROR(__xludf.DUMMYFUNCTION("""COMPUTED_VALUE"""),75.0)</f>
        <v>75</v>
      </c>
      <c r="H8" s="1">
        <f>IFERROR(__xludf.DUMMYFUNCTION("""COMPUTED_VALUE"""),46.0)</f>
        <v>46</v>
      </c>
      <c r="I8" s="1">
        <f>IFERROR(__xludf.DUMMYFUNCTION("""COMPUTED_VALUE"""),58.0)</f>
        <v>58</v>
      </c>
      <c r="J8" s="1">
        <f>IFERROR(__xludf.DUMMYFUNCTION("""COMPUTED_VALUE"""),77.0)</f>
        <v>77</v>
      </c>
      <c r="K8" s="1">
        <f>IFERROR(__xludf.DUMMYFUNCTION("""COMPUTED_VALUE"""),41.0)</f>
        <v>41</v>
      </c>
      <c r="L8" s="1">
        <f>IFERROR(__xludf.DUMMYFUNCTION("""COMPUTED_VALUE"""),297.0)</f>
        <v>297</v>
      </c>
      <c r="M8" s="1">
        <f>IFERROR(__xludf.DUMMYFUNCTION("""COMPUTED_VALUE"""),59.4)</f>
        <v>59.4</v>
      </c>
      <c r="N8" s="1">
        <f>IFERROR(__xludf.DUMMYFUNCTION("""COMPUTED_VALUE"""),61.0)</f>
        <v>61</v>
      </c>
      <c r="O8" s="1" t="str">
        <f>IFERROR(__xludf.DUMMYFUNCTION("""COMPUTED_VALUE"""),"Pass")</f>
        <v>Pass</v>
      </c>
    </row>
    <row r="9">
      <c r="A9" s="1" t="str">
        <f>IFERROR(__xludf.DUMMYFUNCTION("""COMPUTED_VALUE"""),"STD-1026")</f>
        <v>STD-1026</v>
      </c>
      <c r="B9" s="1" t="str">
        <f>IFERROR(__xludf.DUMMYFUNCTION("""COMPUTED_VALUE"""),"Neha Kaur")</f>
        <v>Neha Kaur</v>
      </c>
      <c r="C9" s="1" t="str">
        <f>IFERROR(__xludf.DUMMYFUNCTION("""COMPUTED_VALUE"""),"Female")</f>
        <v>Female</v>
      </c>
      <c r="D9" s="1" t="str">
        <f>IFERROR(__xludf.DUMMYFUNCTION("""COMPUTED_VALUE"""),"8")</f>
        <v>8</v>
      </c>
      <c r="E9" s="1" t="str">
        <f>IFERROR(__xludf.DUMMYFUNCTION("""COMPUTED_VALUE"""),"C")</f>
        <v>C</v>
      </c>
      <c r="F9" s="1" t="str">
        <f>IFERROR(__xludf.DUMMYFUNCTION("""COMPUTED_VALUE"""),"Patna")</f>
        <v>Patna</v>
      </c>
      <c r="G9" s="1">
        <f>IFERROR(__xludf.DUMMYFUNCTION("""COMPUTED_VALUE"""),68.0)</f>
        <v>68</v>
      </c>
      <c r="H9" s="1">
        <f>IFERROR(__xludf.DUMMYFUNCTION("""COMPUTED_VALUE"""),42.0)</f>
        <v>42</v>
      </c>
      <c r="I9" s="1">
        <f>IFERROR(__xludf.DUMMYFUNCTION("""COMPUTED_VALUE"""),96.0)</f>
        <v>96</v>
      </c>
      <c r="J9" s="1">
        <f>IFERROR(__xludf.DUMMYFUNCTION("""COMPUTED_VALUE"""),84.0)</f>
        <v>84</v>
      </c>
      <c r="K9" s="1">
        <f>IFERROR(__xludf.DUMMYFUNCTION("""COMPUTED_VALUE"""),53.0)</f>
        <v>53</v>
      </c>
      <c r="L9" s="1">
        <f>IFERROR(__xludf.DUMMYFUNCTION("""COMPUTED_VALUE"""),343.0)</f>
        <v>343</v>
      </c>
      <c r="M9" s="1">
        <f>IFERROR(__xludf.DUMMYFUNCTION("""COMPUTED_VALUE"""),68.6)</f>
        <v>68.6</v>
      </c>
      <c r="N9" s="1">
        <f>IFERROR(__xludf.DUMMYFUNCTION("""COMPUTED_VALUE"""),93.0)</f>
        <v>93</v>
      </c>
      <c r="O9" s="1" t="str">
        <f>IFERROR(__xludf.DUMMYFUNCTION("""COMPUTED_VALUE"""),"Pass")</f>
        <v>Pass</v>
      </c>
    </row>
    <row r="10">
      <c r="A10" s="1" t="str">
        <f>IFERROR(__xludf.DUMMYFUNCTION("""COMPUTED_VALUE"""),"STD-1027")</f>
        <v>STD-1027</v>
      </c>
      <c r="B10" s="1" t="str">
        <f>IFERROR(__xludf.DUMMYFUNCTION("""COMPUTED_VALUE"""),"Ishita Yadav")</f>
        <v>Ishita Yadav</v>
      </c>
      <c r="C10" s="1" t="str">
        <f>IFERROR(__xludf.DUMMYFUNCTION("""COMPUTED_VALUE"""),"Female")</f>
        <v>Female</v>
      </c>
      <c r="D10" s="1" t="str">
        <f>IFERROR(__xludf.DUMMYFUNCTION("""COMPUTED_VALUE"""),"8")</f>
        <v>8</v>
      </c>
      <c r="E10" s="1" t="str">
        <f>IFERROR(__xludf.DUMMYFUNCTION("""COMPUTED_VALUE"""),"B")</f>
        <v>B</v>
      </c>
      <c r="F10" s="1" t="str">
        <f>IFERROR(__xludf.DUMMYFUNCTION("""COMPUTED_VALUE"""),"Mumbai")</f>
        <v>Mumbai</v>
      </c>
      <c r="G10" s="1">
        <f>IFERROR(__xludf.DUMMYFUNCTION("""COMPUTED_VALUE"""),100.0)</f>
        <v>100</v>
      </c>
      <c r="H10" s="1">
        <f>IFERROR(__xludf.DUMMYFUNCTION("""COMPUTED_VALUE"""),49.0)</f>
        <v>49</v>
      </c>
      <c r="I10" s="1">
        <f>IFERROR(__xludf.DUMMYFUNCTION("""COMPUTED_VALUE"""),69.0)</f>
        <v>69</v>
      </c>
      <c r="J10" s="1">
        <f>IFERROR(__xludf.DUMMYFUNCTION("""COMPUTED_VALUE"""),66.0)</f>
        <v>66</v>
      </c>
      <c r="K10" s="1">
        <f>IFERROR(__xludf.DUMMYFUNCTION("""COMPUTED_VALUE"""),72.0)</f>
        <v>72</v>
      </c>
      <c r="L10" s="1">
        <f>IFERROR(__xludf.DUMMYFUNCTION("""COMPUTED_VALUE"""),356.0)</f>
        <v>356</v>
      </c>
      <c r="M10" s="1">
        <f>IFERROR(__xludf.DUMMYFUNCTION("""COMPUTED_VALUE"""),71.2)</f>
        <v>71.2</v>
      </c>
      <c r="N10" s="1">
        <f>IFERROR(__xludf.DUMMYFUNCTION("""COMPUTED_VALUE"""),70.0)</f>
        <v>70</v>
      </c>
      <c r="O10" s="1" t="str">
        <f>IFERROR(__xludf.DUMMYFUNCTION("""COMPUTED_VALUE"""),"Pass")</f>
        <v>Pass</v>
      </c>
    </row>
    <row r="11">
      <c r="A11" s="1" t="str">
        <f>IFERROR(__xludf.DUMMYFUNCTION("""COMPUTED_VALUE"""),"STD-1032")</f>
        <v>STD-1032</v>
      </c>
      <c r="B11" s="1" t="str">
        <f>IFERROR(__xludf.DUMMYFUNCTION("""COMPUTED_VALUE"""),"Simran Verma")</f>
        <v>Simran Verma</v>
      </c>
      <c r="C11" s="1" t="str">
        <f>IFERROR(__xludf.DUMMYFUNCTION("""COMPUTED_VALUE"""),"Male")</f>
        <v>Male</v>
      </c>
      <c r="D11" s="1" t="str">
        <f>IFERROR(__xludf.DUMMYFUNCTION("""COMPUTED_VALUE"""),"8")</f>
        <v>8</v>
      </c>
      <c r="E11" s="1" t="str">
        <f>IFERROR(__xludf.DUMMYFUNCTION("""COMPUTED_VALUE"""),"A")</f>
        <v>A</v>
      </c>
      <c r="F11" s="1" t="str">
        <f>IFERROR(__xludf.DUMMYFUNCTION("""COMPUTED_VALUE"""),"Kolkata")</f>
        <v>Kolkata</v>
      </c>
      <c r="G11" s="1">
        <f>IFERROR(__xludf.DUMMYFUNCTION("""COMPUTED_VALUE"""),63.0)</f>
        <v>63</v>
      </c>
      <c r="H11" s="1">
        <f>IFERROR(__xludf.DUMMYFUNCTION("""COMPUTED_VALUE"""),79.0)</f>
        <v>79</v>
      </c>
      <c r="I11" s="1">
        <f>IFERROR(__xludf.DUMMYFUNCTION("""COMPUTED_VALUE"""),91.0)</f>
        <v>91</v>
      </c>
      <c r="J11" s="1">
        <f>IFERROR(__xludf.DUMMYFUNCTION("""COMPUTED_VALUE"""),99.0)</f>
        <v>99</v>
      </c>
      <c r="K11" s="1">
        <f>IFERROR(__xludf.DUMMYFUNCTION("""COMPUTED_VALUE"""),41.0)</f>
        <v>41</v>
      </c>
      <c r="L11" s="1">
        <f>IFERROR(__xludf.DUMMYFUNCTION("""COMPUTED_VALUE"""),373.0)</f>
        <v>373</v>
      </c>
      <c r="M11" s="1">
        <f>IFERROR(__xludf.DUMMYFUNCTION("""COMPUTED_VALUE"""),74.6)</f>
        <v>74.6</v>
      </c>
      <c r="N11" s="1">
        <f>IFERROR(__xludf.DUMMYFUNCTION("""COMPUTED_VALUE"""),82.0)</f>
        <v>82</v>
      </c>
      <c r="O11" s="1" t="str">
        <f>IFERROR(__xludf.DUMMYFUNCTION("""COMPUTED_VALUE"""),"Pass")</f>
        <v>Pass</v>
      </c>
    </row>
    <row r="12">
      <c r="A12" s="1" t="str">
        <f>IFERROR(__xludf.DUMMYFUNCTION("""COMPUTED_VALUE"""),"STD-1034")</f>
        <v>STD-1034</v>
      </c>
      <c r="B12" s="1" t="str">
        <f>IFERROR(__xludf.DUMMYFUNCTION("""COMPUTED_VALUE"""),"Pooja Verma")</f>
        <v>Pooja Verma</v>
      </c>
      <c r="C12" s="1" t="str">
        <f>IFERROR(__xludf.DUMMYFUNCTION("""COMPUTED_VALUE"""),"Male")</f>
        <v>Male</v>
      </c>
      <c r="D12" s="1" t="str">
        <f>IFERROR(__xludf.DUMMYFUNCTION("""COMPUTED_VALUE"""),"8")</f>
        <v>8</v>
      </c>
      <c r="E12" s="1" t="str">
        <f>IFERROR(__xludf.DUMMYFUNCTION("""COMPUTED_VALUE"""),"C")</f>
        <v>C</v>
      </c>
      <c r="F12" s="1" t="str">
        <f>IFERROR(__xludf.DUMMYFUNCTION("""COMPUTED_VALUE"""),"Jaipur")</f>
        <v>Jaipur</v>
      </c>
      <c r="G12" s="1">
        <f>IFERROR(__xludf.DUMMYFUNCTION("""COMPUTED_VALUE"""),55.0)</f>
        <v>55</v>
      </c>
      <c r="H12" s="1">
        <f>IFERROR(__xludf.DUMMYFUNCTION("""COMPUTED_VALUE"""),89.0)</f>
        <v>89</v>
      </c>
      <c r="I12" s="1">
        <f>IFERROR(__xludf.DUMMYFUNCTION("""COMPUTED_VALUE"""),86.0)</f>
        <v>86</v>
      </c>
      <c r="J12" s="1">
        <f>IFERROR(__xludf.DUMMYFUNCTION("""COMPUTED_VALUE"""),50.0)</f>
        <v>50</v>
      </c>
      <c r="K12" s="1">
        <f>IFERROR(__xludf.DUMMYFUNCTION("""COMPUTED_VALUE"""),67.0)</f>
        <v>67</v>
      </c>
      <c r="L12" s="1">
        <f>IFERROR(__xludf.DUMMYFUNCTION("""COMPUTED_VALUE"""),347.0)</f>
        <v>347</v>
      </c>
      <c r="M12" s="1">
        <f>IFERROR(__xludf.DUMMYFUNCTION("""COMPUTED_VALUE"""),69.4)</f>
        <v>69.4</v>
      </c>
      <c r="N12" s="1">
        <f>IFERROR(__xludf.DUMMYFUNCTION("""COMPUTED_VALUE"""),86.0)</f>
        <v>86</v>
      </c>
      <c r="O12" s="1" t="str">
        <f>IFERROR(__xludf.DUMMYFUNCTION("""COMPUTED_VALUE"""),"Pass")</f>
        <v>Pass</v>
      </c>
    </row>
    <row r="13">
      <c r="A13" s="1" t="str">
        <f>IFERROR(__xludf.DUMMYFUNCTION("""COMPUTED_VALUE"""),"STD-1038")</f>
        <v>STD-1038</v>
      </c>
      <c r="B13" s="1" t="str">
        <f>IFERROR(__xludf.DUMMYFUNCTION("""COMPUTED_VALUE"""),"Ishita Nair")</f>
        <v>Ishita Nair</v>
      </c>
      <c r="C13" s="1" t="str">
        <f>IFERROR(__xludf.DUMMYFUNCTION("""COMPUTED_VALUE"""),"Male")</f>
        <v>Male</v>
      </c>
      <c r="D13" s="1" t="str">
        <f>IFERROR(__xludf.DUMMYFUNCTION("""COMPUTED_VALUE"""),"8")</f>
        <v>8</v>
      </c>
      <c r="E13" s="1" t="str">
        <f>IFERROR(__xludf.DUMMYFUNCTION("""COMPUTED_VALUE"""),"A")</f>
        <v>A</v>
      </c>
      <c r="F13" s="1" t="str">
        <f>IFERROR(__xludf.DUMMYFUNCTION("""COMPUTED_VALUE"""),"Mumbai")</f>
        <v>Mumbai</v>
      </c>
      <c r="G13" s="1">
        <f>IFERROR(__xludf.DUMMYFUNCTION("""COMPUTED_VALUE"""),94.0)</f>
        <v>94</v>
      </c>
      <c r="H13" s="1">
        <f>IFERROR(__xludf.DUMMYFUNCTION("""COMPUTED_VALUE"""),52.0)</f>
        <v>52</v>
      </c>
      <c r="I13" s="1">
        <f>IFERROR(__xludf.DUMMYFUNCTION("""COMPUTED_VALUE"""),54.0)</f>
        <v>54</v>
      </c>
      <c r="J13" s="1">
        <f>IFERROR(__xludf.DUMMYFUNCTION("""COMPUTED_VALUE"""),75.0)</f>
        <v>75</v>
      </c>
      <c r="K13" s="1">
        <f>IFERROR(__xludf.DUMMYFUNCTION("""COMPUTED_VALUE"""),54.0)</f>
        <v>54</v>
      </c>
      <c r="L13" s="1">
        <f>IFERROR(__xludf.DUMMYFUNCTION("""COMPUTED_VALUE"""),329.0)</f>
        <v>329</v>
      </c>
      <c r="M13" s="1">
        <f>IFERROR(__xludf.DUMMYFUNCTION("""COMPUTED_VALUE"""),65.8)</f>
        <v>65.8</v>
      </c>
      <c r="N13" s="1">
        <f>IFERROR(__xludf.DUMMYFUNCTION("""COMPUTED_VALUE"""),82.0)</f>
        <v>82</v>
      </c>
      <c r="O13" s="1" t="str">
        <f>IFERROR(__xludf.DUMMYFUNCTION("""COMPUTED_VALUE"""),"Pass")</f>
        <v>Pass</v>
      </c>
    </row>
    <row r="14">
      <c r="A14" s="1" t="str">
        <f>IFERROR(__xludf.DUMMYFUNCTION("""COMPUTED_VALUE"""),"STD-1040")</f>
        <v>STD-1040</v>
      </c>
      <c r="B14" s="1" t="str">
        <f>IFERROR(__xludf.DUMMYFUNCTION("""COMPUTED_VALUE"""),"Arjun Verma")</f>
        <v>Arjun Verma</v>
      </c>
      <c r="C14" s="1" t="str">
        <f>IFERROR(__xludf.DUMMYFUNCTION("""COMPUTED_VALUE"""),"Male")</f>
        <v>Male</v>
      </c>
      <c r="D14" s="1" t="str">
        <f>IFERROR(__xludf.DUMMYFUNCTION("""COMPUTED_VALUE"""),"8")</f>
        <v>8</v>
      </c>
      <c r="E14" s="1" t="str">
        <f>IFERROR(__xludf.DUMMYFUNCTION("""COMPUTED_VALUE"""),"B")</f>
        <v>B</v>
      </c>
      <c r="F14" s="1" t="str">
        <f>IFERROR(__xludf.DUMMYFUNCTION("""COMPUTED_VALUE"""),"Bhopal")</f>
        <v>Bhopal</v>
      </c>
      <c r="G14" s="1">
        <f>IFERROR(__xludf.DUMMYFUNCTION("""COMPUTED_VALUE"""),71.0)</f>
        <v>71</v>
      </c>
      <c r="H14" s="1">
        <f>IFERROR(__xludf.DUMMYFUNCTION("""COMPUTED_VALUE"""),62.0)</f>
        <v>62</v>
      </c>
      <c r="I14" s="1">
        <f>IFERROR(__xludf.DUMMYFUNCTION("""COMPUTED_VALUE"""),40.0)</f>
        <v>40</v>
      </c>
      <c r="J14" s="1">
        <f>IFERROR(__xludf.DUMMYFUNCTION("""COMPUTED_VALUE"""),98.0)</f>
        <v>98</v>
      </c>
      <c r="K14" s="1">
        <f>IFERROR(__xludf.DUMMYFUNCTION("""COMPUTED_VALUE"""),56.0)</f>
        <v>56</v>
      </c>
      <c r="L14" s="1">
        <f>IFERROR(__xludf.DUMMYFUNCTION("""COMPUTED_VALUE"""),327.0)</f>
        <v>327</v>
      </c>
      <c r="M14" s="1">
        <f>IFERROR(__xludf.DUMMYFUNCTION("""COMPUTED_VALUE"""),65.4)</f>
        <v>65.4</v>
      </c>
      <c r="N14" s="1">
        <f>IFERROR(__xludf.DUMMYFUNCTION("""COMPUTED_VALUE"""),86.0)</f>
        <v>86</v>
      </c>
      <c r="O14" s="1" t="str">
        <f>IFERROR(__xludf.DUMMYFUNCTION("""COMPUTED_VALUE"""),"Pass")</f>
        <v>Pass</v>
      </c>
    </row>
    <row r="15">
      <c r="A15" s="1" t="str">
        <f>IFERROR(__xludf.DUMMYFUNCTION("""COMPUTED_VALUE"""),"STD-1054")</f>
        <v>STD-1054</v>
      </c>
      <c r="B15" s="1" t="str">
        <f>IFERROR(__xludf.DUMMYFUNCTION("""COMPUTED_VALUE"""),"Kavya Verma")</f>
        <v>Kavya Verma</v>
      </c>
      <c r="C15" s="1" t="str">
        <f>IFERROR(__xludf.DUMMYFUNCTION("""COMPUTED_VALUE"""),"Male")</f>
        <v>Male</v>
      </c>
      <c r="D15" s="1" t="str">
        <f>IFERROR(__xludf.DUMMYFUNCTION("""COMPUTED_VALUE"""),"8")</f>
        <v>8</v>
      </c>
      <c r="E15" s="1" t="str">
        <f>IFERROR(__xludf.DUMMYFUNCTION("""COMPUTED_VALUE"""),"A")</f>
        <v>A</v>
      </c>
      <c r="F15" s="1" t="str">
        <f>IFERROR(__xludf.DUMMYFUNCTION("""COMPUTED_VALUE"""),"Lucknow")</f>
        <v>Lucknow</v>
      </c>
      <c r="G15" s="1">
        <f>IFERROR(__xludf.DUMMYFUNCTION("""COMPUTED_VALUE"""),56.0)</f>
        <v>56</v>
      </c>
      <c r="H15" s="1">
        <f>IFERROR(__xludf.DUMMYFUNCTION("""COMPUTED_VALUE"""),42.0)</f>
        <v>42</v>
      </c>
      <c r="I15" s="1">
        <f>IFERROR(__xludf.DUMMYFUNCTION("""COMPUTED_VALUE"""),80.0)</f>
        <v>80</v>
      </c>
      <c r="J15" s="1">
        <f>IFERROR(__xludf.DUMMYFUNCTION("""COMPUTED_VALUE"""),86.0)</f>
        <v>86</v>
      </c>
      <c r="K15" s="1">
        <f>IFERROR(__xludf.DUMMYFUNCTION("""COMPUTED_VALUE"""),64.0)</f>
        <v>64</v>
      </c>
      <c r="L15" s="1">
        <f>IFERROR(__xludf.DUMMYFUNCTION("""COMPUTED_VALUE"""),328.0)</f>
        <v>328</v>
      </c>
      <c r="M15" s="1">
        <f>IFERROR(__xludf.DUMMYFUNCTION("""COMPUTED_VALUE"""),65.6)</f>
        <v>65.6</v>
      </c>
      <c r="N15" s="1">
        <f>IFERROR(__xludf.DUMMYFUNCTION("""COMPUTED_VALUE"""),88.0)</f>
        <v>88</v>
      </c>
      <c r="O15" s="1" t="str">
        <f>IFERROR(__xludf.DUMMYFUNCTION("""COMPUTED_VALUE"""),"Pass")</f>
        <v>Pass</v>
      </c>
    </row>
    <row r="16">
      <c r="A16" s="1" t="str">
        <f>IFERROR(__xludf.DUMMYFUNCTION("""COMPUTED_VALUE"""),"STD-1056")</f>
        <v>STD-1056</v>
      </c>
      <c r="B16" s="1" t="str">
        <f>IFERROR(__xludf.DUMMYFUNCTION("""COMPUTED_VALUE"""),"Ananya Verma")</f>
        <v>Ananya Verma</v>
      </c>
      <c r="C16" s="1" t="str">
        <f>IFERROR(__xludf.DUMMYFUNCTION("""COMPUTED_VALUE"""),"Male")</f>
        <v>Male</v>
      </c>
      <c r="D16" s="1" t="str">
        <f>IFERROR(__xludf.DUMMYFUNCTION("""COMPUTED_VALUE"""),"8")</f>
        <v>8</v>
      </c>
      <c r="E16" s="1" t="str">
        <f>IFERROR(__xludf.DUMMYFUNCTION("""COMPUTED_VALUE"""),"A")</f>
        <v>A</v>
      </c>
      <c r="F16" s="1" t="str">
        <f>IFERROR(__xludf.DUMMYFUNCTION("""COMPUTED_VALUE"""),"Lucknow")</f>
        <v>Lucknow</v>
      </c>
      <c r="G16" s="1">
        <f>IFERROR(__xludf.DUMMYFUNCTION("""COMPUTED_VALUE"""),50.0)</f>
        <v>50</v>
      </c>
      <c r="H16" s="1">
        <f>IFERROR(__xludf.DUMMYFUNCTION("""COMPUTED_VALUE"""),42.0)</f>
        <v>42</v>
      </c>
      <c r="I16" s="1">
        <f>IFERROR(__xludf.DUMMYFUNCTION("""COMPUTED_VALUE"""),60.0)</f>
        <v>60</v>
      </c>
      <c r="J16" s="1">
        <f>IFERROR(__xludf.DUMMYFUNCTION("""COMPUTED_VALUE"""),86.0)</f>
        <v>86</v>
      </c>
      <c r="K16" s="1">
        <f>IFERROR(__xludf.DUMMYFUNCTION("""COMPUTED_VALUE"""),60.0)</f>
        <v>60</v>
      </c>
      <c r="L16" s="1">
        <f>IFERROR(__xludf.DUMMYFUNCTION("""COMPUTED_VALUE"""),298.0)</f>
        <v>298</v>
      </c>
      <c r="M16" s="1">
        <f>IFERROR(__xludf.DUMMYFUNCTION("""COMPUTED_VALUE"""),59.6)</f>
        <v>59.6</v>
      </c>
      <c r="N16" s="1">
        <f>IFERROR(__xludf.DUMMYFUNCTION("""COMPUTED_VALUE"""),93.0)</f>
        <v>93</v>
      </c>
      <c r="O16" s="1" t="str">
        <f>IFERROR(__xludf.DUMMYFUNCTION("""COMPUTED_VALUE"""),"Pass")</f>
        <v>Pass</v>
      </c>
    </row>
    <row r="17">
      <c r="A17" s="1" t="str">
        <f>IFERROR(__xludf.DUMMYFUNCTION("""COMPUTED_VALUE"""),"STD-1057")</f>
        <v>STD-1057</v>
      </c>
      <c r="B17" s="1" t="str">
        <f>IFERROR(__xludf.DUMMYFUNCTION("""COMPUTED_VALUE"""),"Vivaan Verma")</f>
        <v>Vivaan Verma</v>
      </c>
      <c r="C17" s="1" t="str">
        <f>IFERROR(__xludf.DUMMYFUNCTION("""COMPUTED_VALUE"""),"Male")</f>
        <v>Male</v>
      </c>
      <c r="D17" s="1" t="str">
        <f>IFERROR(__xludf.DUMMYFUNCTION("""COMPUTED_VALUE"""),"8")</f>
        <v>8</v>
      </c>
      <c r="E17" s="1" t="str">
        <f>IFERROR(__xludf.DUMMYFUNCTION("""COMPUTED_VALUE"""),"C")</f>
        <v>C</v>
      </c>
      <c r="F17" s="1" t="str">
        <f>IFERROR(__xludf.DUMMYFUNCTION("""COMPUTED_VALUE"""),"Mumbai")</f>
        <v>Mumbai</v>
      </c>
      <c r="G17" s="1">
        <f>IFERROR(__xludf.DUMMYFUNCTION("""COMPUTED_VALUE"""),62.0)</f>
        <v>62</v>
      </c>
      <c r="H17" s="1">
        <f>IFERROR(__xludf.DUMMYFUNCTION("""COMPUTED_VALUE"""),50.0)</f>
        <v>50</v>
      </c>
      <c r="I17" s="1">
        <f>IFERROR(__xludf.DUMMYFUNCTION("""COMPUTED_VALUE"""),79.0)</f>
        <v>79</v>
      </c>
      <c r="J17" s="1">
        <f>IFERROR(__xludf.DUMMYFUNCTION("""COMPUTED_VALUE"""),76.0)</f>
        <v>76</v>
      </c>
      <c r="K17" s="1">
        <f>IFERROR(__xludf.DUMMYFUNCTION("""COMPUTED_VALUE"""),52.0)</f>
        <v>52</v>
      </c>
      <c r="L17" s="1">
        <f>IFERROR(__xludf.DUMMYFUNCTION("""COMPUTED_VALUE"""),319.0)</f>
        <v>319</v>
      </c>
      <c r="M17" s="1">
        <f>IFERROR(__xludf.DUMMYFUNCTION("""COMPUTED_VALUE"""),63.8)</f>
        <v>63.8</v>
      </c>
      <c r="N17" s="1">
        <f>IFERROR(__xludf.DUMMYFUNCTION("""COMPUTED_VALUE"""),61.0)</f>
        <v>61</v>
      </c>
      <c r="O17" s="1" t="str">
        <f>IFERROR(__xludf.DUMMYFUNCTION("""COMPUTED_VALUE"""),"Pass")</f>
        <v>Pass</v>
      </c>
    </row>
    <row r="18">
      <c r="A18" s="1" t="str">
        <f>IFERROR(__xludf.DUMMYFUNCTION("""COMPUTED_VALUE"""),"STD-1058")</f>
        <v>STD-1058</v>
      </c>
      <c r="B18" s="1" t="str">
        <f>IFERROR(__xludf.DUMMYFUNCTION("""COMPUTED_VALUE"""),"Sneha Gupta")</f>
        <v>Sneha Gupta</v>
      </c>
      <c r="C18" s="1" t="str">
        <f>IFERROR(__xludf.DUMMYFUNCTION("""COMPUTED_VALUE"""),"Female")</f>
        <v>Female</v>
      </c>
      <c r="D18" s="1" t="str">
        <f>IFERROR(__xludf.DUMMYFUNCTION("""COMPUTED_VALUE"""),"8")</f>
        <v>8</v>
      </c>
      <c r="E18" s="1" t="str">
        <f>IFERROR(__xludf.DUMMYFUNCTION("""COMPUTED_VALUE"""),"B")</f>
        <v>B</v>
      </c>
      <c r="F18" s="1" t="str">
        <f>IFERROR(__xludf.DUMMYFUNCTION("""COMPUTED_VALUE"""),"Patna")</f>
        <v>Patna</v>
      </c>
      <c r="G18" s="1">
        <f>IFERROR(__xludf.DUMMYFUNCTION("""COMPUTED_VALUE"""),76.0)</f>
        <v>76</v>
      </c>
      <c r="H18" s="1">
        <f>IFERROR(__xludf.DUMMYFUNCTION("""COMPUTED_VALUE"""),71.0)</f>
        <v>71</v>
      </c>
      <c r="I18" s="1">
        <f>IFERROR(__xludf.DUMMYFUNCTION("""COMPUTED_VALUE"""),46.0)</f>
        <v>46</v>
      </c>
      <c r="J18" s="1">
        <f>IFERROR(__xludf.DUMMYFUNCTION("""COMPUTED_VALUE"""),47.0)</f>
        <v>47</v>
      </c>
      <c r="K18" s="1">
        <f>IFERROR(__xludf.DUMMYFUNCTION("""COMPUTED_VALUE"""),66.0)</f>
        <v>66</v>
      </c>
      <c r="L18" s="1">
        <f>IFERROR(__xludf.DUMMYFUNCTION("""COMPUTED_VALUE"""),306.0)</f>
        <v>306</v>
      </c>
      <c r="M18" s="1">
        <f>IFERROR(__xludf.DUMMYFUNCTION("""COMPUTED_VALUE"""),61.2)</f>
        <v>61.2</v>
      </c>
      <c r="N18" s="1">
        <f>IFERROR(__xludf.DUMMYFUNCTION("""COMPUTED_VALUE"""),98.0)</f>
        <v>98</v>
      </c>
      <c r="O18" s="1" t="str">
        <f>IFERROR(__xludf.DUMMYFUNCTION("""COMPUTED_VALUE"""),"Pass")</f>
        <v>Pass</v>
      </c>
    </row>
    <row r="19">
      <c r="A19" s="1" t="str">
        <f>IFERROR(__xludf.DUMMYFUNCTION("""COMPUTED_VALUE"""),"STD-1062")</f>
        <v>STD-1062</v>
      </c>
      <c r="B19" s="1" t="str">
        <f>IFERROR(__xludf.DUMMYFUNCTION("""COMPUTED_VALUE"""),"Karan Choudhary")</f>
        <v>Karan Choudhary</v>
      </c>
      <c r="C19" s="1" t="str">
        <f>IFERROR(__xludf.DUMMYFUNCTION("""COMPUTED_VALUE"""),"Female")</f>
        <v>Female</v>
      </c>
      <c r="D19" s="1" t="str">
        <f>IFERROR(__xludf.DUMMYFUNCTION("""COMPUTED_VALUE"""),"8")</f>
        <v>8</v>
      </c>
      <c r="E19" s="1" t="str">
        <f>IFERROR(__xludf.DUMMYFUNCTION("""COMPUTED_VALUE"""),"B")</f>
        <v>B</v>
      </c>
      <c r="F19" s="1" t="str">
        <f>IFERROR(__xludf.DUMMYFUNCTION("""COMPUTED_VALUE"""),"Jaipur")</f>
        <v>Jaipur</v>
      </c>
      <c r="G19" s="1">
        <f>IFERROR(__xludf.DUMMYFUNCTION("""COMPUTED_VALUE"""),85.0)</f>
        <v>85</v>
      </c>
      <c r="H19" s="1">
        <f>IFERROR(__xludf.DUMMYFUNCTION("""COMPUTED_VALUE"""),84.0)</f>
        <v>84</v>
      </c>
      <c r="I19" s="1">
        <f>IFERROR(__xludf.DUMMYFUNCTION("""COMPUTED_VALUE"""),83.0)</f>
        <v>83</v>
      </c>
      <c r="J19" s="1">
        <f>IFERROR(__xludf.DUMMYFUNCTION("""COMPUTED_VALUE"""),98.0)</f>
        <v>98</v>
      </c>
      <c r="K19" s="1">
        <f>IFERROR(__xludf.DUMMYFUNCTION("""COMPUTED_VALUE"""),79.0)</f>
        <v>79</v>
      </c>
      <c r="L19" s="1">
        <f>IFERROR(__xludf.DUMMYFUNCTION("""COMPUTED_VALUE"""),429.0)</f>
        <v>429</v>
      </c>
      <c r="M19" s="1">
        <f>IFERROR(__xludf.DUMMYFUNCTION("""COMPUTED_VALUE"""),85.8)</f>
        <v>85.8</v>
      </c>
      <c r="N19" s="1">
        <f>IFERROR(__xludf.DUMMYFUNCTION("""COMPUTED_VALUE"""),100.0)</f>
        <v>100</v>
      </c>
      <c r="O19" s="1" t="str">
        <f>IFERROR(__xludf.DUMMYFUNCTION("""COMPUTED_VALUE"""),"Pass")</f>
        <v>Pass</v>
      </c>
    </row>
    <row r="20">
      <c r="A20" s="1" t="str">
        <f>IFERROR(__xludf.DUMMYFUNCTION("""COMPUTED_VALUE"""),"STD-1069")</f>
        <v>STD-1069</v>
      </c>
      <c r="B20" s="1" t="str">
        <f>IFERROR(__xludf.DUMMYFUNCTION("""COMPUTED_VALUE"""),"Pooja Kulkarni")</f>
        <v>Pooja Kulkarni</v>
      </c>
      <c r="C20" s="1" t="str">
        <f>IFERROR(__xludf.DUMMYFUNCTION("""COMPUTED_VALUE"""),"Female")</f>
        <v>Female</v>
      </c>
      <c r="D20" s="1" t="str">
        <f>IFERROR(__xludf.DUMMYFUNCTION("""COMPUTED_VALUE"""),"8")</f>
        <v>8</v>
      </c>
      <c r="E20" s="1" t="str">
        <f>IFERROR(__xludf.DUMMYFUNCTION("""COMPUTED_VALUE"""),"A")</f>
        <v>A</v>
      </c>
      <c r="F20" s="1" t="str">
        <f>IFERROR(__xludf.DUMMYFUNCTION("""COMPUTED_VALUE"""),"Patna")</f>
        <v>Patna</v>
      </c>
      <c r="G20" s="1">
        <f>IFERROR(__xludf.DUMMYFUNCTION("""COMPUTED_VALUE"""),82.0)</f>
        <v>82</v>
      </c>
      <c r="H20" s="1">
        <f>IFERROR(__xludf.DUMMYFUNCTION("""COMPUTED_VALUE"""),56.0)</f>
        <v>56</v>
      </c>
      <c r="I20" s="1">
        <f>IFERROR(__xludf.DUMMYFUNCTION("""COMPUTED_VALUE"""),73.0)</f>
        <v>73</v>
      </c>
      <c r="J20" s="1">
        <f>IFERROR(__xludf.DUMMYFUNCTION("""COMPUTED_VALUE"""),80.0)</f>
        <v>80</v>
      </c>
      <c r="K20" s="1">
        <f>IFERROR(__xludf.DUMMYFUNCTION("""COMPUTED_VALUE"""),47.0)</f>
        <v>47</v>
      </c>
      <c r="L20" s="1">
        <f>IFERROR(__xludf.DUMMYFUNCTION("""COMPUTED_VALUE"""),338.0)</f>
        <v>338</v>
      </c>
      <c r="M20" s="1">
        <f>IFERROR(__xludf.DUMMYFUNCTION("""COMPUTED_VALUE"""),67.6)</f>
        <v>67.6</v>
      </c>
      <c r="N20" s="1">
        <f>IFERROR(__xludf.DUMMYFUNCTION("""COMPUTED_VALUE"""),100.0)</f>
        <v>100</v>
      </c>
      <c r="O20" s="1" t="str">
        <f>IFERROR(__xludf.DUMMYFUNCTION("""COMPUTED_VALUE"""),"Pass")</f>
        <v>Pass</v>
      </c>
    </row>
    <row r="21" ht="15.75" customHeight="1">
      <c r="A21" s="1" t="str">
        <f>IFERROR(__xludf.DUMMYFUNCTION("""COMPUTED_VALUE"""),"STD-1079")</f>
        <v>STD-1079</v>
      </c>
      <c r="B21" s="1" t="str">
        <f>IFERROR(__xludf.DUMMYFUNCTION("""COMPUTED_VALUE"""),"Rahul Jain")</f>
        <v>Rahul Jain</v>
      </c>
      <c r="C21" s="1" t="str">
        <f>IFERROR(__xludf.DUMMYFUNCTION("""COMPUTED_VALUE"""),"Male")</f>
        <v>Male</v>
      </c>
      <c r="D21" s="1" t="str">
        <f>IFERROR(__xludf.DUMMYFUNCTION("""COMPUTED_VALUE"""),"8")</f>
        <v>8</v>
      </c>
      <c r="E21" s="1" t="str">
        <f>IFERROR(__xludf.DUMMYFUNCTION("""COMPUTED_VALUE"""),"C")</f>
        <v>C</v>
      </c>
      <c r="F21" s="1" t="str">
        <f>IFERROR(__xludf.DUMMYFUNCTION("""COMPUTED_VALUE"""),"Bhopal")</f>
        <v>Bhopal</v>
      </c>
      <c r="G21" s="1">
        <f>IFERROR(__xludf.DUMMYFUNCTION("""COMPUTED_VALUE"""),59.0)</f>
        <v>59</v>
      </c>
      <c r="H21" s="1">
        <f>IFERROR(__xludf.DUMMYFUNCTION("""COMPUTED_VALUE"""),90.0)</f>
        <v>90</v>
      </c>
      <c r="I21" s="1">
        <f>IFERROR(__xludf.DUMMYFUNCTION("""COMPUTED_VALUE"""),88.0)</f>
        <v>88</v>
      </c>
      <c r="J21" s="1">
        <f>IFERROR(__xludf.DUMMYFUNCTION("""COMPUTED_VALUE"""),40.0)</f>
        <v>40</v>
      </c>
      <c r="K21" s="1">
        <f>IFERROR(__xludf.DUMMYFUNCTION("""COMPUTED_VALUE"""),53.0)</f>
        <v>53</v>
      </c>
      <c r="L21" s="1">
        <f>IFERROR(__xludf.DUMMYFUNCTION("""COMPUTED_VALUE"""),330.0)</f>
        <v>330</v>
      </c>
      <c r="M21" s="1">
        <f>IFERROR(__xludf.DUMMYFUNCTION("""COMPUTED_VALUE"""),66.0)</f>
        <v>66</v>
      </c>
      <c r="N21" s="1">
        <f>IFERROR(__xludf.DUMMYFUNCTION("""COMPUTED_VALUE"""),73.0)</f>
        <v>73</v>
      </c>
      <c r="O21" s="1" t="str">
        <f>IFERROR(__xludf.DUMMYFUNCTION("""COMPUTED_VALUE"""),"Pass")</f>
        <v>Pass</v>
      </c>
    </row>
    <row r="22" ht="15.75" customHeight="1">
      <c r="A22" s="1" t="str">
        <f>IFERROR(__xludf.DUMMYFUNCTION("""COMPUTED_VALUE"""),"STD-1085")</f>
        <v>STD-1085</v>
      </c>
      <c r="B22" s="1" t="str">
        <f>IFERROR(__xludf.DUMMYFUNCTION("""COMPUTED_VALUE"""),"Rohan Kulkarni")</f>
        <v>Rohan Kulkarni</v>
      </c>
      <c r="C22" s="1" t="str">
        <f>IFERROR(__xludf.DUMMYFUNCTION("""COMPUTED_VALUE"""),"Male")</f>
        <v>Male</v>
      </c>
      <c r="D22" s="1" t="str">
        <f>IFERROR(__xludf.DUMMYFUNCTION("""COMPUTED_VALUE"""),"8")</f>
        <v>8</v>
      </c>
      <c r="E22" s="1" t="str">
        <f>IFERROR(__xludf.DUMMYFUNCTION("""COMPUTED_VALUE"""),"B")</f>
        <v>B</v>
      </c>
      <c r="F22" s="1" t="str">
        <f>IFERROR(__xludf.DUMMYFUNCTION("""COMPUTED_VALUE"""),"Mumbai")</f>
        <v>Mumbai</v>
      </c>
      <c r="G22" s="1">
        <f>IFERROR(__xludf.DUMMYFUNCTION("""COMPUTED_VALUE"""),63.0)</f>
        <v>63</v>
      </c>
      <c r="H22" s="1">
        <f>IFERROR(__xludf.DUMMYFUNCTION("""COMPUTED_VALUE"""),100.0)</f>
        <v>100</v>
      </c>
      <c r="I22" s="1">
        <f>IFERROR(__xludf.DUMMYFUNCTION("""COMPUTED_VALUE"""),40.0)</f>
        <v>40</v>
      </c>
      <c r="J22" s="1">
        <f>IFERROR(__xludf.DUMMYFUNCTION("""COMPUTED_VALUE"""),46.0)</f>
        <v>46</v>
      </c>
      <c r="K22" s="1">
        <f>IFERROR(__xludf.DUMMYFUNCTION("""COMPUTED_VALUE"""),49.0)</f>
        <v>49</v>
      </c>
      <c r="L22" s="1">
        <f>IFERROR(__xludf.DUMMYFUNCTION("""COMPUTED_VALUE"""),298.0)</f>
        <v>298</v>
      </c>
      <c r="M22" s="1">
        <f>IFERROR(__xludf.DUMMYFUNCTION("""COMPUTED_VALUE"""),59.6)</f>
        <v>59.6</v>
      </c>
      <c r="N22" s="1">
        <f>IFERROR(__xludf.DUMMYFUNCTION("""COMPUTED_VALUE"""),99.0)</f>
        <v>99</v>
      </c>
      <c r="O22" s="1" t="str">
        <f>IFERROR(__xludf.DUMMYFUNCTION("""COMPUTED_VALUE"""),"Pass")</f>
        <v>Pass</v>
      </c>
    </row>
    <row r="23" ht="15.75" customHeight="1">
      <c r="A23" s="1" t="str">
        <f>IFERROR(__xludf.DUMMYFUNCTION("""COMPUTED_VALUE"""),"STD-1092")</f>
        <v>STD-1092</v>
      </c>
      <c r="B23" s="1" t="str">
        <f>IFERROR(__xludf.DUMMYFUNCTION("""COMPUTED_VALUE"""),"Priya Jain")</f>
        <v>Priya Jain</v>
      </c>
      <c r="C23" s="1" t="str">
        <f>IFERROR(__xludf.DUMMYFUNCTION("""COMPUTED_VALUE"""),"Male")</f>
        <v>Male</v>
      </c>
      <c r="D23" s="1" t="str">
        <f>IFERROR(__xludf.DUMMYFUNCTION("""COMPUTED_VALUE"""),"8")</f>
        <v>8</v>
      </c>
      <c r="E23" s="1" t="str">
        <f>IFERROR(__xludf.DUMMYFUNCTION("""COMPUTED_VALUE"""),"C")</f>
        <v>C</v>
      </c>
      <c r="F23" s="1" t="str">
        <f>IFERROR(__xludf.DUMMYFUNCTION("""COMPUTED_VALUE"""),"Patna")</f>
        <v>Patna</v>
      </c>
      <c r="G23" s="1">
        <f>IFERROR(__xludf.DUMMYFUNCTION("""COMPUTED_VALUE"""),53.0)</f>
        <v>53</v>
      </c>
      <c r="H23" s="1">
        <f>IFERROR(__xludf.DUMMYFUNCTION("""COMPUTED_VALUE"""),90.0)</f>
        <v>90</v>
      </c>
      <c r="I23" s="1">
        <f>IFERROR(__xludf.DUMMYFUNCTION("""COMPUTED_VALUE"""),53.0)</f>
        <v>53</v>
      </c>
      <c r="J23" s="1">
        <f>IFERROR(__xludf.DUMMYFUNCTION("""COMPUTED_VALUE"""),63.0)</f>
        <v>63</v>
      </c>
      <c r="K23" s="1">
        <f>IFERROR(__xludf.DUMMYFUNCTION("""COMPUTED_VALUE"""),40.0)</f>
        <v>40</v>
      </c>
      <c r="L23" s="1">
        <f>IFERROR(__xludf.DUMMYFUNCTION("""COMPUTED_VALUE"""),299.0)</f>
        <v>299</v>
      </c>
      <c r="M23" s="1">
        <f>IFERROR(__xludf.DUMMYFUNCTION("""COMPUTED_VALUE"""),59.8)</f>
        <v>59.8</v>
      </c>
      <c r="N23" s="1">
        <f>IFERROR(__xludf.DUMMYFUNCTION("""COMPUTED_VALUE"""),85.0)</f>
        <v>85</v>
      </c>
      <c r="O23" s="1" t="str">
        <f>IFERROR(__xludf.DUMMYFUNCTION("""COMPUTED_VALUE"""),"Pass")</f>
        <v>Pass</v>
      </c>
    </row>
    <row r="24" ht="15.75" customHeight="1">
      <c r="A24" s="1" t="str">
        <f>IFERROR(__xludf.DUMMYFUNCTION("""COMPUTED_VALUE"""),"STD-1100")</f>
        <v>STD-1100</v>
      </c>
      <c r="B24" s="1" t="str">
        <f>IFERROR(__xludf.DUMMYFUNCTION("""COMPUTED_VALUE"""),"Tanvi Choudhary")</f>
        <v>Tanvi Choudhary</v>
      </c>
      <c r="C24" s="1" t="str">
        <f>IFERROR(__xludf.DUMMYFUNCTION("""COMPUTED_VALUE"""),"Male")</f>
        <v>Male</v>
      </c>
      <c r="D24" s="1" t="str">
        <f>IFERROR(__xludf.DUMMYFUNCTION("""COMPUTED_VALUE"""),"8")</f>
        <v>8</v>
      </c>
      <c r="E24" s="1" t="str">
        <f>IFERROR(__xludf.DUMMYFUNCTION("""COMPUTED_VALUE"""),"C")</f>
        <v>C</v>
      </c>
      <c r="F24" s="1" t="str">
        <f>IFERROR(__xludf.DUMMYFUNCTION("""COMPUTED_VALUE"""),"Kolkata")</f>
        <v>Kolkata</v>
      </c>
      <c r="G24" s="1">
        <f>IFERROR(__xludf.DUMMYFUNCTION("""COMPUTED_VALUE"""),75.0)</f>
        <v>75</v>
      </c>
      <c r="H24" s="1">
        <f>IFERROR(__xludf.DUMMYFUNCTION("""COMPUTED_VALUE"""),86.0)</f>
        <v>86</v>
      </c>
      <c r="I24" s="1">
        <f>IFERROR(__xludf.DUMMYFUNCTION("""COMPUTED_VALUE"""),70.0)</f>
        <v>70</v>
      </c>
      <c r="J24" s="1">
        <f>IFERROR(__xludf.DUMMYFUNCTION("""COMPUTED_VALUE"""),54.0)</f>
        <v>54</v>
      </c>
      <c r="K24" s="1">
        <f>IFERROR(__xludf.DUMMYFUNCTION("""COMPUTED_VALUE"""),54.0)</f>
        <v>54</v>
      </c>
      <c r="L24" s="1">
        <f>IFERROR(__xludf.DUMMYFUNCTION("""COMPUTED_VALUE"""),339.0)</f>
        <v>339</v>
      </c>
      <c r="M24" s="1">
        <f>IFERROR(__xludf.DUMMYFUNCTION("""COMPUTED_VALUE"""),67.8)</f>
        <v>67.8</v>
      </c>
      <c r="N24" s="1">
        <f>IFERROR(__xludf.DUMMYFUNCTION("""COMPUTED_VALUE"""),72.0)</f>
        <v>72</v>
      </c>
      <c r="O24" s="1" t="str">
        <f>IFERROR(__xludf.DUMMYFUNCTION("""COMPUTED_VALUE"""),"Pass")</f>
        <v>Pass</v>
      </c>
    </row>
    <row r="25" ht="15.75" customHeight="1">
      <c r="A25" s="1" t="str">
        <f>IFERROR(__xludf.DUMMYFUNCTION("""COMPUTED_VALUE"""),"STD-1109")</f>
        <v>STD-1109</v>
      </c>
      <c r="B25" s="1" t="str">
        <f>IFERROR(__xludf.DUMMYFUNCTION("""COMPUTED_VALUE"""),"Rahul Kulkarni")</f>
        <v>Rahul Kulkarni</v>
      </c>
      <c r="C25" s="1" t="str">
        <f>IFERROR(__xludf.DUMMYFUNCTION("""COMPUTED_VALUE"""),"Female")</f>
        <v>Female</v>
      </c>
      <c r="D25" s="1" t="str">
        <f>IFERROR(__xludf.DUMMYFUNCTION("""COMPUTED_VALUE"""),"8")</f>
        <v>8</v>
      </c>
      <c r="E25" s="1" t="str">
        <f>IFERROR(__xludf.DUMMYFUNCTION("""COMPUTED_VALUE"""),"A")</f>
        <v>A</v>
      </c>
      <c r="F25" s="1" t="str">
        <f>IFERROR(__xludf.DUMMYFUNCTION("""COMPUTED_VALUE"""),"Mumbai")</f>
        <v>Mumbai</v>
      </c>
      <c r="G25" s="1">
        <f>IFERROR(__xludf.DUMMYFUNCTION("""COMPUTED_VALUE"""),62.0)</f>
        <v>62</v>
      </c>
      <c r="H25" s="1">
        <f>IFERROR(__xludf.DUMMYFUNCTION("""COMPUTED_VALUE"""),87.0)</f>
        <v>87</v>
      </c>
      <c r="I25" s="1">
        <f>IFERROR(__xludf.DUMMYFUNCTION("""COMPUTED_VALUE"""),62.0)</f>
        <v>62</v>
      </c>
      <c r="J25" s="1">
        <f>IFERROR(__xludf.DUMMYFUNCTION("""COMPUTED_VALUE"""),73.0)</f>
        <v>73</v>
      </c>
      <c r="K25" s="1">
        <f>IFERROR(__xludf.DUMMYFUNCTION("""COMPUTED_VALUE"""),90.0)</f>
        <v>90</v>
      </c>
      <c r="L25" s="1">
        <f>IFERROR(__xludf.DUMMYFUNCTION("""COMPUTED_VALUE"""),374.0)</f>
        <v>374</v>
      </c>
      <c r="M25" s="1">
        <f>IFERROR(__xludf.DUMMYFUNCTION("""COMPUTED_VALUE"""),74.8)</f>
        <v>74.8</v>
      </c>
      <c r="N25" s="1">
        <f>IFERROR(__xludf.DUMMYFUNCTION("""COMPUTED_VALUE"""),83.0)</f>
        <v>83</v>
      </c>
      <c r="O25" s="1" t="str">
        <f>IFERROR(__xludf.DUMMYFUNCTION("""COMPUTED_VALUE"""),"Pass")</f>
        <v>Pass</v>
      </c>
    </row>
    <row r="26" ht="15.75" customHeight="1">
      <c r="A26" s="1" t="str">
        <f>IFERROR(__xludf.DUMMYFUNCTION("""COMPUTED_VALUE"""),"STD-1112")</f>
        <v>STD-1112</v>
      </c>
      <c r="B26" s="1" t="str">
        <f>IFERROR(__xludf.DUMMYFUNCTION("""COMPUTED_VALUE"""),"Meera Yadav")</f>
        <v>Meera Yadav</v>
      </c>
      <c r="C26" s="1" t="str">
        <f>IFERROR(__xludf.DUMMYFUNCTION("""COMPUTED_VALUE"""),"Male")</f>
        <v>Male</v>
      </c>
      <c r="D26" s="1" t="str">
        <f>IFERROR(__xludf.DUMMYFUNCTION("""COMPUTED_VALUE"""),"8")</f>
        <v>8</v>
      </c>
      <c r="E26" s="1" t="str">
        <f>IFERROR(__xludf.DUMMYFUNCTION("""COMPUTED_VALUE"""),"A")</f>
        <v>A</v>
      </c>
      <c r="F26" s="1" t="str">
        <f>IFERROR(__xludf.DUMMYFUNCTION("""COMPUTED_VALUE"""),"Patna")</f>
        <v>Patna</v>
      </c>
      <c r="G26" s="1">
        <f>IFERROR(__xludf.DUMMYFUNCTION("""COMPUTED_VALUE"""),83.0)</f>
        <v>83</v>
      </c>
      <c r="H26" s="1">
        <f>IFERROR(__xludf.DUMMYFUNCTION("""COMPUTED_VALUE"""),42.0)</f>
        <v>42</v>
      </c>
      <c r="I26" s="1">
        <f>IFERROR(__xludf.DUMMYFUNCTION("""COMPUTED_VALUE"""),62.0)</f>
        <v>62</v>
      </c>
      <c r="J26" s="1">
        <f>IFERROR(__xludf.DUMMYFUNCTION("""COMPUTED_VALUE"""),42.0)</f>
        <v>42</v>
      </c>
      <c r="K26" s="1">
        <f>IFERROR(__xludf.DUMMYFUNCTION("""COMPUTED_VALUE"""),50.0)</f>
        <v>50</v>
      </c>
      <c r="L26" s="1">
        <f>IFERROR(__xludf.DUMMYFUNCTION("""COMPUTED_VALUE"""),279.0)</f>
        <v>279</v>
      </c>
      <c r="M26" s="1">
        <f>IFERROR(__xludf.DUMMYFUNCTION("""COMPUTED_VALUE"""),55.8)</f>
        <v>55.8</v>
      </c>
      <c r="N26" s="1">
        <f>IFERROR(__xludf.DUMMYFUNCTION("""COMPUTED_VALUE"""),78.0)</f>
        <v>78</v>
      </c>
      <c r="O26" s="1" t="str">
        <f>IFERROR(__xludf.DUMMYFUNCTION("""COMPUTED_VALUE"""),"Pass")</f>
        <v>Pass</v>
      </c>
    </row>
    <row r="27" ht="15.75" customHeight="1">
      <c r="A27" s="1" t="str">
        <f>IFERROR(__xludf.DUMMYFUNCTION("""COMPUTED_VALUE"""),"STD-1125")</f>
        <v>STD-1125</v>
      </c>
      <c r="B27" s="1" t="str">
        <f>IFERROR(__xludf.DUMMYFUNCTION("""COMPUTED_VALUE"""),"Meera Nair")</f>
        <v>Meera Nair</v>
      </c>
      <c r="C27" s="1" t="str">
        <f>IFERROR(__xludf.DUMMYFUNCTION("""COMPUTED_VALUE"""),"Male")</f>
        <v>Male</v>
      </c>
      <c r="D27" s="1" t="str">
        <f>IFERROR(__xludf.DUMMYFUNCTION("""COMPUTED_VALUE"""),"8")</f>
        <v>8</v>
      </c>
      <c r="E27" s="1" t="str">
        <f>IFERROR(__xludf.DUMMYFUNCTION("""COMPUTED_VALUE"""),"A")</f>
        <v>A</v>
      </c>
      <c r="F27" s="1" t="str">
        <f>IFERROR(__xludf.DUMMYFUNCTION("""COMPUTED_VALUE"""),"Lucknow")</f>
        <v>Lucknow</v>
      </c>
      <c r="G27" s="1">
        <f>IFERROR(__xludf.DUMMYFUNCTION("""COMPUTED_VALUE"""),63.0)</f>
        <v>63</v>
      </c>
      <c r="H27" s="1">
        <f>IFERROR(__xludf.DUMMYFUNCTION("""COMPUTED_VALUE"""),48.0)</f>
        <v>48</v>
      </c>
      <c r="I27" s="1">
        <f>IFERROR(__xludf.DUMMYFUNCTION("""COMPUTED_VALUE"""),47.0)</f>
        <v>47</v>
      </c>
      <c r="J27" s="1">
        <f>IFERROR(__xludf.DUMMYFUNCTION("""COMPUTED_VALUE"""),68.0)</f>
        <v>68</v>
      </c>
      <c r="K27" s="1">
        <f>IFERROR(__xludf.DUMMYFUNCTION("""COMPUTED_VALUE"""),57.0)</f>
        <v>57</v>
      </c>
      <c r="L27" s="1">
        <f>IFERROR(__xludf.DUMMYFUNCTION("""COMPUTED_VALUE"""),283.0)</f>
        <v>283</v>
      </c>
      <c r="M27" s="1">
        <f>IFERROR(__xludf.DUMMYFUNCTION("""COMPUTED_VALUE"""),56.6)</f>
        <v>56.6</v>
      </c>
      <c r="N27" s="1">
        <f>IFERROR(__xludf.DUMMYFUNCTION("""COMPUTED_VALUE"""),82.0)</f>
        <v>82</v>
      </c>
      <c r="O27" s="1" t="str">
        <f>IFERROR(__xludf.DUMMYFUNCTION("""COMPUTED_VALUE"""),"Pass")</f>
        <v>Pass</v>
      </c>
    </row>
    <row r="28" ht="15.75" customHeight="1">
      <c r="A28" s="1" t="str">
        <f>IFERROR(__xludf.DUMMYFUNCTION("""COMPUTED_VALUE"""),"STD-1127")</f>
        <v>STD-1127</v>
      </c>
      <c r="B28" s="1" t="str">
        <f>IFERROR(__xludf.DUMMYFUNCTION("""COMPUTED_VALUE"""),"Rohan Iyer")</f>
        <v>Rohan Iyer</v>
      </c>
      <c r="C28" s="1" t="str">
        <f>IFERROR(__xludf.DUMMYFUNCTION("""COMPUTED_VALUE"""),"Female")</f>
        <v>Female</v>
      </c>
      <c r="D28" s="1" t="str">
        <f>IFERROR(__xludf.DUMMYFUNCTION("""COMPUTED_VALUE"""),"8")</f>
        <v>8</v>
      </c>
      <c r="E28" s="1" t="str">
        <f>IFERROR(__xludf.DUMMYFUNCTION("""COMPUTED_VALUE"""),"B")</f>
        <v>B</v>
      </c>
      <c r="F28" s="1" t="str">
        <f>IFERROR(__xludf.DUMMYFUNCTION("""COMPUTED_VALUE"""),"Bhopal")</f>
        <v>Bhopal</v>
      </c>
      <c r="G28" s="1">
        <f>IFERROR(__xludf.DUMMYFUNCTION("""COMPUTED_VALUE"""),46.0)</f>
        <v>46</v>
      </c>
      <c r="H28" s="1">
        <f>IFERROR(__xludf.DUMMYFUNCTION("""COMPUTED_VALUE"""),59.0)</f>
        <v>59</v>
      </c>
      <c r="I28" s="1">
        <f>IFERROR(__xludf.DUMMYFUNCTION("""COMPUTED_VALUE"""),44.0)</f>
        <v>44</v>
      </c>
      <c r="J28" s="1">
        <f>IFERROR(__xludf.DUMMYFUNCTION("""COMPUTED_VALUE"""),44.0)</f>
        <v>44</v>
      </c>
      <c r="K28" s="1">
        <f>IFERROR(__xludf.DUMMYFUNCTION("""COMPUTED_VALUE"""),77.0)</f>
        <v>77</v>
      </c>
      <c r="L28" s="1">
        <f>IFERROR(__xludf.DUMMYFUNCTION("""COMPUTED_VALUE"""),270.0)</f>
        <v>270</v>
      </c>
      <c r="M28" s="1">
        <f>IFERROR(__xludf.DUMMYFUNCTION("""COMPUTED_VALUE"""),54.0)</f>
        <v>54</v>
      </c>
      <c r="N28" s="1">
        <f>IFERROR(__xludf.DUMMYFUNCTION("""COMPUTED_VALUE"""),96.0)</f>
        <v>96</v>
      </c>
      <c r="O28" s="1" t="str">
        <f>IFERROR(__xludf.DUMMYFUNCTION("""COMPUTED_VALUE"""),"Pass")</f>
        <v>Pass</v>
      </c>
    </row>
    <row r="29" ht="15.75" customHeight="1">
      <c r="A29" s="1" t="str">
        <f>IFERROR(__xludf.DUMMYFUNCTION("""COMPUTED_VALUE"""),"STD-1148")</f>
        <v>STD-1148</v>
      </c>
      <c r="B29" s="1" t="str">
        <f>IFERROR(__xludf.DUMMYFUNCTION("""COMPUTED_VALUE"""),"Kavya Choudhary")</f>
        <v>Kavya Choudhary</v>
      </c>
      <c r="C29" s="1" t="str">
        <f>IFERROR(__xludf.DUMMYFUNCTION("""COMPUTED_VALUE"""),"Male")</f>
        <v>Male</v>
      </c>
      <c r="D29" s="1" t="str">
        <f>IFERROR(__xludf.DUMMYFUNCTION("""COMPUTED_VALUE"""),"8")</f>
        <v>8</v>
      </c>
      <c r="E29" s="1" t="str">
        <f>IFERROR(__xludf.DUMMYFUNCTION("""COMPUTED_VALUE"""),"B")</f>
        <v>B</v>
      </c>
      <c r="F29" s="1" t="str">
        <f>IFERROR(__xludf.DUMMYFUNCTION("""COMPUTED_VALUE"""),"Jaipur")</f>
        <v>Jaipur</v>
      </c>
      <c r="G29" s="1">
        <f>IFERROR(__xludf.DUMMYFUNCTION("""COMPUTED_VALUE"""),98.0)</f>
        <v>98</v>
      </c>
      <c r="H29" s="1">
        <f>IFERROR(__xludf.DUMMYFUNCTION("""COMPUTED_VALUE"""),68.0)</f>
        <v>68</v>
      </c>
      <c r="I29" s="1">
        <f>IFERROR(__xludf.DUMMYFUNCTION("""COMPUTED_VALUE"""),53.0)</f>
        <v>53</v>
      </c>
      <c r="J29" s="1">
        <f>IFERROR(__xludf.DUMMYFUNCTION("""COMPUTED_VALUE"""),95.0)</f>
        <v>95</v>
      </c>
      <c r="K29" s="1">
        <f>IFERROR(__xludf.DUMMYFUNCTION("""COMPUTED_VALUE"""),68.0)</f>
        <v>68</v>
      </c>
      <c r="L29" s="1">
        <f>IFERROR(__xludf.DUMMYFUNCTION("""COMPUTED_VALUE"""),382.0)</f>
        <v>382</v>
      </c>
      <c r="M29" s="1">
        <f>IFERROR(__xludf.DUMMYFUNCTION("""COMPUTED_VALUE"""),76.4)</f>
        <v>76.4</v>
      </c>
      <c r="N29" s="1">
        <f>IFERROR(__xludf.DUMMYFUNCTION("""COMPUTED_VALUE"""),81.0)</f>
        <v>81</v>
      </c>
      <c r="O29" s="1" t="str">
        <f>IFERROR(__xludf.DUMMYFUNCTION("""COMPUTED_VALUE"""),"Pass")</f>
        <v>Pass</v>
      </c>
    </row>
    <row r="30" ht="15.75" customHeight="1">
      <c r="A30" s="1" t="str">
        <f>IFERROR(__xludf.DUMMYFUNCTION("""COMPUTED_VALUE"""),"STD-1153")</f>
        <v>STD-1153</v>
      </c>
      <c r="B30" s="1" t="str">
        <f>IFERROR(__xludf.DUMMYFUNCTION("""COMPUTED_VALUE"""),"Neha Kaur")</f>
        <v>Neha Kaur</v>
      </c>
      <c r="C30" s="1" t="str">
        <f>IFERROR(__xludf.DUMMYFUNCTION("""COMPUTED_VALUE"""),"Female")</f>
        <v>Female</v>
      </c>
      <c r="D30" s="1" t="str">
        <f>IFERROR(__xludf.DUMMYFUNCTION("""COMPUTED_VALUE"""),"8")</f>
        <v>8</v>
      </c>
      <c r="E30" s="1" t="str">
        <f>IFERROR(__xludf.DUMMYFUNCTION("""COMPUTED_VALUE"""),"A")</f>
        <v>A</v>
      </c>
      <c r="F30" s="1" t="str">
        <f>IFERROR(__xludf.DUMMYFUNCTION("""COMPUTED_VALUE"""),"Kolkata")</f>
        <v>Kolkata</v>
      </c>
      <c r="G30" s="1">
        <f>IFERROR(__xludf.DUMMYFUNCTION("""COMPUTED_VALUE"""),92.0)</f>
        <v>92</v>
      </c>
      <c r="H30" s="1">
        <f>IFERROR(__xludf.DUMMYFUNCTION("""COMPUTED_VALUE"""),81.0)</f>
        <v>81</v>
      </c>
      <c r="I30" s="1">
        <f>IFERROR(__xludf.DUMMYFUNCTION("""COMPUTED_VALUE"""),54.0)</f>
        <v>54</v>
      </c>
      <c r="J30" s="1">
        <f>IFERROR(__xludf.DUMMYFUNCTION("""COMPUTED_VALUE"""),46.0)</f>
        <v>46</v>
      </c>
      <c r="K30" s="1">
        <f>IFERROR(__xludf.DUMMYFUNCTION("""COMPUTED_VALUE"""),62.0)</f>
        <v>62</v>
      </c>
      <c r="L30" s="1">
        <f>IFERROR(__xludf.DUMMYFUNCTION("""COMPUTED_VALUE"""),335.0)</f>
        <v>335</v>
      </c>
      <c r="M30" s="1">
        <f>IFERROR(__xludf.DUMMYFUNCTION("""COMPUTED_VALUE"""),67.0)</f>
        <v>67</v>
      </c>
      <c r="N30" s="1">
        <f>IFERROR(__xludf.DUMMYFUNCTION("""COMPUTED_VALUE"""),72.0)</f>
        <v>72</v>
      </c>
      <c r="O30" s="1" t="str">
        <f>IFERROR(__xludf.DUMMYFUNCTION("""COMPUTED_VALUE"""),"Pass")</f>
        <v>Pass</v>
      </c>
    </row>
    <row r="31" ht="15.75" customHeight="1">
      <c r="A31" s="1" t="str">
        <f>IFERROR(__xludf.DUMMYFUNCTION("""COMPUTED_VALUE"""),"STD-1157")</f>
        <v>STD-1157</v>
      </c>
      <c r="B31" s="1" t="str">
        <f>IFERROR(__xludf.DUMMYFUNCTION("""COMPUTED_VALUE"""),"Aarav Iyer")</f>
        <v>Aarav Iyer</v>
      </c>
      <c r="C31" s="1" t="str">
        <f>IFERROR(__xludf.DUMMYFUNCTION("""COMPUTED_VALUE"""),"Female")</f>
        <v>Female</v>
      </c>
      <c r="D31" s="1" t="str">
        <f>IFERROR(__xludf.DUMMYFUNCTION("""COMPUTED_VALUE"""),"8")</f>
        <v>8</v>
      </c>
      <c r="E31" s="1" t="str">
        <f>IFERROR(__xludf.DUMMYFUNCTION("""COMPUTED_VALUE"""),"B")</f>
        <v>B</v>
      </c>
      <c r="F31" s="1" t="str">
        <f>IFERROR(__xludf.DUMMYFUNCTION("""COMPUTED_VALUE"""),"Chandigarh")</f>
        <v>Chandigarh</v>
      </c>
      <c r="G31" s="1">
        <f>IFERROR(__xludf.DUMMYFUNCTION("""COMPUTED_VALUE"""),50.0)</f>
        <v>50</v>
      </c>
      <c r="H31" s="1">
        <f>IFERROR(__xludf.DUMMYFUNCTION("""COMPUTED_VALUE"""),64.0)</f>
        <v>64</v>
      </c>
      <c r="I31" s="1">
        <f>IFERROR(__xludf.DUMMYFUNCTION("""COMPUTED_VALUE"""),59.0)</f>
        <v>59</v>
      </c>
      <c r="J31" s="1">
        <f>IFERROR(__xludf.DUMMYFUNCTION("""COMPUTED_VALUE"""),86.0)</f>
        <v>86</v>
      </c>
      <c r="K31" s="1">
        <f>IFERROR(__xludf.DUMMYFUNCTION("""COMPUTED_VALUE"""),52.0)</f>
        <v>52</v>
      </c>
      <c r="L31" s="1">
        <f>IFERROR(__xludf.DUMMYFUNCTION("""COMPUTED_VALUE"""),311.0)</f>
        <v>311</v>
      </c>
      <c r="M31" s="1">
        <f>IFERROR(__xludf.DUMMYFUNCTION("""COMPUTED_VALUE"""),62.2)</f>
        <v>62.2</v>
      </c>
      <c r="N31" s="1">
        <f>IFERROR(__xludf.DUMMYFUNCTION("""COMPUTED_VALUE"""),69.0)</f>
        <v>69</v>
      </c>
      <c r="O31" s="1" t="str">
        <f>IFERROR(__xludf.DUMMYFUNCTION("""COMPUTED_VALUE"""),"Pass")</f>
        <v>Pass</v>
      </c>
    </row>
    <row r="32" ht="15.75" customHeight="1">
      <c r="A32" s="1" t="str">
        <f>IFERROR(__xludf.DUMMYFUNCTION("""COMPUTED_VALUE"""),"STD-1159")</f>
        <v>STD-1159</v>
      </c>
      <c r="B32" s="1" t="str">
        <f>IFERROR(__xludf.DUMMYFUNCTION("""COMPUTED_VALUE"""),"Karan Kaur")</f>
        <v>Karan Kaur</v>
      </c>
      <c r="C32" s="1" t="str">
        <f>IFERROR(__xludf.DUMMYFUNCTION("""COMPUTED_VALUE"""),"Female")</f>
        <v>Female</v>
      </c>
      <c r="D32" s="1" t="str">
        <f>IFERROR(__xludf.DUMMYFUNCTION("""COMPUTED_VALUE"""),"8")</f>
        <v>8</v>
      </c>
      <c r="E32" s="1" t="str">
        <f>IFERROR(__xludf.DUMMYFUNCTION("""COMPUTED_VALUE"""),"B")</f>
        <v>B</v>
      </c>
      <c r="F32" s="1" t="str">
        <f>IFERROR(__xludf.DUMMYFUNCTION("""COMPUTED_VALUE"""),"Kolkata")</f>
        <v>Kolkata</v>
      </c>
      <c r="G32" s="1">
        <f>IFERROR(__xludf.DUMMYFUNCTION("""COMPUTED_VALUE"""),95.0)</f>
        <v>95</v>
      </c>
      <c r="H32" s="1">
        <f>IFERROR(__xludf.DUMMYFUNCTION("""COMPUTED_VALUE"""),41.0)</f>
        <v>41</v>
      </c>
      <c r="I32" s="1">
        <f>IFERROR(__xludf.DUMMYFUNCTION("""COMPUTED_VALUE"""),49.0)</f>
        <v>49</v>
      </c>
      <c r="J32" s="1">
        <f>IFERROR(__xludf.DUMMYFUNCTION("""COMPUTED_VALUE"""),48.0)</f>
        <v>48</v>
      </c>
      <c r="K32" s="1">
        <f>IFERROR(__xludf.DUMMYFUNCTION("""COMPUTED_VALUE"""),51.0)</f>
        <v>51</v>
      </c>
      <c r="L32" s="1">
        <f>IFERROR(__xludf.DUMMYFUNCTION("""COMPUTED_VALUE"""),284.0)</f>
        <v>284</v>
      </c>
      <c r="M32" s="1">
        <f>IFERROR(__xludf.DUMMYFUNCTION("""COMPUTED_VALUE"""),56.8)</f>
        <v>56.8</v>
      </c>
      <c r="N32" s="1">
        <f>IFERROR(__xludf.DUMMYFUNCTION("""COMPUTED_VALUE"""),85.0)</f>
        <v>85</v>
      </c>
      <c r="O32" s="1" t="str">
        <f>IFERROR(__xludf.DUMMYFUNCTION("""COMPUTED_VALUE"""),"Pass")</f>
        <v>Pass</v>
      </c>
    </row>
    <row r="33" ht="15.75" customHeight="1">
      <c r="A33" s="1" t="str">
        <f>IFERROR(__xludf.DUMMYFUNCTION("""COMPUTED_VALUE"""),"STD-1163")</f>
        <v>STD-1163</v>
      </c>
      <c r="B33" s="1" t="str">
        <f>IFERROR(__xludf.DUMMYFUNCTION("""COMPUTED_VALUE"""),"Kavya Jain")</f>
        <v>Kavya Jain</v>
      </c>
      <c r="C33" s="1" t="str">
        <f>IFERROR(__xludf.DUMMYFUNCTION("""COMPUTED_VALUE"""),"Male")</f>
        <v>Male</v>
      </c>
      <c r="D33" s="1" t="str">
        <f>IFERROR(__xludf.DUMMYFUNCTION("""COMPUTED_VALUE"""),"8")</f>
        <v>8</v>
      </c>
      <c r="E33" s="1" t="str">
        <f>IFERROR(__xludf.DUMMYFUNCTION("""COMPUTED_VALUE"""),"B")</f>
        <v>B</v>
      </c>
      <c r="F33" s="1" t="str">
        <f>IFERROR(__xludf.DUMMYFUNCTION("""COMPUTED_VALUE"""),"Mumbai")</f>
        <v>Mumbai</v>
      </c>
      <c r="G33" s="1">
        <f>IFERROR(__xludf.DUMMYFUNCTION("""COMPUTED_VALUE"""),77.0)</f>
        <v>77</v>
      </c>
      <c r="H33" s="1">
        <f>IFERROR(__xludf.DUMMYFUNCTION("""COMPUTED_VALUE"""),70.0)</f>
        <v>70</v>
      </c>
      <c r="I33" s="1">
        <f>IFERROR(__xludf.DUMMYFUNCTION("""COMPUTED_VALUE"""),51.0)</f>
        <v>51</v>
      </c>
      <c r="J33" s="1">
        <f>IFERROR(__xludf.DUMMYFUNCTION("""COMPUTED_VALUE"""),90.0)</f>
        <v>90</v>
      </c>
      <c r="K33" s="1">
        <f>IFERROR(__xludf.DUMMYFUNCTION("""COMPUTED_VALUE"""),61.0)</f>
        <v>61</v>
      </c>
      <c r="L33" s="1">
        <f>IFERROR(__xludf.DUMMYFUNCTION("""COMPUTED_VALUE"""),349.0)</f>
        <v>349</v>
      </c>
      <c r="M33" s="1">
        <f>IFERROR(__xludf.DUMMYFUNCTION("""COMPUTED_VALUE"""),69.8)</f>
        <v>69.8</v>
      </c>
      <c r="N33" s="1">
        <f>IFERROR(__xludf.DUMMYFUNCTION("""COMPUTED_VALUE"""),63.0)</f>
        <v>63</v>
      </c>
      <c r="O33" s="1" t="str">
        <f>IFERROR(__xludf.DUMMYFUNCTION("""COMPUTED_VALUE"""),"Pass")</f>
        <v>Pass</v>
      </c>
    </row>
    <row r="34" ht="15.75" customHeight="1">
      <c r="A34" s="1" t="str">
        <f>IFERROR(__xludf.DUMMYFUNCTION("""COMPUTED_VALUE"""),"STD-1165")</f>
        <v>STD-1165</v>
      </c>
      <c r="B34" s="1" t="str">
        <f>IFERROR(__xludf.DUMMYFUNCTION("""COMPUTED_VALUE"""),"Sneha Sharma")</f>
        <v>Sneha Sharma</v>
      </c>
      <c r="C34" s="1" t="str">
        <f>IFERROR(__xludf.DUMMYFUNCTION("""COMPUTED_VALUE"""),"Male")</f>
        <v>Male</v>
      </c>
      <c r="D34" s="1" t="str">
        <f>IFERROR(__xludf.DUMMYFUNCTION("""COMPUTED_VALUE"""),"8")</f>
        <v>8</v>
      </c>
      <c r="E34" s="1" t="str">
        <f>IFERROR(__xludf.DUMMYFUNCTION("""COMPUTED_VALUE"""),"C")</f>
        <v>C</v>
      </c>
      <c r="F34" s="1" t="str">
        <f>IFERROR(__xludf.DUMMYFUNCTION("""COMPUTED_VALUE"""),"Chandigarh")</f>
        <v>Chandigarh</v>
      </c>
      <c r="G34" s="1">
        <f>IFERROR(__xludf.DUMMYFUNCTION("""COMPUTED_VALUE"""),42.0)</f>
        <v>42</v>
      </c>
      <c r="H34" s="1">
        <f>IFERROR(__xludf.DUMMYFUNCTION("""COMPUTED_VALUE"""),45.0)</f>
        <v>45</v>
      </c>
      <c r="I34" s="1">
        <f>IFERROR(__xludf.DUMMYFUNCTION("""COMPUTED_VALUE"""),54.0)</f>
        <v>54</v>
      </c>
      <c r="J34" s="1">
        <f>IFERROR(__xludf.DUMMYFUNCTION("""COMPUTED_VALUE"""),67.0)</f>
        <v>67</v>
      </c>
      <c r="K34" s="1">
        <f>IFERROR(__xludf.DUMMYFUNCTION("""COMPUTED_VALUE"""),56.0)</f>
        <v>56</v>
      </c>
      <c r="L34" s="1">
        <f>IFERROR(__xludf.DUMMYFUNCTION("""COMPUTED_VALUE"""),264.0)</f>
        <v>264</v>
      </c>
      <c r="M34" s="1">
        <f>IFERROR(__xludf.DUMMYFUNCTION("""COMPUTED_VALUE"""),52.8)</f>
        <v>52.8</v>
      </c>
      <c r="N34" s="1">
        <f>IFERROR(__xludf.DUMMYFUNCTION("""COMPUTED_VALUE"""),78.0)</f>
        <v>78</v>
      </c>
      <c r="O34" s="1" t="str">
        <f>IFERROR(__xludf.DUMMYFUNCTION("""COMPUTED_VALUE"""),"Pass")</f>
        <v>Pass</v>
      </c>
    </row>
    <row r="35" ht="15.75" customHeight="1">
      <c r="A35" s="1" t="str">
        <f>IFERROR(__xludf.DUMMYFUNCTION("""COMPUTED_VALUE"""),"STD-1172")</f>
        <v>STD-1172</v>
      </c>
      <c r="B35" s="1" t="str">
        <f>IFERROR(__xludf.DUMMYFUNCTION("""COMPUTED_VALUE"""),"Rohan Das")</f>
        <v>Rohan Das</v>
      </c>
      <c r="C35" s="1" t="str">
        <f>IFERROR(__xludf.DUMMYFUNCTION("""COMPUTED_VALUE"""),"Female")</f>
        <v>Female</v>
      </c>
      <c r="D35" s="1" t="str">
        <f>IFERROR(__xludf.DUMMYFUNCTION("""COMPUTED_VALUE"""),"8")</f>
        <v>8</v>
      </c>
      <c r="E35" s="1" t="str">
        <f>IFERROR(__xludf.DUMMYFUNCTION("""COMPUTED_VALUE"""),"C")</f>
        <v>C</v>
      </c>
      <c r="F35" s="1" t="str">
        <f>IFERROR(__xludf.DUMMYFUNCTION("""COMPUTED_VALUE"""),"Bhopal")</f>
        <v>Bhopal</v>
      </c>
      <c r="G35" s="1">
        <f>IFERROR(__xludf.DUMMYFUNCTION("""COMPUTED_VALUE"""),90.0)</f>
        <v>90</v>
      </c>
      <c r="H35" s="1">
        <f>IFERROR(__xludf.DUMMYFUNCTION("""COMPUTED_VALUE"""),87.0)</f>
        <v>87</v>
      </c>
      <c r="I35" s="1">
        <f>IFERROR(__xludf.DUMMYFUNCTION("""COMPUTED_VALUE"""),61.0)</f>
        <v>61</v>
      </c>
      <c r="J35" s="1">
        <f>IFERROR(__xludf.DUMMYFUNCTION("""COMPUTED_VALUE"""),44.0)</f>
        <v>44</v>
      </c>
      <c r="K35" s="1">
        <f>IFERROR(__xludf.DUMMYFUNCTION("""COMPUTED_VALUE"""),83.0)</f>
        <v>83</v>
      </c>
      <c r="L35" s="1">
        <f>IFERROR(__xludf.DUMMYFUNCTION("""COMPUTED_VALUE"""),365.0)</f>
        <v>365</v>
      </c>
      <c r="M35" s="1">
        <f>IFERROR(__xludf.DUMMYFUNCTION("""COMPUTED_VALUE"""),73.0)</f>
        <v>73</v>
      </c>
      <c r="N35" s="1">
        <f>IFERROR(__xludf.DUMMYFUNCTION("""COMPUTED_VALUE"""),77.0)</f>
        <v>77</v>
      </c>
      <c r="O35" s="1" t="str">
        <f>IFERROR(__xludf.DUMMYFUNCTION("""COMPUTED_VALUE"""),"Pass")</f>
        <v>Pass</v>
      </c>
    </row>
    <row r="36" ht="15.75" customHeight="1">
      <c r="A36" s="1" t="str">
        <f>IFERROR(__xludf.DUMMYFUNCTION("""COMPUTED_VALUE"""),"STD-1174")</f>
        <v>STD-1174</v>
      </c>
      <c r="B36" s="1" t="str">
        <f>IFERROR(__xludf.DUMMYFUNCTION("""COMPUTED_VALUE"""),"Vivaan Iyer")</f>
        <v>Vivaan Iyer</v>
      </c>
      <c r="C36" s="1" t="str">
        <f>IFERROR(__xludf.DUMMYFUNCTION("""COMPUTED_VALUE"""),"Female")</f>
        <v>Female</v>
      </c>
      <c r="D36" s="1" t="str">
        <f>IFERROR(__xludf.DUMMYFUNCTION("""COMPUTED_VALUE"""),"8")</f>
        <v>8</v>
      </c>
      <c r="E36" s="1" t="str">
        <f>IFERROR(__xludf.DUMMYFUNCTION("""COMPUTED_VALUE"""),"B")</f>
        <v>B</v>
      </c>
      <c r="F36" s="1" t="str">
        <f>IFERROR(__xludf.DUMMYFUNCTION("""COMPUTED_VALUE"""),"Delhi")</f>
        <v>Delhi</v>
      </c>
      <c r="G36" s="1">
        <f>IFERROR(__xludf.DUMMYFUNCTION("""COMPUTED_VALUE"""),88.0)</f>
        <v>88</v>
      </c>
      <c r="H36" s="1">
        <f>IFERROR(__xludf.DUMMYFUNCTION("""COMPUTED_VALUE"""),43.0)</f>
        <v>43</v>
      </c>
      <c r="I36" s="1">
        <f>IFERROR(__xludf.DUMMYFUNCTION("""COMPUTED_VALUE"""),51.0)</f>
        <v>51</v>
      </c>
      <c r="J36" s="1">
        <f>IFERROR(__xludf.DUMMYFUNCTION("""COMPUTED_VALUE"""),61.0)</f>
        <v>61</v>
      </c>
      <c r="K36" s="1">
        <f>IFERROR(__xludf.DUMMYFUNCTION("""COMPUTED_VALUE"""),100.0)</f>
        <v>100</v>
      </c>
      <c r="L36" s="1">
        <f>IFERROR(__xludf.DUMMYFUNCTION("""COMPUTED_VALUE"""),343.0)</f>
        <v>343</v>
      </c>
      <c r="M36" s="1">
        <f>IFERROR(__xludf.DUMMYFUNCTION("""COMPUTED_VALUE"""),68.6)</f>
        <v>68.6</v>
      </c>
      <c r="N36" s="1">
        <f>IFERROR(__xludf.DUMMYFUNCTION("""COMPUTED_VALUE"""),92.0)</f>
        <v>92</v>
      </c>
      <c r="O36" s="1" t="str">
        <f>IFERROR(__xludf.DUMMYFUNCTION("""COMPUTED_VALUE"""),"Pass")</f>
        <v>Pass</v>
      </c>
    </row>
    <row r="37" ht="15.75" customHeight="1">
      <c r="A37" s="1" t="str">
        <f>IFERROR(__xludf.DUMMYFUNCTION("""COMPUTED_VALUE"""),"STD-1182")</f>
        <v>STD-1182</v>
      </c>
      <c r="B37" s="1" t="str">
        <f>IFERROR(__xludf.DUMMYFUNCTION("""COMPUTED_VALUE"""),"Vivaan Kulkarni")</f>
        <v>Vivaan Kulkarni</v>
      </c>
      <c r="C37" s="1" t="str">
        <f>IFERROR(__xludf.DUMMYFUNCTION("""COMPUTED_VALUE"""),"Male")</f>
        <v>Male</v>
      </c>
      <c r="D37" s="1" t="str">
        <f>IFERROR(__xludf.DUMMYFUNCTION("""COMPUTED_VALUE"""),"8")</f>
        <v>8</v>
      </c>
      <c r="E37" s="1" t="str">
        <f>IFERROR(__xludf.DUMMYFUNCTION("""COMPUTED_VALUE"""),"C")</f>
        <v>C</v>
      </c>
      <c r="F37" s="1" t="str">
        <f>IFERROR(__xludf.DUMMYFUNCTION("""COMPUTED_VALUE"""),"Delhi")</f>
        <v>Delhi</v>
      </c>
      <c r="G37" s="1">
        <f>IFERROR(__xludf.DUMMYFUNCTION("""COMPUTED_VALUE"""),47.0)</f>
        <v>47</v>
      </c>
      <c r="H37" s="1">
        <f>IFERROR(__xludf.DUMMYFUNCTION("""COMPUTED_VALUE"""),86.0)</f>
        <v>86</v>
      </c>
      <c r="I37" s="1">
        <f>IFERROR(__xludf.DUMMYFUNCTION("""COMPUTED_VALUE"""),95.0)</f>
        <v>95</v>
      </c>
      <c r="J37" s="1">
        <f>IFERROR(__xludf.DUMMYFUNCTION("""COMPUTED_VALUE"""),43.0)</f>
        <v>43</v>
      </c>
      <c r="K37" s="1">
        <f>IFERROR(__xludf.DUMMYFUNCTION("""COMPUTED_VALUE"""),51.0)</f>
        <v>51</v>
      </c>
      <c r="L37" s="1">
        <f>IFERROR(__xludf.DUMMYFUNCTION("""COMPUTED_VALUE"""),322.0)</f>
        <v>322</v>
      </c>
      <c r="M37" s="1">
        <f>IFERROR(__xludf.DUMMYFUNCTION("""COMPUTED_VALUE"""),64.4)</f>
        <v>64.4</v>
      </c>
      <c r="N37" s="1">
        <f>IFERROR(__xludf.DUMMYFUNCTION("""COMPUTED_VALUE"""),97.0)</f>
        <v>97</v>
      </c>
      <c r="O37" s="1" t="str">
        <f>IFERROR(__xludf.DUMMYFUNCTION("""COMPUTED_VALUE"""),"Pass")</f>
        <v>Pass</v>
      </c>
    </row>
    <row r="38" ht="15.75" customHeight="1">
      <c r="A38" s="1" t="str">
        <f>IFERROR(__xludf.DUMMYFUNCTION("""COMPUTED_VALUE"""),"STD-1193")</f>
        <v>STD-1193</v>
      </c>
      <c r="B38" s="1" t="str">
        <f>IFERROR(__xludf.DUMMYFUNCTION("""COMPUTED_VALUE"""),"Pooja Iyer")</f>
        <v>Pooja Iyer</v>
      </c>
      <c r="C38" s="1" t="str">
        <f>IFERROR(__xludf.DUMMYFUNCTION("""COMPUTED_VALUE"""),"Male")</f>
        <v>Male</v>
      </c>
      <c r="D38" s="1" t="str">
        <f>IFERROR(__xludf.DUMMYFUNCTION("""COMPUTED_VALUE"""),"8")</f>
        <v>8</v>
      </c>
      <c r="E38" s="1" t="str">
        <f>IFERROR(__xludf.DUMMYFUNCTION("""COMPUTED_VALUE"""),"C")</f>
        <v>C</v>
      </c>
      <c r="F38" s="1" t="str">
        <f>IFERROR(__xludf.DUMMYFUNCTION("""COMPUTED_VALUE"""),"Lucknow")</f>
        <v>Lucknow</v>
      </c>
      <c r="G38" s="1">
        <f>IFERROR(__xludf.DUMMYFUNCTION("""COMPUTED_VALUE"""),48.0)</f>
        <v>48</v>
      </c>
      <c r="H38" s="1">
        <f>IFERROR(__xludf.DUMMYFUNCTION("""COMPUTED_VALUE"""),65.0)</f>
        <v>65</v>
      </c>
      <c r="I38" s="1">
        <f>IFERROR(__xludf.DUMMYFUNCTION("""COMPUTED_VALUE"""),72.0)</f>
        <v>72</v>
      </c>
      <c r="J38" s="1">
        <f>IFERROR(__xludf.DUMMYFUNCTION("""COMPUTED_VALUE"""),49.0)</f>
        <v>49</v>
      </c>
      <c r="K38" s="1">
        <f>IFERROR(__xludf.DUMMYFUNCTION("""COMPUTED_VALUE"""),62.0)</f>
        <v>62</v>
      </c>
      <c r="L38" s="1">
        <f>IFERROR(__xludf.DUMMYFUNCTION("""COMPUTED_VALUE"""),296.0)</f>
        <v>296</v>
      </c>
      <c r="M38" s="1">
        <f>IFERROR(__xludf.DUMMYFUNCTION("""COMPUTED_VALUE"""),59.2)</f>
        <v>59.2</v>
      </c>
      <c r="N38" s="1">
        <f>IFERROR(__xludf.DUMMYFUNCTION("""COMPUTED_VALUE"""),66.0)</f>
        <v>66</v>
      </c>
      <c r="O38" s="1" t="str">
        <f>IFERROR(__xludf.DUMMYFUNCTION("""COMPUTED_VALUE"""),"Pass")</f>
        <v>Pass</v>
      </c>
    </row>
    <row r="39" ht="15.75" customHeight="1">
      <c r="A39" s="1" t="str">
        <f>IFERROR(__xludf.DUMMYFUNCTION("""COMPUTED_VALUE"""),"STD-1195")</f>
        <v>STD-1195</v>
      </c>
      <c r="B39" s="1" t="str">
        <f>IFERROR(__xludf.DUMMYFUNCTION("""COMPUTED_VALUE"""),"Aditya Das")</f>
        <v>Aditya Das</v>
      </c>
      <c r="C39" s="1" t="str">
        <f>IFERROR(__xludf.DUMMYFUNCTION("""COMPUTED_VALUE"""),"Female")</f>
        <v>Female</v>
      </c>
      <c r="D39" s="1" t="str">
        <f>IFERROR(__xludf.DUMMYFUNCTION("""COMPUTED_VALUE"""),"8")</f>
        <v>8</v>
      </c>
      <c r="E39" s="1" t="str">
        <f>IFERROR(__xludf.DUMMYFUNCTION("""COMPUTED_VALUE"""),"C")</f>
        <v>C</v>
      </c>
      <c r="F39" s="1" t="str">
        <f>IFERROR(__xludf.DUMMYFUNCTION("""COMPUTED_VALUE"""),"Bhopal")</f>
        <v>Bhopal</v>
      </c>
      <c r="G39" s="1">
        <f>IFERROR(__xludf.DUMMYFUNCTION("""COMPUTED_VALUE"""),46.0)</f>
        <v>46</v>
      </c>
      <c r="H39" s="1">
        <f>IFERROR(__xludf.DUMMYFUNCTION("""COMPUTED_VALUE"""),84.0)</f>
        <v>84</v>
      </c>
      <c r="I39" s="1">
        <f>IFERROR(__xludf.DUMMYFUNCTION("""COMPUTED_VALUE"""),72.0)</f>
        <v>72</v>
      </c>
      <c r="J39" s="1">
        <f>IFERROR(__xludf.DUMMYFUNCTION("""COMPUTED_VALUE"""),48.0)</f>
        <v>48</v>
      </c>
      <c r="K39" s="1">
        <f>IFERROR(__xludf.DUMMYFUNCTION("""COMPUTED_VALUE"""),70.0)</f>
        <v>70</v>
      </c>
      <c r="L39" s="1">
        <f>IFERROR(__xludf.DUMMYFUNCTION("""COMPUTED_VALUE"""),320.0)</f>
        <v>320</v>
      </c>
      <c r="M39" s="1">
        <f>IFERROR(__xludf.DUMMYFUNCTION("""COMPUTED_VALUE"""),64.0)</f>
        <v>64</v>
      </c>
      <c r="N39" s="1">
        <f>IFERROR(__xludf.DUMMYFUNCTION("""COMPUTED_VALUE"""),68.0)</f>
        <v>68</v>
      </c>
      <c r="O39" s="1" t="str">
        <f>IFERROR(__xludf.DUMMYFUNCTION("""COMPUTED_VALUE"""),"Pass")</f>
        <v>Pass</v>
      </c>
    </row>
    <row r="40" ht="15.75" customHeight="1">
      <c r="A40" s="1" t="str">
        <f>IFERROR(__xludf.DUMMYFUNCTION("""COMPUTED_VALUE"""),"STD-1198")</f>
        <v>STD-1198</v>
      </c>
      <c r="B40" s="1" t="str">
        <f>IFERROR(__xludf.DUMMYFUNCTION("""COMPUTED_VALUE"""),"Arjun Yadav")</f>
        <v>Arjun Yadav</v>
      </c>
      <c r="C40" s="1" t="str">
        <f>IFERROR(__xludf.DUMMYFUNCTION("""COMPUTED_VALUE"""),"Male")</f>
        <v>Male</v>
      </c>
      <c r="D40" s="1" t="str">
        <f>IFERROR(__xludf.DUMMYFUNCTION("""COMPUTED_VALUE"""),"8")</f>
        <v>8</v>
      </c>
      <c r="E40" s="1" t="str">
        <f>IFERROR(__xludf.DUMMYFUNCTION("""COMPUTED_VALUE"""),"A")</f>
        <v>A</v>
      </c>
      <c r="F40" s="1" t="str">
        <f>IFERROR(__xludf.DUMMYFUNCTION("""COMPUTED_VALUE"""),"Chandigarh")</f>
        <v>Chandigarh</v>
      </c>
      <c r="G40" s="1">
        <f>IFERROR(__xludf.DUMMYFUNCTION("""COMPUTED_VALUE"""),100.0)</f>
        <v>100</v>
      </c>
      <c r="H40" s="1">
        <f>IFERROR(__xludf.DUMMYFUNCTION("""COMPUTED_VALUE"""),42.0)</f>
        <v>42</v>
      </c>
      <c r="I40" s="1">
        <f>IFERROR(__xludf.DUMMYFUNCTION("""COMPUTED_VALUE"""),93.0)</f>
        <v>93</v>
      </c>
      <c r="J40" s="1">
        <f>IFERROR(__xludf.DUMMYFUNCTION("""COMPUTED_VALUE"""),96.0)</f>
        <v>96</v>
      </c>
      <c r="K40" s="1">
        <f>IFERROR(__xludf.DUMMYFUNCTION("""COMPUTED_VALUE"""),40.0)</f>
        <v>40</v>
      </c>
      <c r="L40" s="1">
        <f>IFERROR(__xludf.DUMMYFUNCTION("""COMPUTED_VALUE"""),371.0)</f>
        <v>371</v>
      </c>
      <c r="M40" s="1">
        <f>IFERROR(__xludf.DUMMYFUNCTION("""COMPUTED_VALUE"""),74.2)</f>
        <v>74.2</v>
      </c>
      <c r="N40" s="1">
        <f>IFERROR(__xludf.DUMMYFUNCTION("""COMPUTED_VALUE"""),82.0)</f>
        <v>82</v>
      </c>
      <c r="O40" s="1" t="str">
        <f>IFERROR(__xludf.DUMMYFUNCTION("""COMPUTED_VALUE"""),"Pass")</f>
        <v>Pass</v>
      </c>
    </row>
    <row r="41" ht="15.75" customHeight="1">
      <c r="A41" s="1" t="str">
        <f>IFERROR(__xludf.DUMMYFUNCTION("""COMPUTED_VALUE"""),"STD-1200")</f>
        <v>STD-1200</v>
      </c>
      <c r="B41" s="1" t="str">
        <f>IFERROR(__xludf.DUMMYFUNCTION("""COMPUTED_VALUE"""),"Meera Kulkarni")</f>
        <v>Meera Kulkarni</v>
      </c>
      <c r="C41" s="1" t="str">
        <f>IFERROR(__xludf.DUMMYFUNCTION("""COMPUTED_VALUE"""),"Male")</f>
        <v>Male</v>
      </c>
      <c r="D41" s="1" t="str">
        <f>IFERROR(__xludf.DUMMYFUNCTION("""COMPUTED_VALUE"""),"8")</f>
        <v>8</v>
      </c>
      <c r="E41" s="1" t="str">
        <f>IFERROR(__xludf.DUMMYFUNCTION("""COMPUTED_VALUE"""),"A")</f>
        <v>A</v>
      </c>
      <c r="F41" s="1" t="str">
        <f>IFERROR(__xludf.DUMMYFUNCTION("""COMPUTED_VALUE"""),"Jaipur")</f>
        <v>Jaipur</v>
      </c>
      <c r="G41" s="1">
        <f>IFERROR(__xludf.DUMMYFUNCTION("""COMPUTED_VALUE"""),55.0)</f>
        <v>55</v>
      </c>
      <c r="H41" s="1">
        <f>IFERROR(__xludf.DUMMYFUNCTION("""COMPUTED_VALUE"""),44.0)</f>
        <v>44</v>
      </c>
      <c r="I41" s="1">
        <f>IFERROR(__xludf.DUMMYFUNCTION("""COMPUTED_VALUE"""),83.0)</f>
        <v>83</v>
      </c>
      <c r="J41" s="1">
        <f>IFERROR(__xludf.DUMMYFUNCTION("""COMPUTED_VALUE"""),73.0)</f>
        <v>73</v>
      </c>
      <c r="K41" s="1">
        <f>IFERROR(__xludf.DUMMYFUNCTION("""COMPUTED_VALUE"""),71.0)</f>
        <v>71</v>
      </c>
      <c r="L41" s="1">
        <f>IFERROR(__xludf.DUMMYFUNCTION("""COMPUTED_VALUE"""),326.0)</f>
        <v>326</v>
      </c>
      <c r="M41" s="1">
        <f>IFERROR(__xludf.DUMMYFUNCTION("""COMPUTED_VALUE"""),65.2)</f>
        <v>65.2</v>
      </c>
      <c r="N41" s="1">
        <f>IFERROR(__xludf.DUMMYFUNCTION("""COMPUTED_VALUE"""),79.0)</f>
        <v>79</v>
      </c>
      <c r="O41" s="1" t="str">
        <f>IFERROR(__xludf.DUMMYFUNCTION("""COMPUTED_VALUE"""),"Pass")</f>
        <v>Pass</v>
      </c>
    </row>
    <row r="42" ht="15.75" customHeight="1">
      <c r="A42" s="1" t="str">
        <f>IFERROR(__xludf.DUMMYFUNCTION("""COMPUTED_VALUE"""),"STD-1201")</f>
        <v>STD-1201</v>
      </c>
      <c r="B42" s="1" t="str">
        <f>IFERROR(__xludf.DUMMYFUNCTION("""COMPUTED_VALUE"""),"Tanvi Patel")</f>
        <v>Tanvi Patel</v>
      </c>
      <c r="C42" s="1" t="str">
        <f>IFERROR(__xludf.DUMMYFUNCTION("""COMPUTED_VALUE"""),"Female")</f>
        <v>Female</v>
      </c>
      <c r="D42" s="1" t="str">
        <f>IFERROR(__xludf.DUMMYFUNCTION("""COMPUTED_VALUE"""),"8")</f>
        <v>8</v>
      </c>
      <c r="E42" s="1" t="str">
        <f>IFERROR(__xludf.DUMMYFUNCTION("""COMPUTED_VALUE"""),"C")</f>
        <v>C</v>
      </c>
      <c r="F42" s="1" t="str">
        <f>IFERROR(__xludf.DUMMYFUNCTION("""COMPUTED_VALUE"""),"Chandigarh")</f>
        <v>Chandigarh</v>
      </c>
      <c r="G42" s="1">
        <f>IFERROR(__xludf.DUMMYFUNCTION("""COMPUTED_VALUE"""),76.0)</f>
        <v>76</v>
      </c>
      <c r="H42" s="1">
        <f>IFERROR(__xludf.DUMMYFUNCTION("""COMPUTED_VALUE"""),86.0)</f>
        <v>86</v>
      </c>
      <c r="I42" s="1">
        <f>IFERROR(__xludf.DUMMYFUNCTION("""COMPUTED_VALUE"""),94.0)</f>
        <v>94</v>
      </c>
      <c r="J42" s="1">
        <f>IFERROR(__xludf.DUMMYFUNCTION("""COMPUTED_VALUE"""),79.0)</f>
        <v>79</v>
      </c>
      <c r="K42" s="1">
        <f>IFERROR(__xludf.DUMMYFUNCTION("""COMPUTED_VALUE"""),64.0)</f>
        <v>64</v>
      </c>
      <c r="L42" s="1">
        <f>IFERROR(__xludf.DUMMYFUNCTION("""COMPUTED_VALUE"""),399.0)</f>
        <v>399</v>
      </c>
      <c r="M42" s="1">
        <f>IFERROR(__xludf.DUMMYFUNCTION("""COMPUTED_VALUE"""),79.8)</f>
        <v>79.8</v>
      </c>
      <c r="N42" s="1">
        <f>IFERROR(__xludf.DUMMYFUNCTION("""COMPUTED_VALUE"""),66.0)</f>
        <v>66</v>
      </c>
      <c r="O42" s="1" t="str">
        <f>IFERROR(__xludf.DUMMYFUNCTION("""COMPUTED_VALUE"""),"Pass")</f>
        <v>Pass</v>
      </c>
    </row>
    <row r="43" ht="15.75" customHeight="1">
      <c r="A43" s="1" t="str">
        <f>IFERROR(__xludf.DUMMYFUNCTION("""COMPUTED_VALUE"""),"STD-1223")</f>
        <v>STD-1223</v>
      </c>
      <c r="B43" s="1" t="str">
        <f>IFERROR(__xludf.DUMMYFUNCTION("""COMPUTED_VALUE"""),"Rohan Choudhary")</f>
        <v>Rohan Choudhary</v>
      </c>
      <c r="C43" s="1" t="str">
        <f>IFERROR(__xludf.DUMMYFUNCTION("""COMPUTED_VALUE"""),"Male")</f>
        <v>Male</v>
      </c>
      <c r="D43" s="1" t="str">
        <f>IFERROR(__xludf.DUMMYFUNCTION("""COMPUTED_VALUE"""),"8")</f>
        <v>8</v>
      </c>
      <c r="E43" s="1" t="str">
        <f>IFERROR(__xludf.DUMMYFUNCTION("""COMPUTED_VALUE"""),"A")</f>
        <v>A</v>
      </c>
      <c r="F43" s="1" t="str">
        <f>IFERROR(__xludf.DUMMYFUNCTION("""COMPUTED_VALUE"""),"Delhi")</f>
        <v>Delhi</v>
      </c>
      <c r="G43" s="1">
        <f>IFERROR(__xludf.DUMMYFUNCTION("""COMPUTED_VALUE"""),58.0)</f>
        <v>58</v>
      </c>
      <c r="H43" s="1">
        <f>IFERROR(__xludf.DUMMYFUNCTION("""COMPUTED_VALUE"""),80.0)</f>
        <v>80</v>
      </c>
      <c r="I43" s="1">
        <f>IFERROR(__xludf.DUMMYFUNCTION("""COMPUTED_VALUE"""),69.0)</f>
        <v>69</v>
      </c>
      <c r="J43" s="1">
        <f>IFERROR(__xludf.DUMMYFUNCTION("""COMPUTED_VALUE"""),56.0)</f>
        <v>56</v>
      </c>
      <c r="K43" s="1">
        <f>IFERROR(__xludf.DUMMYFUNCTION("""COMPUTED_VALUE"""),63.0)</f>
        <v>63</v>
      </c>
      <c r="L43" s="1">
        <f>IFERROR(__xludf.DUMMYFUNCTION("""COMPUTED_VALUE"""),326.0)</f>
        <v>326</v>
      </c>
      <c r="M43" s="1">
        <f>IFERROR(__xludf.DUMMYFUNCTION("""COMPUTED_VALUE"""),65.2)</f>
        <v>65.2</v>
      </c>
      <c r="N43" s="1">
        <f>IFERROR(__xludf.DUMMYFUNCTION("""COMPUTED_VALUE"""),97.0)</f>
        <v>97</v>
      </c>
      <c r="O43" s="1" t="str">
        <f>IFERROR(__xludf.DUMMYFUNCTION("""COMPUTED_VALUE"""),"Pass")</f>
        <v>Pass</v>
      </c>
    </row>
    <row r="44" ht="15.75" customHeight="1">
      <c r="A44" s="1" t="str">
        <f>IFERROR(__xludf.DUMMYFUNCTION("""COMPUTED_VALUE"""),"STD-1231")</f>
        <v>STD-1231</v>
      </c>
      <c r="B44" s="1" t="str">
        <f>IFERROR(__xludf.DUMMYFUNCTION("""COMPUTED_VALUE"""),"Aditya Reddy")</f>
        <v>Aditya Reddy</v>
      </c>
      <c r="C44" s="1" t="str">
        <f>IFERROR(__xludf.DUMMYFUNCTION("""COMPUTED_VALUE"""),"Male")</f>
        <v>Male</v>
      </c>
      <c r="D44" s="1" t="str">
        <f>IFERROR(__xludf.DUMMYFUNCTION("""COMPUTED_VALUE"""),"8")</f>
        <v>8</v>
      </c>
      <c r="E44" s="1" t="str">
        <f>IFERROR(__xludf.DUMMYFUNCTION("""COMPUTED_VALUE"""),"A")</f>
        <v>A</v>
      </c>
      <c r="F44" s="1" t="str">
        <f>IFERROR(__xludf.DUMMYFUNCTION("""COMPUTED_VALUE"""),"Delhi")</f>
        <v>Delhi</v>
      </c>
      <c r="G44" s="1">
        <f>IFERROR(__xludf.DUMMYFUNCTION("""COMPUTED_VALUE"""),83.0)</f>
        <v>83</v>
      </c>
      <c r="H44" s="1">
        <f>IFERROR(__xludf.DUMMYFUNCTION("""COMPUTED_VALUE"""),94.0)</f>
        <v>94</v>
      </c>
      <c r="I44" s="1">
        <f>IFERROR(__xludf.DUMMYFUNCTION("""COMPUTED_VALUE"""),91.0)</f>
        <v>91</v>
      </c>
      <c r="J44" s="1">
        <f>IFERROR(__xludf.DUMMYFUNCTION("""COMPUTED_VALUE"""),44.0)</f>
        <v>44</v>
      </c>
      <c r="K44" s="1">
        <f>IFERROR(__xludf.DUMMYFUNCTION("""COMPUTED_VALUE"""),76.0)</f>
        <v>76</v>
      </c>
      <c r="L44" s="1">
        <f>IFERROR(__xludf.DUMMYFUNCTION("""COMPUTED_VALUE"""),388.0)</f>
        <v>388</v>
      </c>
      <c r="M44" s="1">
        <f>IFERROR(__xludf.DUMMYFUNCTION("""COMPUTED_VALUE"""),77.6)</f>
        <v>77.6</v>
      </c>
      <c r="N44" s="1">
        <f>IFERROR(__xludf.DUMMYFUNCTION("""COMPUTED_VALUE"""),84.0)</f>
        <v>84</v>
      </c>
      <c r="O44" s="1" t="str">
        <f>IFERROR(__xludf.DUMMYFUNCTION("""COMPUTED_VALUE"""),"Pass")</f>
        <v>Pass</v>
      </c>
    </row>
    <row r="45" ht="15.75" customHeight="1">
      <c r="A45" s="1" t="str">
        <f>IFERROR(__xludf.DUMMYFUNCTION("""COMPUTED_VALUE"""),"STD-1239")</f>
        <v>STD-1239</v>
      </c>
      <c r="B45" s="1" t="str">
        <f>IFERROR(__xludf.DUMMYFUNCTION("""COMPUTED_VALUE"""),"Meera Reddy")</f>
        <v>Meera Reddy</v>
      </c>
      <c r="C45" s="1" t="str">
        <f>IFERROR(__xludf.DUMMYFUNCTION("""COMPUTED_VALUE"""),"Male")</f>
        <v>Male</v>
      </c>
      <c r="D45" s="1" t="str">
        <f>IFERROR(__xludf.DUMMYFUNCTION("""COMPUTED_VALUE"""),"8")</f>
        <v>8</v>
      </c>
      <c r="E45" s="1" t="str">
        <f>IFERROR(__xludf.DUMMYFUNCTION("""COMPUTED_VALUE"""),"A")</f>
        <v>A</v>
      </c>
      <c r="F45" s="1" t="str">
        <f>IFERROR(__xludf.DUMMYFUNCTION("""COMPUTED_VALUE"""),"Chandigarh")</f>
        <v>Chandigarh</v>
      </c>
      <c r="G45" s="1">
        <f>IFERROR(__xludf.DUMMYFUNCTION("""COMPUTED_VALUE"""),92.0)</f>
        <v>92</v>
      </c>
      <c r="H45" s="1">
        <f>IFERROR(__xludf.DUMMYFUNCTION("""COMPUTED_VALUE"""),54.0)</f>
        <v>54</v>
      </c>
      <c r="I45" s="1">
        <f>IFERROR(__xludf.DUMMYFUNCTION("""COMPUTED_VALUE"""),81.0)</f>
        <v>81</v>
      </c>
      <c r="J45" s="1">
        <f>IFERROR(__xludf.DUMMYFUNCTION("""COMPUTED_VALUE"""),65.0)</f>
        <v>65</v>
      </c>
      <c r="K45" s="1">
        <f>IFERROR(__xludf.DUMMYFUNCTION("""COMPUTED_VALUE"""),51.0)</f>
        <v>51</v>
      </c>
      <c r="L45" s="1">
        <f>IFERROR(__xludf.DUMMYFUNCTION("""COMPUTED_VALUE"""),343.0)</f>
        <v>343</v>
      </c>
      <c r="M45" s="1">
        <f>IFERROR(__xludf.DUMMYFUNCTION("""COMPUTED_VALUE"""),68.6)</f>
        <v>68.6</v>
      </c>
      <c r="N45" s="1">
        <f>IFERROR(__xludf.DUMMYFUNCTION("""COMPUTED_VALUE"""),71.0)</f>
        <v>71</v>
      </c>
      <c r="O45" s="1" t="str">
        <f>IFERROR(__xludf.DUMMYFUNCTION("""COMPUTED_VALUE"""),"Pass")</f>
        <v>Pass</v>
      </c>
    </row>
    <row r="46" ht="15.75" customHeight="1">
      <c r="A46" s="1" t="str">
        <f>IFERROR(__xludf.DUMMYFUNCTION("""COMPUTED_VALUE"""),"STD-1241")</f>
        <v>STD-1241</v>
      </c>
      <c r="B46" s="1" t="str">
        <f>IFERROR(__xludf.DUMMYFUNCTION("""COMPUTED_VALUE"""),"Kavya Jain")</f>
        <v>Kavya Jain</v>
      </c>
      <c r="C46" s="1" t="str">
        <f>IFERROR(__xludf.DUMMYFUNCTION("""COMPUTED_VALUE"""),"Female")</f>
        <v>Female</v>
      </c>
      <c r="D46" s="1" t="str">
        <f>IFERROR(__xludf.DUMMYFUNCTION("""COMPUTED_VALUE"""),"8")</f>
        <v>8</v>
      </c>
      <c r="E46" s="1" t="str">
        <f>IFERROR(__xludf.DUMMYFUNCTION("""COMPUTED_VALUE"""),"B")</f>
        <v>B</v>
      </c>
      <c r="F46" s="1" t="str">
        <f>IFERROR(__xludf.DUMMYFUNCTION("""COMPUTED_VALUE"""),"Mumbai")</f>
        <v>Mumbai</v>
      </c>
      <c r="G46" s="1">
        <f>IFERROR(__xludf.DUMMYFUNCTION("""COMPUTED_VALUE"""),45.0)</f>
        <v>45</v>
      </c>
      <c r="H46" s="1">
        <f>IFERROR(__xludf.DUMMYFUNCTION("""COMPUTED_VALUE"""),84.0)</f>
        <v>84</v>
      </c>
      <c r="I46" s="1">
        <f>IFERROR(__xludf.DUMMYFUNCTION("""COMPUTED_VALUE"""),82.0)</f>
        <v>82</v>
      </c>
      <c r="J46" s="1">
        <f>IFERROR(__xludf.DUMMYFUNCTION("""COMPUTED_VALUE"""),92.0)</f>
        <v>92</v>
      </c>
      <c r="K46" s="1">
        <f>IFERROR(__xludf.DUMMYFUNCTION("""COMPUTED_VALUE"""),93.0)</f>
        <v>93</v>
      </c>
      <c r="L46" s="1">
        <f>IFERROR(__xludf.DUMMYFUNCTION("""COMPUTED_VALUE"""),396.0)</f>
        <v>396</v>
      </c>
      <c r="M46" s="1">
        <f>IFERROR(__xludf.DUMMYFUNCTION("""COMPUTED_VALUE"""),79.2)</f>
        <v>79.2</v>
      </c>
      <c r="N46" s="1">
        <f>IFERROR(__xludf.DUMMYFUNCTION("""COMPUTED_VALUE"""),87.0)</f>
        <v>87</v>
      </c>
      <c r="O46" s="1" t="str">
        <f>IFERROR(__xludf.DUMMYFUNCTION("""COMPUTED_VALUE"""),"Pass")</f>
        <v>Pass</v>
      </c>
    </row>
    <row r="47" ht="15.75" customHeight="1">
      <c r="A47" s="1" t="str">
        <f>IFERROR(__xludf.DUMMYFUNCTION("""COMPUTED_VALUE"""),"STD-1243")</f>
        <v>STD-1243</v>
      </c>
      <c r="B47" s="1" t="str">
        <f>IFERROR(__xludf.DUMMYFUNCTION("""COMPUTED_VALUE"""),"Aarav Das")</f>
        <v>Aarav Das</v>
      </c>
      <c r="C47" s="1" t="str">
        <f>IFERROR(__xludf.DUMMYFUNCTION("""COMPUTED_VALUE"""),"Female")</f>
        <v>Female</v>
      </c>
      <c r="D47" s="1" t="str">
        <f>IFERROR(__xludf.DUMMYFUNCTION("""COMPUTED_VALUE"""),"8")</f>
        <v>8</v>
      </c>
      <c r="E47" s="1" t="str">
        <f>IFERROR(__xludf.DUMMYFUNCTION("""COMPUTED_VALUE"""),"B")</f>
        <v>B</v>
      </c>
      <c r="F47" s="1" t="str">
        <f>IFERROR(__xludf.DUMMYFUNCTION("""COMPUTED_VALUE"""),"Kolkata")</f>
        <v>Kolkata</v>
      </c>
      <c r="G47" s="1">
        <f>IFERROR(__xludf.DUMMYFUNCTION("""COMPUTED_VALUE"""),94.0)</f>
        <v>94</v>
      </c>
      <c r="H47" s="1">
        <f>IFERROR(__xludf.DUMMYFUNCTION("""COMPUTED_VALUE"""),68.0)</f>
        <v>68</v>
      </c>
      <c r="I47" s="1">
        <f>IFERROR(__xludf.DUMMYFUNCTION("""COMPUTED_VALUE"""),42.0)</f>
        <v>42</v>
      </c>
      <c r="J47" s="1">
        <f>IFERROR(__xludf.DUMMYFUNCTION("""COMPUTED_VALUE"""),97.0)</f>
        <v>97</v>
      </c>
      <c r="K47" s="1">
        <f>IFERROR(__xludf.DUMMYFUNCTION("""COMPUTED_VALUE"""),76.0)</f>
        <v>76</v>
      </c>
      <c r="L47" s="1">
        <f>IFERROR(__xludf.DUMMYFUNCTION("""COMPUTED_VALUE"""),377.0)</f>
        <v>377</v>
      </c>
      <c r="M47" s="1">
        <f>IFERROR(__xludf.DUMMYFUNCTION("""COMPUTED_VALUE"""),75.4)</f>
        <v>75.4</v>
      </c>
      <c r="N47" s="1">
        <f>IFERROR(__xludf.DUMMYFUNCTION("""COMPUTED_VALUE"""),90.0)</f>
        <v>90</v>
      </c>
      <c r="O47" s="1" t="str">
        <f>IFERROR(__xludf.DUMMYFUNCTION("""COMPUTED_VALUE"""),"Pass")</f>
        <v>Pass</v>
      </c>
    </row>
    <row r="48" ht="15.75" customHeight="1">
      <c r="A48" s="1" t="str">
        <f>IFERROR(__xludf.DUMMYFUNCTION("""COMPUTED_VALUE"""),"STD-1247")</f>
        <v>STD-1247</v>
      </c>
      <c r="B48" s="1" t="str">
        <f>IFERROR(__xludf.DUMMYFUNCTION("""COMPUTED_VALUE"""),"Ananya Das")</f>
        <v>Ananya Das</v>
      </c>
      <c r="C48" s="1" t="str">
        <f>IFERROR(__xludf.DUMMYFUNCTION("""COMPUTED_VALUE"""),"Female")</f>
        <v>Female</v>
      </c>
      <c r="D48" s="1" t="str">
        <f>IFERROR(__xludf.DUMMYFUNCTION("""COMPUTED_VALUE"""),"8")</f>
        <v>8</v>
      </c>
      <c r="E48" s="1" t="str">
        <f>IFERROR(__xludf.DUMMYFUNCTION("""COMPUTED_VALUE"""),"C")</f>
        <v>C</v>
      </c>
      <c r="F48" s="1" t="str">
        <f>IFERROR(__xludf.DUMMYFUNCTION("""COMPUTED_VALUE"""),"Patna")</f>
        <v>Patna</v>
      </c>
      <c r="G48" s="1">
        <f>IFERROR(__xludf.DUMMYFUNCTION("""COMPUTED_VALUE"""),67.0)</f>
        <v>67</v>
      </c>
      <c r="H48" s="1">
        <f>IFERROR(__xludf.DUMMYFUNCTION("""COMPUTED_VALUE"""),69.0)</f>
        <v>69</v>
      </c>
      <c r="I48" s="1">
        <f>IFERROR(__xludf.DUMMYFUNCTION("""COMPUTED_VALUE"""),91.0)</f>
        <v>91</v>
      </c>
      <c r="J48" s="1">
        <f>IFERROR(__xludf.DUMMYFUNCTION("""COMPUTED_VALUE"""),61.0)</f>
        <v>61</v>
      </c>
      <c r="K48" s="1">
        <f>IFERROR(__xludf.DUMMYFUNCTION("""COMPUTED_VALUE"""),85.0)</f>
        <v>85</v>
      </c>
      <c r="L48" s="1">
        <f>IFERROR(__xludf.DUMMYFUNCTION("""COMPUTED_VALUE"""),373.0)</f>
        <v>373</v>
      </c>
      <c r="M48" s="1">
        <f>IFERROR(__xludf.DUMMYFUNCTION("""COMPUTED_VALUE"""),74.6)</f>
        <v>74.6</v>
      </c>
      <c r="N48" s="1">
        <f>IFERROR(__xludf.DUMMYFUNCTION("""COMPUTED_VALUE"""),62.0)</f>
        <v>62</v>
      </c>
      <c r="O48" s="1" t="str">
        <f>IFERROR(__xludf.DUMMYFUNCTION("""COMPUTED_VALUE"""),"Pass")</f>
        <v>Pass</v>
      </c>
    </row>
    <row r="49" ht="15.75" customHeight="1">
      <c r="A49" s="1" t="str">
        <f>IFERROR(__xludf.DUMMYFUNCTION("""COMPUTED_VALUE"""),"STD-1252")</f>
        <v>STD-1252</v>
      </c>
      <c r="B49" s="1" t="str">
        <f>IFERROR(__xludf.DUMMYFUNCTION("""COMPUTED_VALUE"""),"Simran Choudhary")</f>
        <v>Simran Choudhary</v>
      </c>
      <c r="C49" s="1" t="str">
        <f>IFERROR(__xludf.DUMMYFUNCTION("""COMPUTED_VALUE"""),"Male")</f>
        <v>Male</v>
      </c>
      <c r="D49" s="1" t="str">
        <f>IFERROR(__xludf.DUMMYFUNCTION("""COMPUTED_VALUE"""),"8")</f>
        <v>8</v>
      </c>
      <c r="E49" s="1" t="str">
        <f>IFERROR(__xludf.DUMMYFUNCTION("""COMPUTED_VALUE"""),"B")</f>
        <v>B</v>
      </c>
      <c r="F49" s="1" t="str">
        <f>IFERROR(__xludf.DUMMYFUNCTION("""COMPUTED_VALUE"""),"Bhopal")</f>
        <v>Bhopal</v>
      </c>
      <c r="G49" s="1">
        <f>IFERROR(__xludf.DUMMYFUNCTION("""COMPUTED_VALUE"""),71.0)</f>
        <v>71</v>
      </c>
      <c r="H49" s="1">
        <f>IFERROR(__xludf.DUMMYFUNCTION("""COMPUTED_VALUE"""),72.0)</f>
        <v>72</v>
      </c>
      <c r="I49" s="1">
        <f>IFERROR(__xludf.DUMMYFUNCTION("""COMPUTED_VALUE"""),94.0)</f>
        <v>94</v>
      </c>
      <c r="J49" s="1">
        <f>IFERROR(__xludf.DUMMYFUNCTION("""COMPUTED_VALUE"""),82.0)</f>
        <v>82</v>
      </c>
      <c r="K49" s="1">
        <f>IFERROR(__xludf.DUMMYFUNCTION("""COMPUTED_VALUE"""),40.0)</f>
        <v>40</v>
      </c>
      <c r="L49" s="1">
        <f>IFERROR(__xludf.DUMMYFUNCTION("""COMPUTED_VALUE"""),359.0)</f>
        <v>359</v>
      </c>
      <c r="M49" s="1">
        <f>IFERROR(__xludf.DUMMYFUNCTION("""COMPUTED_VALUE"""),71.8)</f>
        <v>71.8</v>
      </c>
      <c r="N49" s="1">
        <f>IFERROR(__xludf.DUMMYFUNCTION("""COMPUTED_VALUE"""),75.0)</f>
        <v>75</v>
      </c>
      <c r="O49" s="1" t="str">
        <f>IFERROR(__xludf.DUMMYFUNCTION("""COMPUTED_VALUE"""),"Pass")</f>
        <v>Pass</v>
      </c>
    </row>
    <row r="50" ht="15.75" customHeight="1">
      <c r="A50" s="1" t="str">
        <f>IFERROR(__xludf.DUMMYFUNCTION("""COMPUTED_VALUE"""),"STD-1255")</f>
        <v>STD-1255</v>
      </c>
      <c r="B50" s="1" t="str">
        <f>IFERROR(__xludf.DUMMYFUNCTION("""COMPUTED_VALUE"""),"Pooja Iyer")</f>
        <v>Pooja Iyer</v>
      </c>
      <c r="C50" s="1" t="str">
        <f>IFERROR(__xludf.DUMMYFUNCTION("""COMPUTED_VALUE"""),"Male")</f>
        <v>Male</v>
      </c>
      <c r="D50" s="1" t="str">
        <f>IFERROR(__xludf.DUMMYFUNCTION("""COMPUTED_VALUE"""),"8")</f>
        <v>8</v>
      </c>
      <c r="E50" s="1" t="str">
        <f>IFERROR(__xludf.DUMMYFUNCTION("""COMPUTED_VALUE"""),"B")</f>
        <v>B</v>
      </c>
      <c r="F50" s="1" t="str">
        <f>IFERROR(__xludf.DUMMYFUNCTION("""COMPUTED_VALUE"""),"Lucknow")</f>
        <v>Lucknow</v>
      </c>
      <c r="G50" s="1">
        <f>IFERROR(__xludf.DUMMYFUNCTION("""COMPUTED_VALUE"""),80.0)</f>
        <v>80</v>
      </c>
      <c r="H50" s="1">
        <f>IFERROR(__xludf.DUMMYFUNCTION("""COMPUTED_VALUE"""),63.0)</f>
        <v>63</v>
      </c>
      <c r="I50" s="1">
        <f>IFERROR(__xludf.DUMMYFUNCTION("""COMPUTED_VALUE"""),50.0)</f>
        <v>50</v>
      </c>
      <c r="J50" s="1">
        <f>IFERROR(__xludf.DUMMYFUNCTION("""COMPUTED_VALUE"""),59.0)</f>
        <v>59</v>
      </c>
      <c r="K50" s="1">
        <f>IFERROR(__xludf.DUMMYFUNCTION("""COMPUTED_VALUE"""),73.0)</f>
        <v>73</v>
      </c>
      <c r="L50" s="1">
        <f>IFERROR(__xludf.DUMMYFUNCTION("""COMPUTED_VALUE"""),325.0)</f>
        <v>325</v>
      </c>
      <c r="M50" s="1">
        <f>IFERROR(__xludf.DUMMYFUNCTION("""COMPUTED_VALUE"""),65.0)</f>
        <v>65</v>
      </c>
      <c r="N50" s="1">
        <f>IFERROR(__xludf.DUMMYFUNCTION("""COMPUTED_VALUE"""),65.0)</f>
        <v>65</v>
      </c>
      <c r="O50" s="1" t="str">
        <f>IFERROR(__xludf.DUMMYFUNCTION("""COMPUTED_VALUE"""),"Pass")</f>
        <v>Pass</v>
      </c>
    </row>
    <row r="51" ht="15.75" customHeight="1">
      <c r="A51" s="1" t="str">
        <f>IFERROR(__xludf.DUMMYFUNCTION("""COMPUTED_VALUE"""),"STD-1261")</f>
        <v>STD-1261</v>
      </c>
      <c r="B51" s="1" t="str">
        <f>IFERROR(__xludf.DUMMYFUNCTION("""COMPUTED_VALUE"""),"Priya Nair")</f>
        <v>Priya Nair</v>
      </c>
      <c r="C51" s="1" t="str">
        <f>IFERROR(__xludf.DUMMYFUNCTION("""COMPUTED_VALUE"""),"Male")</f>
        <v>Male</v>
      </c>
      <c r="D51" s="1" t="str">
        <f>IFERROR(__xludf.DUMMYFUNCTION("""COMPUTED_VALUE"""),"8")</f>
        <v>8</v>
      </c>
      <c r="E51" s="1" t="str">
        <f>IFERROR(__xludf.DUMMYFUNCTION("""COMPUTED_VALUE"""),"C")</f>
        <v>C</v>
      </c>
      <c r="F51" s="1" t="str">
        <f>IFERROR(__xludf.DUMMYFUNCTION("""COMPUTED_VALUE"""),"Mumbai")</f>
        <v>Mumbai</v>
      </c>
      <c r="G51" s="1">
        <f>IFERROR(__xludf.DUMMYFUNCTION("""COMPUTED_VALUE"""),73.0)</f>
        <v>73</v>
      </c>
      <c r="H51" s="1">
        <f>IFERROR(__xludf.DUMMYFUNCTION("""COMPUTED_VALUE"""),40.0)</f>
        <v>40</v>
      </c>
      <c r="I51" s="1">
        <f>IFERROR(__xludf.DUMMYFUNCTION("""COMPUTED_VALUE"""),66.0)</f>
        <v>66</v>
      </c>
      <c r="J51" s="1">
        <f>IFERROR(__xludf.DUMMYFUNCTION("""COMPUTED_VALUE"""),73.0)</f>
        <v>73</v>
      </c>
      <c r="K51" s="1">
        <f>IFERROR(__xludf.DUMMYFUNCTION("""COMPUTED_VALUE"""),55.0)</f>
        <v>55</v>
      </c>
      <c r="L51" s="1">
        <f>IFERROR(__xludf.DUMMYFUNCTION("""COMPUTED_VALUE"""),307.0)</f>
        <v>307</v>
      </c>
      <c r="M51" s="1">
        <f>IFERROR(__xludf.DUMMYFUNCTION("""COMPUTED_VALUE"""),61.4)</f>
        <v>61.4</v>
      </c>
      <c r="N51" s="1">
        <f>IFERROR(__xludf.DUMMYFUNCTION("""COMPUTED_VALUE"""),92.0)</f>
        <v>92</v>
      </c>
      <c r="O51" s="1" t="str">
        <f>IFERROR(__xludf.DUMMYFUNCTION("""COMPUTED_VALUE"""),"Pass")</f>
        <v>Pass</v>
      </c>
    </row>
    <row r="52" ht="15.75" customHeight="1">
      <c r="A52" s="1" t="str">
        <f>IFERROR(__xludf.DUMMYFUNCTION("""COMPUTED_VALUE"""),"STD-1276")</f>
        <v>STD-1276</v>
      </c>
      <c r="B52" s="1" t="str">
        <f>IFERROR(__xludf.DUMMYFUNCTION("""COMPUTED_VALUE"""),"Meera Singh")</f>
        <v>Meera Singh</v>
      </c>
      <c r="C52" s="1" t="str">
        <f>IFERROR(__xludf.DUMMYFUNCTION("""COMPUTED_VALUE"""),"Female")</f>
        <v>Female</v>
      </c>
      <c r="D52" s="1" t="str">
        <f>IFERROR(__xludf.DUMMYFUNCTION("""COMPUTED_VALUE"""),"8")</f>
        <v>8</v>
      </c>
      <c r="E52" s="1" t="str">
        <f>IFERROR(__xludf.DUMMYFUNCTION("""COMPUTED_VALUE"""),"B")</f>
        <v>B</v>
      </c>
      <c r="F52" s="1" t="str">
        <f>IFERROR(__xludf.DUMMYFUNCTION("""COMPUTED_VALUE"""),"Jaipur")</f>
        <v>Jaipur</v>
      </c>
      <c r="G52" s="1">
        <f>IFERROR(__xludf.DUMMYFUNCTION("""COMPUTED_VALUE"""),85.0)</f>
        <v>85</v>
      </c>
      <c r="H52" s="1">
        <f>IFERROR(__xludf.DUMMYFUNCTION("""COMPUTED_VALUE"""),93.0)</f>
        <v>93</v>
      </c>
      <c r="I52" s="1">
        <f>IFERROR(__xludf.DUMMYFUNCTION("""COMPUTED_VALUE"""),51.0)</f>
        <v>51</v>
      </c>
      <c r="J52" s="1">
        <f>IFERROR(__xludf.DUMMYFUNCTION("""COMPUTED_VALUE"""),48.0)</f>
        <v>48</v>
      </c>
      <c r="K52" s="1">
        <f>IFERROR(__xludf.DUMMYFUNCTION("""COMPUTED_VALUE"""),51.0)</f>
        <v>51</v>
      </c>
      <c r="L52" s="1">
        <f>IFERROR(__xludf.DUMMYFUNCTION("""COMPUTED_VALUE"""),328.0)</f>
        <v>328</v>
      </c>
      <c r="M52" s="1">
        <f>IFERROR(__xludf.DUMMYFUNCTION("""COMPUTED_VALUE"""),65.6)</f>
        <v>65.6</v>
      </c>
      <c r="N52" s="1">
        <f>IFERROR(__xludf.DUMMYFUNCTION("""COMPUTED_VALUE"""),91.0)</f>
        <v>91</v>
      </c>
      <c r="O52" s="1" t="str">
        <f>IFERROR(__xludf.DUMMYFUNCTION("""COMPUTED_VALUE"""),"Pass")</f>
        <v>Pass</v>
      </c>
    </row>
    <row r="53" ht="15.75" customHeight="1">
      <c r="A53" s="1" t="str">
        <f>IFERROR(__xludf.DUMMYFUNCTION("""COMPUTED_VALUE"""),"STD-1277")</f>
        <v>STD-1277</v>
      </c>
      <c r="B53" s="1" t="str">
        <f>IFERROR(__xludf.DUMMYFUNCTION("""COMPUTED_VALUE"""),"Ishita Banerjee")</f>
        <v>Ishita Banerjee</v>
      </c>
      <c r="C53" s="1" t="str">
        <f>IFERROR(__xludf.DUMMYFUNCTION("""COMPUTED_VALUE"""),"Male")</f>
        <v>Male</v>
      </c>
      <c r="D53" s="1" t="str">
        <f>IFERROR(__xludf.DUMMYFUNCTION("""COMPUTED_VALUE"""),"8")</f>
        <v>8</v>
      </c>
      <c r="E53" s="1" t="str">
        <f>IFERROR(__xludf.DUMMYFUNCTION("""COMPUTED_VALUE"""),"A")</f>
        <v>A</v>
      </c>
      <c r="F53" s="1" t="str">
        <f>IFERROR(__xludf.DUMMYFUNCTION("""COMPUTED_VALUE"""),"Lucknow")</f>
        <v>Lucknow</v>
      </c>
      <c r="G53" s="1">
        <f>IFERROR(__xludf.DUMMYFUNCTION("""COMPUTED_VALUE"""),85.0)</f>
        <v>85</v>
      </c>
      <c r="H53" s="1">
        <f>IFERROR(__xludf.DUMMYFUNCTION("""COMPUTED_VALUE"""),46.0)</f>
        <v>46</v>
      </c>
      <c r="I53" s="1">
        <f>IFERROR(__xludf.DUMMYFUNCTION("""COMPUTED_VALUE"""),72.0)</f>
        <v>72</v>
      </c>
      <c r="J53" s="1">
        <f>IFERROR(__xludf.DUMMYFUNCTION("""COMPUTED_VALUE"""),53.0)</f>
        <v>53</v>
      </c>
      <c r="K53" s="1">
        <f>IFERROR(__xludf.DUMMYFUNCTION("""COMPUTED_VALUE"""),64.0)</f>
        <v>64</v>
      </c>
      <c r="L53" s="1">
        <f>IFERROR(__xludf.DUMMYFUNCTION("""COMPUTED_VALUE"""),320.0)</f>
        <v>320</v>
      </c>
      <c r="M53" s="1">
        <f>IFERROR(__xludf.DUMMYFUNCTION("""COMPUTED_VALUE"""),64.0)</f>
        <v>64</v>
      </c>
      <c r="N53" s="1">
        <f>IFERROR(__xludf.DUMMYFUNCTION("""COMPUTED_VALUE"""),64.0)</f>
        <v>64</v>
      </c>
      <c r="O53" s="1" t="str">
        <f>IFERROR(__xludf.DUMMYFUNCTION("""COMPUTED_VALUE"""),"Pass")</f>
        <v>Pass</v>
      </c>
    </row>
    <row r="54" ht="15.75" customHeight="1">
      <c r="A54" s="1" t="str">
        <f>IFERROR(__xludf.DUMMYFUNCTION("""COMPUTED_VALUE"""),"STD-1279")</f>
        <v>STD-1279</v>
      </c>
      <c r="B54" s="1" t="str">
        <f>IFERROR(__xludf.DUMMYFUNCTION("""COMPUTED_VALUE"""),"Sai Iyer")</f>
        <v>Sai Iyer</v>
      </c>
      <c r="C54" s="1" t="str">
        <f>IFERROR(__xludf.DUMMYFUNCTION("""COMPUTED_VALUE"""),"Male")</f>
        <v>Male</v>
      </c>
      <c r="D54" s="1" t="str">
        <f>IFERROR(__xludf.DUMMYFUNCTION("""COMPUTED_VALUE"""),"8")</f>
        <v>8</v>
      </c>
      <c r="E54" s="1" t="str">
        <f>IFERROR(__xludf.DUMMYFUNCTION("""COMPUTED_VALUE"""),"C")</f>
        <v>C</v>
      </c>
      <c r="F54" s="1" t="str">
        <f>IFERROR(__xludf.DUMMYFUNCTION("""COMPUTED_VALUE"""),"Jaipur")</f>
        <v>Jaipur</v>
      </c>
      <c r="G54" s="1">
        <f>IFERROR(__xludf.DUMMYFUNCTION("""COMPUTED_VALUE"""),99.0)</f>
        <v>99</v>
      </c>
      <c r="H54" s="1">
        <f>IFERROR(__xludf.DUMMYFUNCTION("""COMPUTED_VALUE"""),100.0)</f>
        <v>100</v>
      </c>
      <c r="I54" s="1">
        <f>IFERROR(__xludf.DUMMYFUNCTION("""COMPUTED_VALUE"""),67.0)</f>
        <v>67</v>
      </c>
      <c r="J54" s="1">
        <f>IFERROR(__xludf.DUMMYFUNCTION("""COMPUTED_VALUE"""),75.0)</f>
        <v>75</v>
      </c>
      <c r="K54" s="1">
        <f>IFERROR(__xludf.DUMMYFUNCTION("""COMPUTED_VALUE"""),43.0)</f>
        <v>43</v>
      </c>
      <c r="L54" s="1">
        <f>IFERROR(__xludf.DUMMYFUNCTION("""COMPUTED_VALUE"""),384.0)</f>
        <v>384</v>
      </c>
      <c r="M54" s="1">
        <f>IFERROR(__xludf.DUMMYFUNCTION("""COMPUTED_VALUE"""),76.8)</f>
        <v>76.8</v>
      </c>
      <c r="N54" s="1">
        <f>IFERROR(__xludf.DUMMYFUNCTION("""COMPUTED_VALUE"""),91.0)</f>
        <v>91</v>
      </c>
      <c r="O54" s="1" t="str">
        <f>IFERROR(__xludf.DUMMYFUNCTION("""COMPUTED_VALUE"""),"Pass")</f>
        <v>Pass</v>
      </c>
    </row>
    <row r="55" ht="15.75" customHeight="1">
      <c r="A55" s="1" t="str">
        <f>IFERROR(__xludf.DUMMYFUNCTION("""COMPUTED_VALUE"""),"STD-1284")</f>
        <v>STD-1284</v>
      </c>
      <c r="B55" s="1" t="str">
        <f>IFERROR(__xludf.DUMMYFUNCTION("""COMPUTED_VALUE"""),"Ananya Reddy")</f>
        <v>Ananya Reddy</v>
      </c>
      <c r="C55" s="1" t="str">
        <f>IFERROR(__xludf.DUMMYFUNCTION("""COMPUTED_VALUE"""),"Male")</f>
        <v>Male</v>
      </c>
      <c r="D55" s="1" t="str">
        <f>IFERROR(__xludf.DUMMYFUNCTION("""COMPUTED_VALUE"""),"8")</f>
        <v>8</v>
      </c>
      <c r="E55" s="1" t="str">
        <f>IFERROR(__xludf.DUMMYFUNCTION("""COMPUTED_VALUE"""),"B")</f>
        <v>B</v>
      </c>
      <c r="F55" s="1" t="str">
        <f>IFERROR(__xludf.DUMMYFUNCTION("""COMPUTED_VALUE"""),"Kolkata")</f>
        <v>Kolkata</v>
      </c>
      <c r="G55" s="1">
        <f>IFERROR(__xludf.DUMMYFUNCTION("""COMPUTED_VALUE"""),100.0)</f>
        <v>100</v>
      </c>
      <c r="H55" s="1">
        <f>IFERROR(__xludf.DUMMYFUNCTION("""COMPUTED_VALUE"""),51.0)</f>
        <v>51</v>
      </c>
      <c r="I55" s="1">
        <f>IFERROR(__xludf.DUMMYFUNCTION("""COMPUTED_VALUE"""),70.0)</f>
        <v>70</v>
      </c>
      <c r="J55" s="1">
        <f>IFERROR(__xludf.DUMMYFUNCTION("""COMPUTED_VALUE"""),93.0)</f>
        <v>93</v>
      </c>
      <c r="K55" s="1">
        <f>IFERROR(__xludf.DUMMYFUNCTION("""COMPUTED_VALUE"""),56.0)</f>
        <v>56</v>
      </c>
      <c r="L55" s="1">
        <f>IFERROR(__xludf.DUMMYFUNCTION("""COMPUTED_VALUE"""),370.0)</f>
        <v>370</v>
      </c>
      <c r="M55" s="1">
        <f>IFERROR(__xludf.DUMMYFUNCTION("""COMPUTED_VALUE"""),74.0)</f>
        <v>74</v>
      </c>
      <c r="N55" s="1">
        <f>IFERROR(__xludf.DUMMYFUNCTION("""COMPUTED_VALUE"""),77.0)</f>
        <v>77</v>
      </c>
      <c r="O55" s="1" t="str">
        <f>IFERROR(__xludf.DUMMYFUNCTION("""COMPUTED_VALUE"""),"Pass")</f>
        <v>Pass</v>
      </c>
    </row>
    <row r="56" ht="15.75" customHeight="1">
      <c r="A56" s="1" t="str">
        <f>IFERROR(__xludf.DUMMYFUNCTION("""COMPUTED_VALUE"""),"STD-1285")</f>
        <v>STD-1285</v>
      </c>
      <c r="B56" s="1" t="str">
        <f>IFERROR(__xludf.DUMMYFUNCTION("""COMPUTED_VALUE"""),"Rahul Kulkarni")</f>
        <v>Rahul Kulkarni</v>
      </c>
      <c r="C56" s="1" t="str">
        <f>IFERROR(__xludf.DUMMYFUNCTION("""COMPUTED_VALUE"""),"Male")</f>
        <v>Male</v>
      </c>
      <c r="D56" s="1" t="str">
        <f>IFERROR(__xludf.DUMMYFUNCTION("""COMPUTED_VALUE"""),"8")</f>
        <v>8</v>
      </c>
      <c r="E56" s="1" t="str">
        <f>IFERROR(__xludf.DUMMYFUNCTION("""COMPUTED_VALUE"""),"A")</f>
        <v>A</v>
      </c>
      <c r="F56" s="1" t="str">
        <f>IFERROR(__xludf.DUMMYFUNCTION("""COMPUTED_VALUE"""),"Jaipur")</f>
        <v>Jaipur</v>
      </c>
      <c r="G56" s="1">
        <f>IFERROR(__xludf.DUMMYFUNCTION("""COMPUTED_VALUE"""),76.0)</f>
        <v>76</v>
      </c>
      <c r="H56" s="1">
        <f>IFERROR(__xludf.DUMMYFUNCTION("""COMPUTED_VALUE"""),83.0)</f>
        <v>83</v>
      </c>
      <c r="I56" s="1">
        <f>IFERROR(__xludf.DUMMYFUNCTION("""COMPUTED_VALUE"""),43.0)</f>
        <v>43</v>
      </c>
      <c r="J56" s="1">
        <f>IFERROR(__xludf.DUMMYFUNCTION("""COMPUTED_VALUE"""),43.0)</f>
        <v>43</v>
      </c>
      <c r="K56" s="1">
        <f>IFERROR(__xludf.DUMMYFUNCTION("""COMPUTED_VALUE"""),79.0)</f>
        <v>79</v>
      </c>
      <c r="L56" s="1">
        <f>IFERROR(__xludf.DUMMYFUNCTION("""COMPUTED_VALUE"""),324.0)</f>
        <v>324</v>
      </c>
      <c r="M56" s="1">
        <f>IFERROR(__xludf.DUMMYFUNCTION("""COMPUTED_VALUE"""),64.8)</f>
        <v>64.8</v>
      </c>
      <c r="N56" s="1">
        <f>IFERROR(__xludf.DUMMYFUNCTION("""COMPUTED_VALUE"""),90.0)</f>
        <v>90</v>
      </c>
      <c r="O56" s="1" t="str">
        <f>IFERROR(__xludf.DUMMYFUNCTION("""COMPUTED_VALUE"""),"Pass")</f>
        <v>Pass</v>
      </c>
    </row>
    <row r="57" ht="15.75" customHeight="1">
      <c r="A57" s="1" t="str">
        <f>IFERROR(__xludf.DUMMYFUNCTION("""COMPUTED_VALUE"""),"STD-1288")</f>
        <v>STD-1288</v>
      </c>
      <c r="B57" s="1" t="str">
        <f>IFERROR(__xludf.DUMMYFUNCTION("""COMPUTED_VALUE"""),"Rohan Jain")</f>
        <v>Rohan Jain</v>
      </c>
      <c r="C57" s="1" t="str">
        <f>IFERROR(__xludf.DUMMYFUNCTION("""COMPUTED_VALUE"""),"Female")</f>
        <v>Female</v>
      </c>
      <c r="D57" s="1" t="str">
        <f>IFERROR(__xludf.DUMMYFUNCTION("""COMPUTED_VALUE"""),"8")</f>
        <v>8</v>
      </c>
      <c r="E57" s="1" t="str">
        <f>IFERROR(__xludf.DUMMYFUNCTION("""COMPUTED_VALUE"""),"B")</f>
        <v>B</v>
      </c>
      <c r="F57" s="1" t="str">
        <f>IFERROR(__xludf.DUMMYFUNCTION("""COMPUTED_VALUE"""),"Jaipur")</f>
        <v>Jaipur</v>
      </c>
      <c r="G57" s="1">
        <f>IFERROR(__xludf.DUMMYFUNCTION("""COMPUTED_VALUE"""),48.0)</f>
        <v>48</v>
      </c>
      <c r="H57" s="1">
        <f>IFERROR(__xludf.DUMMYFUNCTION("""COMPUTED_VALUE"""),96.0)</f>
        <v>96</v>
      </c>
      <c r="I57" s="1">
        <f>IFERROR(__xludf.DUMMYFUNCTION("""COMPUTED_VALUE"""),77.0)</f>
        <v>77</v>
      </c>
      <c r="J57" s="1">
        <f>IFERROR(__xludf.DUMMYFUNCTION("""COMPUTED_VALUE"""),91.0)</f>
        <v>91</v>
      </c>
      <c r="K57" s="1">
        <f>IFERROR(__xludf.DUMMYFUNCTION("""COMPUTED_VALUE"""),93.0)</f>
        <v>93</v>
      </c>
      <c r="L57" s="1">
        <f>IFERROR(__xludf.DUMMYFUNCTION("""COMPUTED_VALUE"""),405.0)</f>
        <v>405</v>
      </c>
      <c r="M57" s="1">
        <f>IFERROR(__xludf.DUMMYFUNCTION("""COMPUTED_VALUE"""),81.0)</f>
        <v>81</v>
      </c>
      <c r="N57" s="1">
        <f>IFERROR(__xludf.DUMMYFUNCTION("""COMPUTED_VALUE"""),68.0)</f>
        <v>68</v>
      </c>
      <c r="O57" s="1" t="str">
        <f>IFERROR(__xludf.DUMMYFUNCTION("""COMPUTED_VALUE"""),"Pass")</f>
        <v>Pass</v>
      </c>
    </row>
    <row r="58" ht="15.75" customHeight="1">
      <c r="A58" s="1" t="str">
        <f>IFERROR(__xludf.DUMMYFUNCTION("""COMPUTED_VALUE"""),"STD-1298")</f>
        <v>STD-1298</v>
      </c>
      <c r="B58" s="1" t="str">
        <f>IFERROR(__xludf.DUMMYFUNCTION("""COMPUTED_VALUE"""),"Shreya Jain")</f>
        <v>Shreya Jain</v>
      </c>
      <c r="C58" s="1" t="str">
        <f>IFERROR(__xludf.DUMMYFUNCTION("""COMPUTED_VALUE"""),"Male")</f>
        <v>Male</v>
      </c>
      <c r="D58" s="1" t="str">
        <f>IFERROR(__xludf.DUMMYFUNCTION("""COMPUTED_VALUE"""),"8")</f>
        <v>8</v>
      </c>
      <c r="E58" s="1" t="str">
        <f>IFERROR(__xludf.DUMMYFUNCTION("""COMPUTED_VALUE"""),"B")</f>
        <v>B</v>
      </c>
      <c r="F58" s="1" t="str">
        <f>IFERROR(__xludf.DUMMYFUNCTION("""COMPUTED_VALUE"""),"Delhi")</f>
        <v>Delhi</v>
      </c>
      <c r="G58" s="1">
        <f>IFERROR(__xludf.DUMMYFUNCTION("""COMPUTED_VALUE"""),89.0)</f>
        <v>89</v>
      </c>
      <c r="H58" s="1">
        <f>IFERROR(__xludf.DUMMYFUNCTION("""COMPUTED_VALUE"""),61.0)</f>
        <v>61</v>
      </c>
      <c r="I58" s="1">
        <f>IFERROR(__xludf.DUMMYFUNCTION("""COMPUTED_VALUE"""),42.0)</f>
        <v>42</v>
      </c>
      <c r="J58" s="1">
        <f>IFERROR(__xludf.DUMMYFUNCTION("""COMPUTED_VALUE"""),74.0)</f>
        <v>74</v>
      </c>
      <c r="K58" s="1">
        <f>IFERROR(__xludf.DUMMYFUNCTION("""COMPUTED_VALUE"""),69.0)</f>
        <v>69</v>
      </c>
      <c r="L58" s="1">
        <f>IFERROR(__xludf.DUMMYFUNCTION("""COMPUTED_VALUE"""),335.0)</f>
        <v>335</v>
      </c>
      <c r="M58" s="1">
        <f>IFERROR(__xludf.DUMMYFUNCTION("""COMPUTED_VALUE"""),67.0)</f>
        <v>67</v>
      </c>
      <c r="N58" s="1">
        <f>IFERROR(__xludf.DUMMYFUNCTION("""COMPUTED_VALUE"""),77.0)</f>
        <v>77</v>
      </c>
      <c r="O58" s="1" t="str">
        <f>IFERROR(__xludf.DUMMYFUNCTION("""COMPUTED_VALUE"""),"Pass")</f>
        <v>Pass</v>
      </c>
    </row>
    <row r="59" ht="15.75" customHeight="1">
      <c r="A59" s="1" t="str">
        <f>IFERROR(__xludf.DUMMYFUNCTION("""COMPUTED_VALUE"""),"STD-1303")</f>
        <v>STD-1303</v>
      </c>
      <c r="B59" s="1" t="str">
        <f>IFERROR(__xludf.DUMMYFUNCTION("""COMPUTED_VALUE"""),"Priya Nair")</f>
        <v>Priya Nair</v>
      </c>
      <c r="C59" s="1" t="str">
        <f>IFERROR(__xludf.DUMMYFUNCTION("""COMPUTED_VALUE"""),"Male")</f>
        <v>Male</v>
      </c>
      <c r="D59" s="1" t="str">
        <f>IFERROR(__xludf.DUMMYFUNCTION("""COMPUTED_VALUE"""),"8")</f>
        <v>8</v>
      </c>
      <c r="E59" s="1" t="str">
        <f>IFERROR(__xludf.DUMMYFUNCTION("""COMPUTED_VALUE"""),"C")</f>
        <v>C</v>
      </c>
      <c r="F59" s="1" t="str">
        <f>IFERROR(__xludf.DUMMYFUNCTION("""COMPUTED_VALUE"""),"Bhopal")</f>
        <v>Bhopal</v>
      </c>
      <c r="G59" s="1">
        <f>IFERROR(__xludf.DUMMYFUNCTION("""COMPUTED_VALUE"""),41.0)</f>
        <v>41</v>
      </c>
      <c r="H59" s="1">
        <f>IFERROR(__xludf.DUMMYFUNCTION("""COMPUTED_VALUE"""),69.0)</f>
        <v>69</v>
      </c>
      <c r="I59" s="1">
        <f>IFERROR(__xludf.DUMMYFUNCTION("""COMPUTED_VALUE"""),58.0)</f>
        <v>58</v>
      </c>
      <c r="J59" s="1">
        <f>IFERROR(__xludf.DUMMYFUNCTION("""COMPUTED_VALUE"""),81.0)</f>
        <v>81</v>
      </c>
      <c r="K59" s="1">
        <f>IFERROR(__xludf.DUMMYFUNCTION("""COMPUTED_VALUE"""),53.0)</f>
        <v>53</v>
      </c>
      <c r="L59" s="1">
        <f>IFERROR(__xludf.DUMMYFUNCTION("""COMPUTED_VALUE"""),302.0)</f>
        <v>302</v>
      </c>
      <c r="M59" s="1">
        <f>IFERROR(__xludf.DUMMYFUNCTION("""COMPUTED_VALUE"""),60.4)</f>
        <v>60.4</v>
      </c>
      <c r="N59" s="1">
        <f>IFERROR(__xludf.DUMMYFUNCTION("""COMPUTED_VALUE"""),86.0)</f>
        <v>86</v>
      </c>
      <c r="O59" s="1" t="str">
        <f>IFERROR(__xludf.DUMMYFUNCTION("""COMPUTED_VALUE"""),"Pass")</f>
        <v>Pass</v>
      </c>
    </row>
    <row r="60" ht="15.75" customHeight="1">
      <c r="A60" s="1" t="str">
        <f>IFERROR(__xludf.DUMMYFUNCTION("""COMPUTED_VALUE"""),"STD-1306")</f>
        <v>STD-1306</v>
      </c>
      <c r="B60" s="1" t="str">
        <f>IFERROR(__xludf.DUMMYFUNCTION("""COMPUTED_VALUE"""),"Neha Jain")</f>
        <v>Neha Jain</v>
      </c>
      <c r="C60" s="1" t="str">
        <f>IFERROR(__xludf.DUMMYFUNCTION("""COMPUTED_VALUE"""),"Female")</f>
        <v>Female</v>
      </c>
      <c r="D60" s="1" t="str">
        <f>IFERROR(__xludf.DUMMYFUNCTION("""COMPUTED_VALUE"""),"8")</f>
        <v>8</v>
      </c>
      <c r="E60" s="1" t="str">
        <f>IFERROR(__xludf.DUMMYFUNCTION("""COMPUTED_VALUE"""),"B")</f>
        <v>B</v>
      </c>
      <c r="F60" s="1" t="str">
        <f>IFERROR(__xludf.DUMMYFUNCTION("""COMPUTED_VALUE"""),"Patna")</f>
        <v>Patna</v>
      </c>
      <c r="G60" s="1">
        <f>IFERROR(__xludf.DUMMYFUNCTION("""COMPUTED_VALUE"""),69.0)</f>
        <v>69</v>
      </c>
      <c r="H60" s="1">
        <f>IFERROR(__xludf.DUMMYFUNCTION("""COMPUTED_VALUE"""),61.0)</f>
        <v>61</v>
      </c>
      <c r="I60" s="1">
        <f>IFERROR(__xludf.DUMMYFUNCTION("""COMPUTED_VALUE"""),74.0)</f>
        <v>74</v>
      </c>
      <c r="J60" s="1">
        <f>IFERROR(__xludf.DUMMYFUNCTION("""COMPUTED_VALUE"""),42.0)</f>
        <v>42</v>
      </c>
      <c r="K60" s="1">
        <f>IFERROR(__xludf.DUMMYFUNCTION("""COMPUTED_VALUE"""),94.0)</f>
        <v>94</v>
      </c>
      <c r="L60" s="1">
        <f>IFERROR(__xludf.DUMMYFUNCTION("""COMPUTED_VALUE"""),340.0)</f>
        <v>340</v>
      </c>
      <c r="M60" s="1">
        <f>IFERROR(__xludf.DUMMYFUNCTION("""COMPUTED_VALUE"""),68.0)</f>
        <v>68</v>
      </c>
      <c r="N60" s="1">
        <f>IFERROR(__xludf.DUMMYFUNCTION("""COMPUTED_VALUE"""),88.0)</f>
        <v>88</v>
      </c>
      <c r="O60" s="1" t="str">
        <f>IFERROR(__xludf.DUMMYFUNCTION("""COMPUTED_VALUE"""),"Pass")</f>
        <v>Pass</v>
      </c>
    </row>
    <row r="61" ht="15.75" customHeight="1">
      <c r="A61" s="1" t="str">
        <f>IFERROR(__xludf.DUMMYFUNCTION("""COMPUTED_VALUE"""),"STD-1317")</f>
        <v>STD-1317</v>
      </c>
      <c r="B61" s="1" t="str">
        <f>IFERROR(__xludf.DUMMYFUNCTION("""COMPUTED_VALUE"""),"Kavya Reddy")</f>
        <v>Kavya Reddy</v>
      </c>
      <c r="C61" s="1" t="str">
        <f>IFERROR(__xludf.DUMMYFUNCTION("""COMPUTED_VALUE"""),"Male")</f>
        <v>Male</v>
      </c>
      <c r="D61" s="1" t="str">
        <f>IFERROR(__xludf.DUMMYFUNCTION("""COMPUTED_VALUE"""),"8")</f>
        <v>8</v>
      </c>
      <c r="E61" s="1" t="str">
        <f>IFERROR(__xludf.DUMMYFUNCTION("""COMPUTED_VALUE"""),"A")</f>
        <v>A</v>
      </c>
      <c r="F61" s="1" t="str">
        <f>IFERROR(__xludf.DUMMYFUNCTION("""COMPUTED_VALUE"""),"Bhopal")</f>
        <v>Bhopal</v>
      </c>
      <c r="G61" s="1">
        <f>IFERROR(__xludf.DUMMYFUNCTION("""COMPUTED_VALUE"""),78.0)</f>
        <v>78</v>
      </c>
      <c r="H61" s="1">
        <f>IFERROR(__xludf.DUMMYFUNCTION("""COMPUTED_VALUE"""),65.0)</f>
        <v>65</v>
      </c>
      <c r="I61" s="1">
        <f>IFERROR(__xludf.DUMMYFUNCTION("""COMPUTED_VALUE"""),43.0)</f>
        <v>43</v>
      </c>
      <c r="J61" s="1">
        <f>IFERROR(__xludf.DUMMYFUNCTION("""COMPUTED_VALUE"""),82.0)</f>
        <v>82</v>
      </c>
      <c r="K61" s="1">
        <f>IFERROR(__xludf.DUMMYFUNCTION("""COMPUTED_VALUE"""),75.0)</f>
        <v>75</v>
      </c>
      <c r="L61" s="1">
        <f>IFERROR(__xludf.DUMMYFUNCTION("""COMPUTED_VALUE"""),343.0)</f>
        <v>343</v>
      </c>
      <c r="M61" s="1">
        <f>IFERROR(__xludf.DUMMYFUNCTION("""COMPUTED_VALUE"""),68.6)</f>
        <v>68.6</v>
      </c>
      <c r="N61" s="1">
        <f>IFERROR(__xludf.DUMMYFUNCTION("""COMPUTED_VALUE"""),94.0)</f>
        <v>94</v>
      </c>
      <c r="O61" s="1" t="str">
        <f>IFERROR(__xludf.DUMMYFUNCTION("""COMPUTED_VALUE"""),"Pass")</f>
        <v>Pass</v>
      </c>
    </row>
    <row r="62" ht="15.75" customHeight="1">
      <c r="A62" s="1" t="str">
        <f>IFERROR(__xludf.DUMMYFUNCTION("""COMPUTED_VALUE"""),"STD-1328")</f>
        <v>STD-1328</v>
      </c>
      <c r="B62" s="1" t="str">
        <f>IFERROR(__xludf.DUMMYFUNCTION("""COMPUTED_VALUE"""),"Tanvi Gupta")</f>
        <v>Tanvi Gupta</v>
      </c>
      <c r="C62" s="1" t="str">
        <f>IFERROR(__xludf.DUMMYFUNCTION("""COMPUTED_VALUE"""),"Male")</f>
        <v>Male</v>
      </c>
      <c r="D62" s="1" t="str">
        <f>IFERROR(__xludf.DUMMYFUNCTION("""COMPUTED_VALUE"""),"8")</f>
        <v>8</v>
      </c>
      <c r="E62" s="1" t="str">
        <f>IFERROR(__xludf.DUMMYFUNCTION("""COMPUTED_VALUE"""),"C")</f>
        <v>C</v>
      </c>
      <c r="F62" s="1" t="str">
        <f>IFERROR(__xludf.DUMMYFUNCTION("""COMPUTED_VALUE"""),"Lucknow")</f>
        <v>Lucknow</v>
      </c>
      <c r="G62" s="1">
        <f>IFERROR(__xludf.DUMMYFUNCTION("""COMPUTED_VALUE"""),94.0)</f>
        <v>94</v>
      </c>
      <c r="H62" s="1">
        <f>IFERROR(__xludf.DUMMYFUNCTION("""COMPUTED_VALUE"""),79.0)</f>
        <v>79</v>
      </c>
      <c r="I62" s="1">
        <f>IFERROR(__xludf.DUMMYFUNCTION("""COMPUTED_VALUE"""),86.0)</f>
        <v>86</v>
      </c>
      <c r="J62" s="1">
        <f>IFERROR(__xludf.DUMMYFUNCTION("""COMPUTED_VALUE"""),71.0)</f>
        <v>71</v>
      </c>
      <c r="K62" s="1">
        <f>IFERROR(__xludf.DUMMYFUNCTION("""COMPUTED_VALUE"""),58.0)</f>
        <v>58</v>
      </c>
      <c r="L62" s="1">
        <f>IFERROR(__xludf.DUMMYFUNCTION("""COMPUTED_VALUE"""),388.0)</f>
        <v>388</v>
      </c>
      <c r="M62" s="1">
        <f>IFERROR(__xludf.DUMMYFUNCTION("""COMPUTED_VALUE"""),77.6)</f>
        <v>77.6</v>
      </c>
      <c r="N62" s="1">
        <f>IFERROR(__xludf.DUMMYFUNCTION("""COMPUTED_VALUE"""),66.0)</f>
        <v>66</v>
      </c>
      <c r="O62" s="1" t="str">
        <f>IFERROR(__xludf.DUMMYFUNCTION("""COMPUTED_VALUE"""),"Pass")</f>
        <v>Pass</v>
      </c>
    </row>
    <row r="63" ht="15.75" customHeight="1">
      <c r="A63" s="1" t="str">
        <f>IFERROR(__xludf.DUMMYFUNCTION("""COMPUTED_VALUE"""),"STD-1363")</f>
        <v>STD-1363</v>
      </c>
      <c r="B63" s="1" t="str">
        <f>IFERROR(__xludf.DUMMYFUNCTION("""COMPUTED_VALUE"""),"Shreya Kulkarni")</f>
        <v>Shreya Kulkarni</v>
      </c>
      <c r="C63" s="1" t="str">
        <f>IFERROR(__xludf.DUMMYFUNCTION("""COMPUTED_VALUE"""),"Female")</f>
        <v>Female</v>
      </c>
      <c r="D63" s="1" t="str">
        <f>IFERROR(__xludf.DUMMYFUNCTION("""COMPUTED_VALUE"""),"8")</f>
        <v>8</v>
      </c>
      <c r="E63" s="1" t="str">
        <f>IFERROR(__xludf.DUMMYFUNCTION("""COMPUTED_VALUE"""),"A")</f>
        <v>A</v>
      </c>
      <c r="F63" s="1" t="str">
        <f>IFERROR(__xludf.DUMMYFUNCTION("""COMPUTED_VALUE"""),"Delhi")</f>
        <v>Delhi</v>
      </c>
      <c r="G63" s="1">
        <f>IFERROR(__xludf.DUMMYFUNCTION("""COMPUTED_VALUE"""),66.0)</f>
        <v>66</v>
      </c>
      <c r="H63" s="1">
        <f>IFERROR(__xludf.DUMMYFUNCTION("""COMPUTED_VALUE"""),73.0)</f>
        <v>73</v>
      </c>
      <c r="I63" s="1">
        <f>IFERROR(__xludf.DUMMYFUNCTION("""COMPUTED_VALUE"""),73.0)</f>
        <v>73</v>
      </c>
      <c r="J63" s="1">
        <f>IFERROR(__xludf.DUMMYFUNCTION("""COMPUTED_VALUE"""),53.0)</f>
        <v>53</v>
      </c>
      <c r="K63" s="1">
        <f>IFERROR(__xludf.DUMMYFUNCTION("""COMPUTED_VALUE"""),74.0)</f>
        <v>74</v>
      </c>
      <c r="L63" s="1">
        <f>IFERROR(__xludf.DUMMYFUNCTION("""COMPUTED_VALUE"""),339.0)</f>
        <v>339</v>
      </c>
      <c r="M63" s="1">
        <f>IFERROR(__xludf.DUMMYFUNCTION("""COMPUTED_VALUE"""),67.8)</f>
        <v>67.8</v>
      </c>
      <c r="N63" s="1">
        <f>IFERROR(__xludf.DUMMYFUNCTION("""COMPUTED_VALUE"""),67.0)</f>
        <v>67</v>
      </c>
      <c r="O63" s="1" t="str">
        <f>IFERROR(__xludf.DUMMYFUNCTION("""COMPUTED_VALUE"""),"Pass")</f>
        <v>Pass</v>
      </c>
    </row>
    <row r="64" ht="15.75" customHeight="1">
      <c r="A64" s="1" t="str">
        <f>IFERROR(__xludf.DUMMYFUNCTION("""COMPUTED_VALUE"""),"STD-1364")</f>
        <v>STD-1364</v>
      </c>
      <c r="B64" s="1" t="str">
        <f>IFERROR(__xludf.DUMMYFUNCTION("""COMPUTED_VALUE"""),"Priya Verma")</f>
        <v>Priya Verma</v>
      </c>
      <c r="C64" s="1" t="str">
        <f>IFERROR(__xludf.DUMMYFUNCTION("""COMPUTED_VALUE"""),"Male")</f>
        <v>Male</v>
      </c>
      <c r="D64" s="1" t="str">
        <f>IFERROR(__xludf.DUMMYFUNCTION("""COMPUTED_VALUE"""),"8")</f>
        <v>8</v>
      </c>
      <c r="E64" s="1" t="str">
        <f>IFERROR(__xludf.DUMMYFUNCTION("""COMPUTED_VALUE"""),"B")</f>
        <v>B</v>
      </c>
      <c r="F64" s="1" t="str">
        <f>IFERROR(__xludf.DUMMYFUNCTION("""COMPUTED_VALUE"""),"Delhi")</f>
        <v>Delhi</v>
      </c>
      <c r="G64" s="1">
        <f>IFERROR(__xludf.DUMMYFUNCTION("""COMPUTED_VALUE"""),100.0)</f>
        <v>100</v>
      </c>
      <c r="H64" s="1">
        <f>IFERROR(__xludf.DUMMYFUNCTION("""COMPUTED_VALUE"""),78.0)</f>
        <v>78</v>
      </c>
      <c r="I64" s="1">
        <f>IFERROR(__xludf.DUMMYFUNCTION("""COMPUTED_VALUE"""),88.0)</f>
        <v>88</v>
      </c>
      <c r="J64" s="1">
        <f>IFERROR(__xludf.DUMMYFUNCTION("""COMPUTED_VALUE"""),54.0)</f>
        <v>54</v>
      </c>
      <c r="K64" s="1">
        <f>IFERROR(__xludf.DUMMYFUNCTION("""COMPUTED_VALUE"""),97.0)</f>
        <v>97</v>
      </c>
      <c r="L64" s="1">
        <f>IFERROR(__xludf.DUMMYFUNCTION("""COMPUTED_VALUE"""),417.0)</f>
        <v>417</v>
      </c>
      <c r="M64" s="1">
        <f>IFERROR(__xludf.DUMMYFUNCTION("""COMPUTED_VALUE"""),83.4)</f>
        <v>83.4</v>
      </c>
      <c r="N64" s="1">
        <f>IFERROR(__xludf.DUMMYFUNCTION("""COMPUTED_VALUE"""),65.0)</f>
        <v>65</v>
      </c>
      <c r="O64" s="1" t="str">
        <f>IFERROR(__xludf.DUMMYFUNCTION("""COMPUTED_VALUE"""),"Pass")</f>
        <v>Pass</v>
      </c>
    </row>
    <row r="65" ht="15.75" customHeight="1">
      <c r="A65" s="1" t="str">
        <f>IFERROR(__xludf.DUMMYFUNCTION("""COMPUTED_VALUE"""),"STD-1367")</f>
        <v>STD-1367</v>
      </c>
      <c r="B65" s="1" t="str">
        <f>IFERROR(__xludf.DUMMYFUNCTION("""COMPUTED_VALUE"""),"Arjun Sharma")</f>
        <v>Arjun Sharma</v>
      </c>
      <c r="C65" s="1" t="str">
        <f>IFERROR(__xludf.DUMMYFUNCTION("""COMPUTED_VALUE"""),"Male")</f>
        <v>Male</v>
      </c>
      <c r="D65" s="1" t="str">
        <f>IFERROR(__xludf.DUMMYFUNCTION("""COMPUTED_VALUE"""),"8")</f>
        <v>8</v>
      </c>
      <c r="E65" s="1" t="str">
        <f>IFERROR(__xludf.DUMMYFUNCTION("""COMPUTED_VALUE"""),"B")</f>
        <v>B</v>
      </c>
      <c r="F65" s="1" t="str">
        <f>IFERROR(__xludf.DUMMYFUNCTION("""COMPUTED_VALUE"""),"Delhi")</f>
        <v>Delhi</v>
      </c>
      <c r="G65" s="1">
        <f>IFERROR(__xludf.DUMMYFUNCTION("""COMPUTED_VALUE"""),92.0)</f>
        <v>92</v>
      </c>
      <c r="H65" s="1">
        <f>IFERROR(__xludf.DUMMYFUNCTION("""COMPUTED_VALUE"""),57.0)</f>
        <v>57</v>
      </c>
      <c r="I65" s="1">
        <f>IFERROR(__xludf.DUMMYFUNCTION("""COMPUTED_VALUE"""),95.0)</f>
        <v>95</v>
      </c>
      <c r="J65" s="1">
        <f>IFERROR(__xludf.DUMMYFUNCTION("""COMPUTED_VALUE"""),54.0)</f>
        <v>54</v>
      </c>
      <c r="K65" s="1">
        <f>IFERROR(__xludf.DUMMYFUNCTION("""COMPUTED_VALUE"""),87.0)</f>
        <v>87</v>
      </c>
      <c r="L65" s="1">
        <f>IFERROR(__xludf.DUMMYFUNCTION("""COMPUTED_VALUE"""),385.0)</f>
        <v>385</v>
      </c>
      <c r="M65" s="1">
        <f>IFERROR(__xludf.DUMMYFUNCTION("""COMPUTED_VALUE"""),77.0)</f>
        <v>77</v>
      </c>
      <c r="N65" s="1">
        <f>IFERROR(__xludf.DUMMYFUNCTION("""COMPUTED_VALUE"""),60.0)</f>
        <v>60</v>
      </c>
      <c r="O65" s="1" t="str">
        <f>IFERROR(__xludf.DUMMYFUNCTION("""COMPUTED_VALUE"""),"Pass")</f>
        <v>Pass</v>
      </c>
    </row>
    <row r="66" ht="15.75" customHeight="1">
      <c r="A66" s="1" t="str">
        <f>IFERROR(__xludf.DUMMYFUNCTION("""COMPUTED_VALUE"""),"STD-1369")</f>
        <v>STD-1369</v>
      </c>
      <c r="B66" s="1" t="str">
        <f>IFERROR(__xludf.DUMMYFUNCTION("""COMPUTED_VALUE"""),"Ishita Verma")</f>
        <v>Ishita Verma</v>
      </c>
      <c r="C66" s="1" t="str">
        <f>IFERROR(__xludf.DUMMYFUNCTION("""COMPUTED_VALUE"""),"Male")</f>
        <v>Male</v>
      </c>
      <c r="D66" s="1" t="str">
        <f>IFERROR(__xludf.DUMMYFUNCTION("""COMPUTED_VALUE"""),"8")</f>
        <v>8</v>
      </c>
      <c r="E66" s="1" t="str">
        <f>IFERROR(__xludf.DUMMYFUNCTION("""COMPUTED_VALUE"""),"C")</f>
        <v>C</v>
      </c>
      <c r="F66" s="1" t="str">
        <f>IFERROR(__xludf.DUMMYFUNCTION("""COMPUTED_VALUE"""),"Jaipur")</f>
        <v>Jaipur</v>
      </c>
      <c r="G66" s="1">
        <f>IFERROR(__xludf.DUMMYFUNCTION("""COMPUTED_VALUE"""),67.0)</f>
        <v>67</v>
      </c>
      <c r="H66" s="1">
        <f>IFERROR(__xludf.DUMMYFUNCTION("""COMPUTED_VALUE"""),56.0)</f>
        <v>56</v>
      </c>
      <c r="I66" s="1">
        <f>IFERROR(__xludf.DUMMYFUNCTION("""COMPUTED_VALUE"""),52.0)</f>
        <v>52</v>
      </c>
      <c r="J66" s="1">
        <f>IFERROR(__xludf.DUMMYFUNCTION("""COMPUTED_VALUE"""),75.0)</f>
        <v>75</v>
      </c>
      <c r="K66" s="1">
        <f>IFERROR(__xludf.DUMMYFUNCTION("""COMPUTED_VALUE"""),93.0)</f>
        <v>93</v>
      </c>
      <c r="L66" s="1">
        <f>IFERROR(__xludf.DUMMYFUNCTION("""COMPUTED_VALUE"""),343.0)</f>
        <v>343</v>
      </c>
      <c r="M66" s="1">
        <f>IFERROR(__xludf.DUMMYFUNCTION("""COMPUTED_VALUE"""),68.6)</f>
        <v>68.6</v>
      </c>
      <c r="N66" s="1">
        <f>IFERROR(__xludf.DUMMYFUNCTION("""COMPUTED_VALUE"""),97.0)</f>
        <v>97</v>
      </c>
      <c r="O66" s="1" t="str">
        <f>IFERROR(__xludf.DUMMYFUNCTION("""COMPUTED_VALUE"""),"Pass")</f>
        <v>Pass</v>
      </c>
    </row>
    <row r="67" ht="15.75" customHeight="1">
      <c r="A67" s="1" t="str">
        <f>IFERROR(__xludf.DUMMYFUNCTION("""COMPUTED_VALUE"""),"STD-1371")</f>
        <v>STD-1371</v>
      </c>
      <c r="B67" s="1" t="str">
        <f>IFERROR(__xludf.DUMMYFUNCTION("""COMPUTED_VALUE"""),"Sai Patel")</f>
        <v>Sai Patel</v>
      </c>
      <c r="C67" s="1" t="str">
        <f>IFERROR(__xludf.DUMMYFUNCTION("""COMPUTED_VALUE"""),"Male")</f>
        <v>Male</v>
      </c>
      <c r="D67" s="1" t="str">
        <f>IFERROR(__xludf.DUMMYFUNCTION("""COMPUTED_VALUE"""),"8")</f>
        <v>8</v>
      </c>
      <c r="E67" s="1" t="str">
        <f>IFERROR(__xludf.DUMMYFUNCTION("""COMPUTED_VALUE"""),"C")</f>
        <v>C</v>
      </c>
      <c r="F67" s="1" t="str">
        <f>IFERROR(__xludf.DUMMYFUNCTION("""COMPUTED_VALUE"""),"Mumbai")</f>
        <v>Mumbai</v>
      </c>
      <c r="G67" s="1">
        <f>IFERROR(__xludf.DUMMYFUNCTION("""COMPUTED_VALUE"""),65.0)</f>
        <v>65</v>
      </c>
      <c r="H67" s="1">
        <f>IFERROR(__xludf.DUMMYFUNCTION("""COMPUTED_VALUE"""),72.0)</f>
        <v>72</v>
      </c>
      <c r="I67" s="1">
        <f>IFERROR(__xludf.DUMMYFUNCTION("""COMPUTED_VALUE"""),55.0)</f>
        <v>55</v>
      </c>
      <c r="J67" s="1">
        <f>IFERROR(__xludf.DUMMYFUNCTION("""COMPUTED_VALUE"""),72.0)</f>
        <v>72</v>
      </c>
      <c r="K67" s="1">
        <f>IFERROR(__xludf.DUMMYFUNCTION("""COMPUTED_VALUE"""),91.0)</f>
        <v>91</v>
      </c>
      <c r="L67" s="1">
        <f>IFERROR(__xludf.DUMMYFUNCTION("""COMPUTED_VALUE"""),355.0)</f>
        <v>355</v>
      </c>
      <c r="M67" s="1">
        <f>IFERROR(__xludf.DUMMYFUNCTION("""COMPUTED_VALUE"""),71.0)</f>
        <v>71</v>
      </c>
      <c r="N67" s="1">
        <f>IFERROR(__xludf.DUMMYFUNCTION("""COMPUTED_VALUE"""),86.0)</f>
        <v>86</v>
      </c>
      <c r="O67" s="1" t="str">
        <f>IFERROR(__xludf.DUMMYFUNCTION("""COMPUTED_VALUE"""),"Pass")</f>
        <v>Pass</v>
      </c>
    </row>
    <row r="68" ht="15.75" customHeight="1">
      <c r="A68" s="1" t="str">
        <f>IFERROR(__xludf.DUMMYFUNCTION("""COMPUTED_VALUE"""),"STD-1377")</f>
        <v>STD-1377</v>
      </c>
      <c r="B68" s="1" t="str">
        <f>IFERROR(__xludf.DUMMYFUNCTION("""COMPUTED_VALUE"""),"Shreya Reddy")</f>
        <v>Shreya Reddy</v>
      </c>
      <c r="C68" s="1" t="str">
        <f>IFERROR(__xludf.DUMMYFUNCTION("""COMPUTED_VALUE"""),"Male")</f>
        <v>Male</v>
      </c>
      <c r="D68" s="1" t="str">
        <f>IFERROR(__xludf.DUMMYFUNCTION("""COMPUTED_VALUE"""),"8")</f>
        <v>8</v>
      </c>
      <c r="E68" s="1" t="str">
        <f>IFERROR(__xludf.DUMMYFUNCTION("""COMPUTED_VALUE"""),"C")</f>
        <v>C</v>
      </c>
      <c r="F68" s="1" t="str">
        <f>IFERROR(__xludf.DUMMYFUNCTION("""COMPUTED_VALUE"""),"Patna")</f>
        <v>Patna</v>
      </c>
      <c r="G68" s="1">
        <f>IFERROR(__xludf.DUMMYFUNCTION("""COMPUTED_VALUE"""),94.0)</f>
        <v>94</v>
      </c>
      <c r="H68" s="1">
        <f>IFERROR(__xludf.DUMMYFUNCTION("""COMPUTED_VALUE"""),48.0)</f>
        <v>48</v>
      </c>
      <c r="I68" s="1">
        <f>IFERROR(__xludf.DUMMYFUNCTION("""COMPUTED_VALUE"""),80.0)</f>
        <v>80</v>
      </c>
      <c r="J68" s="1">
        <f>IFERROR(__xludf.DUMMYFUNCTION("""COMPUTED_VALUE"""),42.0)</f>
        <v>42</v>
      </c>
      <c r="K68" s="1">
        <f>IFERROR(__xludf.DUMMYFUNCTION("""COMPUTED_VALUE"""),91.0)</f>
        <v>91</v>
      </c>
      <c r="L68" s="1">
        <f>IFERROR(__xludf.DUMMYFUNCTION("""COMPUTED_VALUE"""),355.0)</f>
        <v>355</v>
      </c>
      <c r="M68" s="1">
        <f>IFERROR(__xludf.DUMMYFUNCTION("""COMPUTED_VALUE"""),71.0)</f>
        <v>71</v>
      </c>
      <c r="N68" s="1">
        <f>IFERROR(__xludf.DUMMYFUNCTION("""COMPUTED_VALUE"""),81.0)</f>
        <v>81</v>
      </c>
      <c r="O68" s="1" t="str">
        <f>IFERROR(__xludf.DUMMYFUNCTION("""COMPUTED_VALUE"""),"Pass")</f>
        <v>Pass</v>
      </c>
    </row>
    <row r="69" ht="15.75" customHeight="1">
      <c r="A69" s="1" t="str">
        <f>IFERROR(__xludf.DUMMYFUNCTION("""COMPUTED_VALUE"""),"STD-1380")</f>
        <v>STD-1380</v>
      </c>
      <c r="B69" s="1" t="str">
        <f>IFERROR(__xludf.DUMMYFUNCTION("""COMPUTED_VALUE"""),"Rohan Yadav")</f>
        <v>Rohan Yadav</v>
      </c>
      <c r="C69" s="1" t="str">
        <f>IFERROR(__xludf.DUMMYFUNCTION("""COMPUTED_VALUE"""),"Male")</f>
        <v>Male</v>
      </c>
      <c r="D69" s="1" t="str">
        <f>IFERROR(__xludf.DUMMYFUNCTION("""COMPUTED_VALUE"""),"8")</f>
        <v>8</v>
      </c>
      <c r="E69" s="1" t="str">
        <f>IFERROR(__xludf.DUMMYFUNCTION("""COMPUTED_VALUE"""),"C")</f>
        <v>C</v>
      </c>
      <c r="F69" s="1" t="str">
        <f>IFERROR(__xludf.DUMMYFUNCTION("""COMPUTED_VALUE"""),"Mumbai")</f>
        <v>Mumbai</v>
      </c>
      <c r="G69" s="1">
        <f>IFERROR(__xludf.DUMMYFUNCTION("""COMPUTED_VALUE"""),71.0)</f>
        <v>71</v>
      </c>
      <c r="H69" s="1">
        <f>IFERROR(__xludf.DUMMYFUNCTION("""COMPUTED_VALUE"""),89.0)</f>
        <v>89</v>
      </c>
      <c r="I69" s="1">
        <f>IFERROR(__xludf.DUMMYFUNCTION("""COMPUTED_VALUE"""),83.0)</f>
        <v>83</v>
      </c>
      <c r="J69" s="1">
        <f>IFERROR(__xludf.DUMMYFUNCTION("""COMPUTED_VALUE"""),56.0)</f>
        <v>56</v>
      </c>
      <c r="K69" s="1">
        <f>IFERROR(__xludf.DUMMYFUNCTION("""COMPUTED_VALUE"""),47.0)</f>
        <v>47</v>
      </c>
      <c r="L69" s="1">
        <f>IFERROR(__xludf.DUMMYFUNCTION("""COMPUTED_VALUE"""),346.0)</f>
        <v>346</v>
      </c>
      <c r="M69" s="1">
        <f>IFERROR(__xludf.DUMMYFUNCTION("""COMPUTED_VALUE"""),69.2)</f>
        <v>69.2</v>
      </c>
      <c r="N69" s="1">
        <f>IFERROR(__xludf.DUMMYFUNCTION("""COMPUTED_VALUE"""),100.0)</f>
        <v>100</v>
      </c>
      <c r="O69" s="1" t="str">
        <f>IFERROR(__xludf.DUMMYFUNCTION("""COMPUTED_VALUE"""),"Pass")</f>
        <v>Pass</v>
      </c>
    </row>
    <row r="70" ht="15.75" customHeight="1">
      <c r="A70" s="1" t="str">
        <f>IFERROR(__xludf.DUMMYFUNCTION("""COMPUTED_VALUE"""),"STD-1389")</f>
        <v>STD-1389</v>
      </c>
      <c r="B70" s="1" t="str">
        <f>IFERROR(__xludf.DUMMYFUNCTION("""COMPUTED_VALUE"""),"Ritika Yadav")</f>
        <v>Ritika Yadav</v>
      </c>
      <c r="C70" s="1" t="str">
        <f>IFERROR(__xludf.DUMMYFUNCTION("""COMPUTED_VALUE"""),"Male")</f>
        <v>Male</v>
      </c>
      <c r="D70" s="1" t="str">
        <f>IFERROR(__xludf.DUMMYFUNCTION("""COMPUTED_VALUE"""),"8")</f>
        <v>8</v>
      </c>
      <c r="E70" s="1" t="str">
        <f>IFERROR(__xludf.DUMMYFUNCTION("""COMPUTED_VALUE"""),"B")</f>
        <v>B</v>
      </c>
      <c r="F70" s="1" t="str">
        <f>IFERROR(__xludf.DUMMYFUNCTION("""COMPUTED_VALUE"""),"Kolkata")</f>
        <v>Kolkata</v>
      </c>
      <c r="G70" s="1">
        <f>IFERROR(__xludf.DUMMYFUNCTION("""COMPUTED_VALUE"""),91.0)</f>
        <v>91</v>
      </c>
      <c r="H70" s="1">
        <f>IFERROR(__xludf.DUMMYFUNCTION("""COMPUTED_VALUE"""),56.0)</f>
        <v>56</v>
      </c>
      <c r="I70" s="1">
        <f>IFERROR(__xludf.DUMMYFUNCTION("""COMPUTED_VALUE"""),80.0)</f>
        <v>80</v>
      </c>
      <c r="J70" s="1">
        <f>IFERROR(__xludf.DUMMYFUNCTION("""COMPUTED_VALUE"""),71.0)</f>
        <v>71</v>
      </c>
      <c r="K70" s="1">
        <f>IFERROR(__xludf.DUMMYFUNCTION("""COMPUTED_VALUE"""),100.0)</f>
        <v>100</v>
      </c>
      <c r="L70" s="1">
        <f>IFERROR(__xludf.DUMMYFUNCTION("""COMPUTED_VALUE"""),398.0)</f>
        <v>398</v>
      </c>
      <c r="M70" s="1">
        <f>IFERROR(__xludf.DUMMYFUNCTION("""COMPUTED_VALUE"""),79.6)</f>
        <v>79.6</v>
      </c>
      <c r="N70" s="1">
        <f>IFERROR(__xludf.DUMMYFUNCTION("""COMPUTED_VALUE"""),84.0)</f>
        <v>84</v>
      </c>
      <c r="O70" s="1" t="str">
        <f>IFERROR(__xludf.DUMMYFUNCTION("""COMPUTED_VALUE"""),"Pass")</f>
        <v>Pass</v>
      </c>
    </row>
    <row r="71" ht="15.75" customHeight="1">
      <c r="A71" s="1" t="str">
        <f>IFERROR(__xludf.DUMMYFUNCTION("""COMPUTED_VALUE"""),"STD-1400")</f>
        <v>STD-1400</v>
      </c>
      <c r="B71" s="1" t="str">
        <f>IFERROR(__xludf.DUMMYFUNCTION("""COMPUTED_VALUE"""),"Ananya Iyer")</f>
        <v>Ananya Iyer</v>
      </c>
      <c r="C71" s="1" t="str">
        <f>IFERROR(__xludf.DUMMYFUNCTION("""COMPUTED_VALUE"""),"Male")</f>
        <v>Male</v>
      </c>
      <c r="D71" s="1" t="str">
        <f>IFERROR(__xludf.DUMMYFUNCTION("""COMPUTED_VALUE"""),"8")</f>
        <v>8</v>
      </c>
      <c r="E71" s="1" t="str">
        <f>IFERROR(__xludf.DUMMYFUNCTION("""COMPUTED_VALUE"""),"C")</f>
        <v>C</v>
      </c>
      <c r="F71" s="1" t="str">
        <f>IFERROR(__xludf.DUMMYFUNCTION("""COMPUTED_VALUE"""),"Chandigarh")</f>
        <v>Chandigarh</v>
      </c>
      <c r="G71" s="1">
        <f>IFERROR(__xludf.DUMMYFUNCTION("""COMPUTED_VALUE"""),87.0)</f>
        <v>87</v>
      </c>
      <c r="H71" s="1">
        <f>IFERROR(__xludf.DUMMYFUNCTION("""COMPUTED_VALUE"""),52.0)</f>
        <v>52</v>
      </c>
      <c r="I71" s="1">
        <f>IFERROR(__xludf.DUMMYFUNCTION("""COMPUTED_VALUE"""),98.0)</f>
        <v>98</v>
      </c>
      <c r="J71" s="1">
        <f>IFERROR(__xludf.DUMMYFUNCTION("""COMPUTED_VALUE"""),66.0)</f>
        <v>66</v>
      </c>
      <c r="K71" s="1">
        <f>IFERROR(__xludf.DUMMYFUNCTION("""COMPUTED_VALUE"""),80.0)</f>
        <v>80</v>
      </c>
      <c r="L71" s="1">
        <f>IFERROR(__xludf.DUMMYFUNCTION("""COMPUTED_VALUE"""),383.0)</f>
        <v>383</v>
      </c>
      <c r="M71" s="1">
        <f>IFERROR(__xludf.DUMMYFUNCTION("""COMPUTED_VALUE"""),76.6)</f>
        <v>76.6</v>
      </c>
      <c r="N71" s="1">
        <f>IFERROR(__xludf.DUMMYFUNCTION("""COMPUTED_VALUE"""),95.0)</f>
        <v>95</v>
      </c>
      <c r="O71" s="1" t="str">
        <f>IFERROR(__xludf.DUMMYFUNCTION("""COMPUTED_VALUE"""),"Pass")</f>
        <v>Pass</v>
      </c>
    </row>
    <row r="72" ht="15.75" customHeight="1">
      <c r="A72" s="1" t="str">
        <f>IFERROR(__xludf.DUMMYFUNCTION("""COMPUTED_VALUE"""),"STD-1401")</f>
        <v>STD-1401</v>
      </c>
      <c r="B72" s="1" t="str">
        <f>IFERROR(__xludf.DUMMYFUNCTION("""COMPUTED_VALUE"""),"Rohan Das")</f>
        <v>Rohan Das</v>
      </c>
      <c r="C72" s="1" t="str">
        <f>IFERROR(__xludf.DUMMYFUNCTION("""COMPUTED_VALUE"""),"Male")</f>
        <v>Male</v>
      </c>
      <c r="D72" s="1" t="str">
        <f>IFERROR(__xludf.DUMMYFUNCTION("""COMPUTED_VALUE"""),"8")</f>
        <v>8</v>
      </c>
      <c r="E72" s="1" t="str">
        <f>IFERROR(__xludf.DUMMYFUNCTION("""COMPUTED_VALUE"""),"C")</f>
        <v>C</v>
      </c>
      <c r="F72" s="1" t="str">
        <f>IFERROR(__xludf.DUMMYFUNCTION("""COMPUTED_VALUE"""),"Jaipur")</f>
        <v>Jaipur</v>
      </c>
      <c r="G72" s="1">
        <f>IFERROR(__xludf.DUMMYFUNCTION("""COMPUTED_VALUE"""),90.0)</f>
        <v>90</v>
      </c>
      <c r="H72" s="1">
        <f>IFERROR(__xludf.DUMMYFUNCTION("""COMPUTED_VALUE"""),76.0)</f>
        <v>76</v>
      </c>
      <c r="I72" s="1">
        <f>IFERROR(__xludf.DUMMYFUNCTION("""COMPUTED_VALUE"""),70.0)</f>
        <v>70</v>
      </c>
      <c r="J72" s="1">
        <f>IFERROR(__xludf.DUMMYFUNCTION("""COMPUTED_VALUE"""),96.0)</f>
        <v>96</v>
      </c>
      <c r="K72" s="1">
        <f>IFERROR(__xludf.DUMMYFUNCTION("""COMPUTED_VALUE"""),50.0)</f>
        <v>50</v>
      </c>
      <c r="L72" s="1">
        <f>IFERROR(__xludf.DUMMYFUNCTION("""COMPUTED_VALUE"""),382.0)</f>
        <v>382</v>
      </c>
      <c r="M72" s="1">
        <f>IFERROR(__xludf.DUMMYFUNCTION("""COMPUTED_VALUE"""),76.4)</f>
        <v>76.4</v>
      </c>
      <c r="N72" s="1">
        <f>IFERROR(__xludf.DUMMYFUNCTION("""COMPUTED_VALUE"""),71.0)</f>
        <v>71</v>
      </c>
      <c r="O72" s="1" t="str">
        <f>IFERROR(__xludf.DUMMYFUNCTION("""COMPUTED_VALUE"""),"Pass")</f>
        <v>Pass</v>
      </c>
    </row>
    <row r="73" ht="15.75" customHeight="1">
      <c r="A73" s="1" t="str">
        <f>IFERROR(__xludf.DUMMYFUNCTION("""COMPUTED_VALUE"""),"STD-1403")</f>
        <v>STD-1403</v>
      </c>
      <c r="B73" s="1" t="str">
        <f>IFERROR(__xludf.DUMMYFUNCTION("""COMPUTED_VALUE"""),"Pooja Patel")</f>
        <v>Pooja Patel</v>
      </c>
      <c r="C73" s="1" t="str">
        <f>IFERROR(__xludf.DUMMYFUNCTION("""COMPUTED_VALUE"""),"Female")</f>
        <v>Female</v>
      </c>
      <c r="D73" s="1" t="str">
        <f>IFERROR(__xludf.DUMMYFUNCTION("""COMPUTED_VALUE"""),"8")</f>
        <v>8</v>
      </c>
      <c r="E73" s="1" t="str">
        <f>IFERROR(__xludf.DUMMYFUNCTION("""COMPUTED_VALUE"""),"B")</f>
        <v>B</v>
      </c>
      <c r="F73" s="1" t="str">
        <f>IFERROR(__xludf.DUMMYFUNCTION("""COMPUTED_VALUE"""),"Patna")</f>
        <v>Patna</v>
      </c>
      <c r="G73" s="1">
        <f>IFERROR(__xludf.DUMMYFUNCTION("""COMPUTED_VALUE"""),78.0)</f>
        <v>78</v>
      </c>
      <c r="H73" s="1">
        <f>IFERROR(__xludf.DUMMYFUNCTION("""COMPUTED_VALUE"""),41.0)</f>
        <v>41</v>
      </c>
      <c r="I73" s="1">
        <f>IFERROR(__xludf.DUMMYFUNCTION("""COMPUTED_VALUE"""),44.0)</f>
        <v>44</v>
      </c>
      <c r="J73" s="1">
        <f>IFERROR(__xludf.DUMMYFUNCTION("""COMPUTED_VALUE"""),52.0)</f>
        <v>52</v>
      </c>
      <c r="K73" s="1">
        <f>IFERROR(__xludf.DUMMYFUNCTION("""COMPUTED_VALUE"""),89.0)</f>
        <v>89</v>
      </c>
      <c r="L73" s="1">
        <f>IFERROR(__xludf.DUMMYFUNCTION("""COMPUTED_VALUE"""),304.0)</f>
        <v>304</v>
      </c>
      <c r="M73" s="1">
        <f>IFERROR(__xludf.DUMMYFUNCTION("""COMPUTED_VALUE"""),60.8)</f>
        <v>60.8</v>
      </c>
      <c r="N73" s="1">
        <f>IFERROR(__xludf.DUMMYFUNCTION("""COMPUTED_VALUE"""),92.0)</f>
        <v>92</v>
      </c>
      <c r="O73" s="1" t="str">
        <f>IFERROR(__xludf.DUMMYFUNCTION("""COMPUTED_VALUE"""),"Pass")</f>
        <v>Pass</v>
      </c>
    </row>
    <row r="74" ht="15.75" customHeight="1">
      <c r="A74" s="1" t="str">
        <f>IFERROR(__xludf.DUMMYFUNCTION("""COMPUTED_VALUE"""),"STD-1406")</f>
        <v>STD-1406</v>
      </c>
      <c r="B74" s="1" t="str">
        <f>IFERROR(__xludf.DUMMYFUNCTION("""COMPUTED_VALUE"""),"Sai Das")</f>
        <v>Sai Das</v>
      </c>
      <c r="C74" s="1" t="str">
        <f>IFERROR(__xludf.DUMMYFUNCTION("""COMPUTED_VALUE"""),"Female")</f>
        <v>Female</v>
      </c>
      <c r="D74" s="1" t="str">
        <f>IFERROR(__xludf.DUMMYFUNCTION("""COMPUTED_VALUE"""),"8")</f>
        <v>8</v>
      </c>
      <c r="E74" s="1" t="str">
        <f>IFERROR(__xludf.DUMMYFUNCTION("""COMPUTED_VALUE"""),"B")</f>
        <v>B</v>
      </c>
      <c r="F74" s="1" t="str">
        <f>IFERROR(__xludf.DUMMYFUNCTION("""COMPUTED_VALUE"""),"Chandigarh")</f>
        <v>Chandigarh</v>
      </c>
      <c r="G74" s="1">
        <f>IFERROR(__xludf.DUMMYFUNCTION("""COMPUTED_VALUE"""),67.0)</f>
        <v>67</v>
      </c>
      <c r="H74" s="1">
        <f>IFERROR(__xludf.DUMMYFUNCTION("""COMPUTED_VALUE"""),76.0)</f>
        <v>76</v>
      </c>
      <c r="I74" s="1">
        <f>IFERROR(__xludf.DUMMYFUNCTION("""COMPUTED_VALUE"""),51.0)</f>
        <v>51</v>
      </c>
      <c r="J74" s="1">
        <f>IFERROR(__xludf.DUMMYFUNCTION("""COMPUTED_VALUE"""),52.0)</f>
        <v>52</v>
      </c>
      <c r="K74" s="1">
        <f>IFERROR(__xludf.DUMMYFUNCTION("""COMPUTED_VALUE"""),87.0)</f>
        <v>87</v>
      </c>
      <c r="L74" s="1">
        <f>IFERROR(__xludf.DUMMYFUNCTION("""COMPUTED_VALUE"""),333.0)</f>
        <v>333</v>
      </c>
      <c r="M74" s="1">
        <f>IFERROR(__xludf.DUMMYFUNCTION("""COMPUTED_VALUE"""),66.6)</f>
        <v>66.6</v>
      </c>
      <c r="N74" s="1">
        <f>IFERROR(__xludf.DUMMYFUNCTION("""COMPUTED_VALUE"""),83.0)</f>
        <v>83</v>
      </c>
      <c r="O74" s="1" t="str">
        <f>IFERROR(__xludf.DUMMYFUNCTION("""COMPUTED_VALUE"""),"Pass")</f>
        <v>Pass</v>
      </c>
    </row>
    <row r="75" ht="15.75" customHeight="1">
      <c r="A75" s="1" t="str">
        <f>IFERROR(__xludf.DUMMYFUNCTION("""COMPUTED_VALUE"""),"STD-1409")</f>
        <v>STD-1409</v>
      </c>
      <c r="B75" s="1" t="str">
        <f>IFERROR(__xludf.DUMMYFUNCTION("""COMPUTED_VALUE"""),"Vivaan Gupta")</f>
        <v>Vivaan Gupta</v>
      </c>
      <c r="C75" s="1" t="str">
        <f>IFERROR(__xludf.DUMMYFUNCTION("""COMPUTED_VALUE"""),"Female")</f>
        <v>Female</v>
      </c>
      <c r="D75" s="1" t="str">
        <f>IFERROR(__xludf.DUMMYFUNCTION("""COMPUTED_VALUE"""),"8")</f>
        <v>8</v>
      </c>
      <c r="E75" s="1" t="str">
        <f>IFERROR(__xludf.DUMMYFUNCTION("""COMPUTED_VALUE"""),"A")</f>
        <v>A</v>
      </c>
      <c r="F75" s="1" t="str">
        <f>IFERROR(__xludf.DUMMYFUNCTION("""COMPUTED_VALUE"""),"Kolkata")</f>
        <v>Kolkata</v>
      </c>
      <c r="G75" s="1">
        <f>IFERROR(__xludf.DUMMYFUNCTION("""COMPUTED_VALUE"""),75.0)</f>
        <v>75</v>
      </c>
      <c r="H75" s="1">
        <f>IFERROR(__xludf.DUMMYFUNCTION("""COMPUTED_VALUE"""),80.0)</f>
        <v>80</v>
      </c>
      <c r="I75" s="1">
        <f>IFERROR(__xludf.DUMMYFUNCTION("""COMPUTED_VALUE"""),100.0)</f>
        <v>100</v>
      </c>
      <c r="J75" s="1">
        <f>IFERROR(__xludf.DUMMYFUNCTION("""COMPUTED_VALUE"""),67.0)</f>
        <v>67</v>
      </c>
      <c r="K75" s="1">
        <f>IFERROR(__xludf.DUMMYFUNCTION("""COMPUTED_VALUE"""),91.0)</f>
        <v>91</v>
      </c>
      <c r="L75" s="1">
        <f>IFERROR(__xludf.DUMMYFUNCTION("""COMPUTED_VALUE"""),413.0)</f>
        <v>413</v>
      </c>
      <c r="M75" s="1">
        <f>IFERROR(__xludf.DUMMYFUNCTION("""COMPUTED_VALUE"""),82.6)</f>
        <v>82.6</v>
      </c>
      <c r="N75" s="1">
        <f>IFERROR(__xludf.DUMMYFUNCTION("""COMPUTED_VALUE"""),97.0)</f>
        <v>97</v>
      </c>
      <c r="O75" s="1" t="str">
        <f>IFERROR(__xludf.DUMMYFUNCTION("""COMPUTED_VALUE"""),"Pass")</f>
        <v>Pass</v>
      </c>
    </row>
    <row r="76" ht="15.75" customHeight="1">
      <c r="A76" s="1" t="str">
        <f>IFERROR(__xludf.DUMMYFUNCTION("""COMPUTED_VALUE"""),"STD-1411")</f>
        <v>STD-1411</v>
      </c>
      <c r="B76" s="1" t="str">
        <f>IFERROR(__xludf.DUMMYFUNCTION("""COMPUTED_VALUE"""),"Pooja Das")</f>
        <v>Pooja Das</v>
      </c>
      <c r="C76" s="1" t="str">
        <f>IFERROR(__xludf.DUMMYFUNCTION("""COMPUTED_VALUE"""),"Male")</f>
        <v>Male</v>
      </c>
      <c r="D76" s="1" t="str">
        <f>IFERROR(__xludf.DUMMYFUNCTION("""COMPUTED_VALUE"""),"8")</f>
        <v>8</v>
      </c>
      <c r="E76" s="1" t="str">
        <f>IFERROR(__xludf.DUMMYFUNCTION("""COMPUTED_VALUE"""),"A")</f>
        <v>A</v>
      </c>
      <c r="F76" s="1" t="str">
        <f>IFERROR(__xludf.DUMMYFUNCTION("""COMPUTED_VALUE"""),"Lucknow")</f>
        <v>Lucknow</v>
      </c>
      <c r="G76" s="1">
        <f>IFERROR(__xludf.DUMMYFUNCTION("""COMPUTED_VALUE"""),76.0)</f>
        <v>76</v>
      </c>
      <c r="H76" s="1">
        <f>IFERROR(__xludf.DUMMYFUNCTION("""COMPUTED_VALUE"""),41.0)</f>
        <v>41</v>
      </c>
      <c r="I76" s="1">
        <f>IFERROR(__xludf.DUMMYFUNCTION("""COMPUTED_VALUE"""),49.0)</f>
        <v>49</v>
      </c>
      <c r="J76" s="1">
        <f>IFERROR(__xludf.DUMMYFUNCTION("""COMPUTED_VALUE"""),54.0)</f>
        <v>54</v>
      </c>
      <c r="K76" s="1">
        <f>IFERROR(__xludf.DUMMYFUNCTION("""COMPUTED_VALUE"""),48.0)</f>
        <v>48</v>
      </c>
      <c r="L76" s="1">
        <f>IFERROR(__xludf.DUMMYFUNCTION("""COMPUTED_VALUE"""),268.0)</f>
        <v>268</v>
      </c>
      <c r="M76" s="1">
        <f>IFERROR(__xludf.DUMMYFUNCTION("""COMPUTED_VALUE"""),53.6)</f>
        <v>53.6</v>
      </c>
      <c r="N76" s="1">
        <f>IFERROR(__xludf.DUMMYFUNCTION("""COMPUTED_VALUE"""),88.0)</f>
        <v>88</v>
      </c>
      <c r="O76" s="1" t="str">
        <f>IFERROR(__xludf.DUMMYFUNCTION("""COMPUTED_VALUE"""),"Pass")</f>
        <v>Pass</v>
      </c>
    </row>
    <row r="77" ht="15.75" customHeight="1">
      <c r="A77" s="1" t="str">
        <f>IFERROR(__xludf.DUMMYFUNCTION("""COMPUTED_VALUE"""),"STD-1412")</f>
        <v>STD-1412</v>
      </c>
      <c r="B77" s="1" t="str">
        <f>IFERROR(__xludf.DUMMYFUNCTION("""COMPUTED_VALUE"""),"Aarav Verma")</f>
        <v>Aarav Verma</v>
      </c>
      <c r="C77" s="1" t="str">
        <f>IFERROR(__xludf.DUMMYFUNCTION("""COMPUTED_VALUE"""),"Male")</f>
        <v>Male</v>
      </c>
      <c r="D77" s="1" t="str">
        <f>IFERROR(__xludf.DUMMYFUNCTION("""COMPUTED_VALUE"""),"8")</f>
        <v>8</v>
      </c>
      <c r="E77" s="1" t="str">
        <f>IFERROR(__xludf.DUMMYFUNCTION("""COMPUTED_VALUE"""),"A")</f>
        <v>A</v>
      </c>
      <c r="F77" s="1" t="str">
        <f>IFERROR(__xludf.DUMMYFUNCTION("""COMPUTED_VALUE"""),"Chandigarh")</f>
        <v>Chandigarh</v>
      </c>
      <c r="G77" s="1">
        <f>IFERROR(__xludf.DUMMYFUNCTION("""COMPUTED_VALUE"""),40.0)</f>
        <v>40</v>
      </c>
      <c r="H77" s="1">
        <f>IFERROR(__xludf.DUMMYFUNCTION("""COMPUTED_VALUE"""),57.0)</f>
        <v>57</v>
      </c>
      <c r="I77" s="1">
        <f>IFERROR(__xludf.DUMMYFUNCTION("""COMPUTED_VALUE"""),62.0)</f>
        <v>62</v>
      </c>
      <c r="J77" s="1">
        <f>IFERROR(__xludf.DUMMYFUNCTION("""COMPUTED_VALUE"""),43.0)</f>
        <v>43</v>
      </c>
      <c r="K77" s="1">
        <f>IFERROR(__xludf.DUMMYFUNCTION("""COMPUTED_VALUE"""),70.0)</f>
        <v>70</v>
      </c>
      <c r="L77" s="1">
        <f>IFERROR(__xludf.DUMMYFUNCTION("""COMPUTED_VALUE"""),272.0)</f>
        <v>272</v>
      </c>
      <c r="M77" s="1">
        <f>IFERROR(__xludf.DUMMYFUNCTION("""COMPUTED_VALUE"""),54.4)</f>
        <v>54.4</v>
      </c>
      <c r="N77" s="1">
        <f>IFERROR(__xludf.DUMMYFUNCTION("""COMPUTED_VALUE"""),60.0)</f>
        <v>60</v>
      </c>
      <c r="O77" s="1" t="str">
        <f>IFERROR(__xludf.DUMMYFUNCTION("""COMPUTED_VALUE"""),"Pass")</f>
        <v>Pass</v>
      </c>
    </row>
    <row r="78" ht="15.75" customHeight="1">
      <c r="A78" s="1" t="str">
        <f>IFERROR(__xludf.DUMMYFUNCTION("""COMPUTED_VALUE"""),"STD-1413")</f>
        <v>STD-1413</v>
      </c>
      <c r="B78" s="1" t="str">
        <f>IFERROR(__xludf.DUMMYFUNCTION("""COMPUTED_VALUE"""),"Aditya Kulkarni")</f>
        <v>Aditya Kulkarni</v>
      </c>
      <c r="C78" s="1" t="str">
        <f>IFERROR(__xludf.DUMMYFUNCTION("""COMPUTED_VALUE"""),"Male")</f>
        <v>Male</v>
      </c>
      <c r="D78" s="1" t="str">
        <f>IFERROR(__xludf.DUMMYFUNCTION("""COMPUTED_VALUE"""),"8")</f>
        <v>8</v>
      </c>
      <c r="E78" s="1" t="str">
        <f>IFERROR(__xludf.DUMMYFUNCTION("""COMPUTED_VALUE"""),"C")</f>
        <v>C</v>
      </c>
      <c r="F78" s="1" t="str">
        <f>IFERROR(__xludf.DUMMYFUNCTION("""COMPUTED_VALUE"""),"Jaipur")</f>
        <v>Jaipur</v>
      </c>
      <c r="G78" s="1">
        <f>IFERROR(__xludf.DUMMYFUNCTION("""COMPUTED_VALUE"""),61.0)</f>
        <v>61</v>
      </c>
      <c r="H78" s="1">
        <f>IFERROR(__xludf.DUMMYFUNCTION("""COMPUTED_VALUE"""),78.0)</f>
        <v>78</v>
      </c>
      <c r="I78" s="1">
        <f>IFERROR(__xludf.DUMMYFUNCTION("""COMPUTED_VALUE"""),100.0)</f>
        <v>100</v>
      </c>
      <c r="J78" s="1">
        <f>IFERROR(__xludf.DUMMYFUNCTION("""COMPUTED_VALUE"""),92.0)</f>
        <v>92</v>
      </c>
      <c r="K78" s="1">
        <f>IFERROR(__xludf.DUMMYFUNCTION("""COMPUTED_VALUE"""),45.0)</f>
        <v>45</v>
      </c>
      <c r="L78" s="1">
        <f>IFERROR(__xludf.DUMMYFUNCTION("""COMPUTED_VALUE"""),376.0)</f>
        <v>376</v>
      </c>
      <c r="M78" s="1">
        <f>IFERROR(__xludf.DUMMYFUNCTION("""COMPUTED_VALUE"""),75.2)</f>
        <v>75.2</v>
      </c>
      <c r="N78" s="1">
        <f>IFERROR(__xludf.DUMMYFUNCTION("""COMPUTED_VALUE"""),82.0)</f>
        <v>82</v>
      </c>
      <c r="O78" s="1" t="str">
        <f>IFERROR(__xludf.DUMMYFUNCTION("""COMPUTED_VALUE"""),"Pass")</f>
        <v>Pass</v>
      </c>
    </row>
    <row r="79" ht="15.75" customHeight="1">
      <c r="A79" s="1" t="str">
        <f>IFERROR(__xludf.DUMMYFUNCTION("""COMPUTED_VALUE"""),"STD-1415")</f>
        <v>STD-1415</v>
      </c>
      <c r="B79" s="1" t="str">
        <f>IFERROR(__xludf.DUMMYFUNCTION("""COMPUTED_VALUE"""),"Rohan Kulkarni")</f>
        <v>Rohan Kulkarni</v>
      </c>
      <c r="C79" s="1" t="str">
        <f>IFERROR(__xludf.DUMMYFUNCTION("""COMPUTED_VALUE"""),"Male")</f>
        <v>Male</v>
      </c>
      <c r="D79" s="1" t="str">
        <f>IFERROR(__xludf.DUMMYFUNCTION("""COMPUTED_VALUE"""),"8")</f>
        <v>8</v>
      </c>
      <c r="E79" s="1" t="str">
        <f>IFERROR(__xludf.DUMMYFUNCTION("""COMPUTED_VALUE"""),"C")</f>
        <v>C</v>
      </c>
      <c r="F79" s="1" t="str">
        <f>IFERROR(__xludf.DUMMYFUNCTION("""COMPUTED_VALUE"""),"Kolkata")</f>
        <v>Kolkata</v>
      </c>
      <c r="G79" s="1">
        <f>IFERROR(__xludf.DUMMYFUNCTION("""COMPUTED_VALUE"""),71.0)</f>
        <v>71</v>
      </c>
      <c r="H79" s="1">
        <f>IFERROR(__xludf.DUMMYFUNCTION("""COMPUTED_VALUE"""),70.0)</f>
        <v>70</v>
      </c>
      <c r="I79" s="1">
        <f>IFERROR(__xludf.DUMMYFUNCTION("""COMPUTED_VALUE"""),43.0)</f>
        <v>43</v>
      </c>
      <c r="J79" s="1">
        <f>IFERROR(__xludf.DUMMYFUNCTION("""COMPUTED_VALUE"""),50.0)</f>
        <v>50</v>
      </c>
      <c r="K79" s="1">
        <f>IFERROR(__xludf.DUMMYFUNCTION("""COMPUTED_VALUE"""),66.0)</f>
        <v>66</v>
      </c>
      <c r="L79" s="1">
        <f>IFERROR(__xludf.DUMMYFUNCTION("""COMPUTED_VALUE"""),300.0)</f>
        <v>300</v>
      </c>
      <c r="M79" s="1">
        <f>IFERROR(__xludf.DUMMYFUNCTION("""COMPUTED_VALUE"""),60.0)</f>
        <v>60</v>
      </c>
      <c r="N79" s="1">
        <f>IFERROR(__xludf.DUMMYFUNCTION("""COMPUTED_VALUE"""),80.0)</f>
        <v>80</v>
      </c>
      <c r="O79" s="1" t="str">
        <f>IFERROR(__xludf.DUMMYFUNCTION("""COMPUTED_VALUE"""),"Pass")</f>
        <v>Pass</v>
      </c>
    </row>
    <row r="80" ht="15.75" customHeight="1">
      <c r="A80" s="1" t="str">
        <f>IFERROR(__xludf.DUMMYFUNCTION("""COMPUTED_VALUE"""),"STD-1417")</f>
        <v>STD-1417</v>
      </c>
      <c r="B80" s="1" t="str">
        <f>IFERROR(__xludf.DUMMYFUNCTION("""COMPUTED_VALUE"""),"Arjun Patel")</f>
        <v>Arjun Patel</v>
      </c>
      <c r="C80" s="1" t="str">
        <f>IFERROR(__xludf.DUMMYFUNCTION("""COMPUTED_VALUE"""),"Male")</f>
        <v>Male</v>
      </c>
      <c r="D80" s="1" t="str">
        <f>IFERROR(__xludf.DUMMYFUNCTION("""COMPUTED_VALUE"""),"8")</f>
        <v>8</v>
      </c>
      <c r="E80" s="1" t="str">
        <f>IFERROR(__xludf.DUMMYFUNCTION("""COMPUTED_VALUE"""),"B")</f>
        <v>B</v>
      </c>
      <c r="F80" s="1" t="str">
        <f>IFERROR(__xludf.DUMMYFUNCTION("""COMPUTED_VALUE"""),"Delhi")</f>
        <v>Delhi</v>
      </c>
      <c r="G80" s="1">
        <f>IFERROR(__xludf.DUMMYFUNCTION("""COMPUTED_VALUE"""),40.0)</f>
        <v>40</v>
      </c>
      <c r="H80" s="1">
        <f>IFERROR(__xludf.DUMMYFUNCTION("""COMPUTED_VALUE"""),76.0)</f>
        <v>76</v>
      </c>
      <c r="I80" s="1">
        <f>IFERROR(__xludf.DUMMYFUNCTION("""COMPUTED_VALUE"""),98.0)</f>
        <v>98</v>
      </c>
      <c r="J80" s="1">
        <f>IFERROR(__xludf.DUMMYFUNCTION("""COMPUTED_VALUE"""),80.0)</f>
        <v>80</v>
      </c>
      <c r="K80" s="1">
        <f>IFERROR(__xludf.DUMMYFUNCTION("""COMPUTED_VALUE"""),46.0)</f>
        <v>46</v>
      </c>
      <c r="L80" s="1">
        <f>IFERROR(__xludf.DUMMYFUNCTION("""COMPUTED_VALUE"""),340.0)</f>
        <v>340</v>
      </c>
      <c r="M80" s="1">
        <f>IFERROR(__xludf.DUMMYFUNCTION("""COMPUTED_VALUE"""),68.0)</f>
        <v>68</v>
      </c>
      <c r="N80" s="1">
        <f>IFERROR(__xludf.DUMMYFUNCTION("""COMPUTED_VALUE"""),72.0)</f>
        <v>72</v>
      </c>
      <c r="O80" s="1" t="str">
        <f>IFERROR(__xludf.DUMMYFUNCTION("""COMPUTED_VALUE"""),"Pass")</f>
        <v>Pass</v>
      </c>
    </row>
    <row r="81" ht="15.75" customHeight="1">
      <c r="A81" s="1" t="str">
        <f>IFERROR(__xludf.DUMMYFUNCTION("""COMPUTED_VALUE"""),"STD-1422")</f>
        <v>STD-1422</v>
      </c>
      <c r="B81" s="1" t="str">
        <f>IFERROR(__xludf.DUMMYFUNCTION("""COMPUTED_VALUE"""),"Ritika Verma")</f>
        <v>Ritika Verma</v>
      </c>
      <c r="C81" s="1" t="str">
        <f>IFERROR(__xludf.DUMMYFUNCTION("""COMPUTED_VALUE"""),"Male")</f>
        <v>Male</v>
      </c>
      <c r="D81" s="1" t="str">
        <f>IFERROR(__xludf.DUMMYFUNCTION("""COMPUTED_VALUE"""),"8")</f>
        <v>8</v>
      </c>
      <c r="E81" s="1" t="str">
        <f>IFERROR(__xludf.DUMMYFUNCTION("""COMPUTED_VALUE"""),"A")</f>
        <v>A</v>
      </c>
      <c r="F81" s="1" t="str">
        <f>IFERROR(__xludf.DUMMYFUNCTION("""COMPUTED_VALUE"""),"Mumbai")</f>
        <v>Mumbai</v>
      </c>
      <c r="G81" s="1">
        <f>IFERROR(__xludf.DUMMYFUNCTION("""COMPUTED_VALUE"""),43.0)</f>
        <v>43</v>
      </c>
      <c r="H81" s="1">
        <f>IFERROR(__xludf.DUMMYFUNCTION("""COMPUTED_VALUE"""),43.0)</f>
        <v>43</v>
      </c>
      <c r="I81" s="1">
        <f>IFERROR(__xludf.DUMMYFUNCTION("""COMPUTED_VALUE"""),67.0)</f>
        <v>67</v>
      </c>
      <c r="J81" s="1">
        <f>IFERROR(__xludf.DUMMYFUNCTION("""COMPUTED_VALUE"""),66.0)</f>
        <v>66</v>
      </c>
      <c r="K81" s="1">
        <f>IFERROR(__xludf.DUMMYFUNCTION("""COMPUTED_VALUE"""),47.0)</f>
        <v>47</v>
      </c>
      <c r="L81" s="1">
        <f>IFERROR(__xludf.DUMMYFUNCTION("""COMPUTED_VALUE"""),266.0)</f>
        <v>266</v>
      </c>
      <c r="M81" s="1">
        <f>IFERROR(__xludf.DUMMYFUNCTION("""COMPUTED_VALUE"""),53.2)</f>
        <v>53.2</v>
      </c>
      <c r="N81" s="1">
        <f>IFERROR(__xludf.DUMMYFUNCTION("""COMPUTED_VALUE"""),97.0)</f>
        <v>97</v>
      </c>
      <c r="O81" s="1" t="str">
        <f>IFERROR(__xludf.DUMMYFUNCTION("""COMPUTED_VALUE"""),"Pass")</f>
        <v>Pass</v>
      </c>
    </row>
    <row r="82" ht="15.75" customHeight="1">
      <c r="A82" s="1" t="str">
        <f>IFERROR(__xludf.DUMMYFUNCTION("""COMPUTED_VALUE"""),"STD-1423")</f>
        <v>STD-1423</v>
      </c>
      <c r="B82" s="1" t="str">
        <f>IFERROR(__xludf.DUMMYFUNCTION("""COMPUTED_VALUE"""),"Vivaan Yadav")</f>
        <v>Vivaan Yadav</v>
      </c>
      <c r="C82" s="1" t="str">
        <f>IFERROR(__xludf.DUMMYFUNCTION("""COMPUTED_VALUE"""),"Male")</f>
        <v>Male</v>
      </c>
      <c r="D82" s="1" t="str">
        <f>IFERROR(__xludf.DUMMYFUNCTION("""COMPUTED_VALUE"""),"8")</f>
        <v>8</v>
      </c>
      <c r="E82" s="1" t="str">
        <f>IFERROR(__xludf.DUMMYFUNCTION("""COMPUTED_VALUE"""),"A")</f>
        <v>A</v>
      </c>
      <c r="F82" s="1" t="str">
        <f>IFERROR(__xludf.DUMMYFUNCTION("""COMPUTED_VALUE"""),"Patna")</f>
        <v>Patna</v>
      </c>
      <c r="G82" s="1">
        <f>IFERROR(__xludf.DUMMYFUNCTION("""COMPUTED_VALUE"""),83.0)</f>
        <v>83</v>
      </c>
      <c r="H82" s="1">
        <f>IFERROR(__xludf.DUMMYFUNCTION("""COMPUTED_VALUE"""),86.0)</f>
        <v>86</v>
      </c>
      <c r="I82" s="1">
        <f>IFERROR(__xludf.DUMMYFUNCTION("""COMPUTED_VALUE"""),83.0)</f>
        <v>83</v>
      </c>
      <c r="J82" s="1">
        <f>IFERROR(__xludf.DUMMYFUNCTION("""COMPUTED_VALUE"""),82.0)</f>
        <v>82</v>
      </c>
      <c r="K82" s="1">
        <f>IFERROR(__xludf.DUMMYFUNCTION("""COMPUTED_VALUE"""),58.0)</f>
        <v>58</v>
      </c>
      <c r="L82" s="1">
        <f>IFERROR(__xludf.DUMMYFUNCTION("""COMPUTED_VALUE"""),392.0)</f>
        <v>392</v>
      </c>
      <c r="M82" s="1">
        <f>IFERROR(__xludf.DUMMYFUNCTION("""COMPUTED_VALUE"""),78.4)</f>
        <v>78.4</v>
      </c>
      <c r="N82" s="1">
        <f>IFERROR(__xludf.DUMMYFUNCTION("""COMPUTED_VALUE"""),78.0)</f>
        <v>78</v>
      </c>
      <c r="O82" s="1" t="str">
        <f>IFERROR(__xludf.DUMMYFUNCTION("""COMPUTED_VALUE"""),"Pass")</f>
        <v>Pass</v>
      </c>
    </row>
    <row r="83" ht="15.75" customHeight="1">
      <c r="A83" s="1" t="str">
        <f>IFERROR(__xludf.DUMMYFUNCTION("""COMPUTED_VALUE"""),"STD-1425")</f>
        <v>STD-1425</v>
      </c>
      <c r="B83" s="1" t="str">
        <f>IFERROR(__xludf.DUMMYFUNCTION("""COMPUTED_VALUE"""),"Arjun Kaur")</f>
        <v>Arjun Kaur</v>
      </c>
      <c r="C83" s="1" t="str">
        <f>IFERROR(__xludf.DUMMYFUNCTION("""COMPUTED_VALUE"""),"Male")</f>
        <v>Male</v>
      </c>
      <c r="D83" s="1" t="str">
        <f>IFERROR(__xludf.DUMMYFUNCTION("""COMPUTED_VALUE"""),"8")</f>
        <v>8</v>
      </c>
      <c r="E83" s="1" t="str">
        <f>IFERROR(__xludf.DUMMYFUNCTION("""COMPUTED_VALUE"""),"A")</f>
        <v>A</v>
      </c>
      <c r="F83" s="1" t="str">
        <f>IFERROR(__xludf.DUMMYFUNCTION("""COMPUTED_VALUE"""),"Lucknow")</f>
        <v>Lucknow</v>
      </c>
      <c r="G83" s="1">
        <f>IFERROR(__xludf.DUMMYFUNCTION("""COMPUTED_VALUE"""),55.0)</f>
        <v>55</v>
      </c>
      <c r="H83" s="1">
        <f>IFERROR(__xludf.DUMMYFUNCTION("""COMPUTED_VALUE"""),70.0)</f>
        <v>70</v>
      </c>
      <c r="I83" s="1">
        <f>IFERROR(__xludf.DUMMYFUNCTION("""COMPUTED_VALUE"""),61.0)</f>
        <v>61</v>
      </c>
      <c r="J83" s="1">
        <f>IFERROR(__xludf.DUMMYFUNCTION("""COMPUTED_VALUE"""),80.0)</f>
        <v>80</v>
      </c>
      <c r="K83" s="1">
        <f>IFERROR(__xludf.DUMMYFUNCTION("""COMPUTED_VALUE"""),58.0)</f>
        <v>58</v>
      </c>
      <c r="L83" s="1">
        <f>IFERROR(__xludf.DUMMYFUNCTION("""COMPUTED_VALUE"""),324.0)</f>
        <v>324</v>
      </c>
      <c r="M83" s="1">
        <f>IFERROR(__xludf.DUMMYFUNCTION("""COMPUTED_VALUE"""),64.8)</f>
        <v>64.8</v>
      </c>
      <c r="N83" s="1">
        <f>IFERROR(__xludf.DUMMYFUNCTION("""COMPUTED_VALUE"""),91.0)</f>
        <v>91</v>
      </c>
      <c r="O83" s="1" t="str">
        <f>IFERROR(__xludf.DUMMYFUNCTION("""COMPUTED_VALUE"""),"Pass")</f>
        <v>Pass</v>
      </c>
    </row>
    <row r="84" ht="15.75" customHeight="1">
      <c r="A84" s="1" t="str">
        <f>IFERROR(__xludf.DUMMYFUNCTION("""COMPUTED_VALUE"""),"STD-1426")</f>
        <v>STD-1426</v>
      </c>
      <c r="B84" s="1" t="str">
        <f>IFERROR(__xludf.DUMMYFUNCTION("""COMPUTED_VALUE"""),"Aarav Nair")</f>
        <v>Aarav Nair</v>
      </c>
      <c r="C84" s="1" t="str">
        <f>IFERROR(__xludf.DUMMYFUNCTION("""COMPUTED_VALUE"""),"Male")</f>
        <v>Male</v>
      </c>
      <c r="D84" s="1" t="str">
        <f>IFERROR(__xludf.DUMMYFUNCTION("""COMPUTED_VALUE"""),"8")</f>
        <v>8</v>
      </c>
      <c r="E84" s="1" t="str">
        <f>IFERROR(__xludf.DUMMYFUNCTION("""COMPUTED_VALUE"""),"A")</f>
        <v>A</v>
      </c>
      <c r="F84" s="1" t="str">
        <f>IFERROR(__xludf.DUMMYFUNCTION("""COMPUTED_VALUE"""),"Jaipur")</f>
        <v>Jaipur</v>
      </c>
      <c r="G84" s="1">
        <f>IFERROR(__xludf.DUMMYFUNCTION("""COMPUTED_VALUE"""),77.0)</f>
        <v>77</v>
      </c>
      <c r="H84" s="1">
        <f>IFERROR(__xludf.DUMMYFUNCTION("""COMPUTED_VALUE"""),44.0)</f>
        <v>44</v>
      </c>
      <c r="I84" s="1">
        <f>IFERROR(__xludf.DUMMYFUNCTION("""COMPUTED_VALUE"""),84.0)</f>
        <v>84</v>
      </c>
      <c r="J84" s="1">
        <f>IFERROR(__xludf.DUMMYFUNCTION("""COMPUTED_VALUE"""),40.0)</f>
        <v>40</v>
      </c>
      <c r="K84" s="1">
        <f>IFERROR(__xludf.DUMMYFUNCTION("""COMPUTED_VALUE"""),88.0)</f>
        <v>88</v>
      </c>
      <c r="L84" s="1">
        <f>IFERROR(__xludf.DUMMYFUNCTION("""COMPUTED_VALUE"""),333.0)</f>
        <v>333</v>
      </c>
      <c r="M84" s="1">
        <f>IFERROR(__xludf.DUMMYFUNCTION("""COMPUTED_VALUE"""),66.6)</f>
        <v>66.6</v>
      </c>
      <c r="N84" s="1">
        <f>IFERROR(__xludf.DUMMYFUNCTION("""COMPUTED_VALUE"""),96.0)</f>
        <v>96</v>
      </c>
      <c r="O84" s="1" t="str">
        <f>IFERROR(__xludf.DUMMYFUNCTION("""COMPUTED_VALUE"""),"Pass")</f>
        <v>Pass</v>
      </c>
    </row>
    <row r="85" ht="15.75" customHeight="1">
      <c r="A85" s="1" t="str">
        <f>IFERROR(__xludf.DUMMYFUNCTION("""COMPUTED_VALUE"""),"STD-1436")</f>
        <v>STD-1436</v>
      </c>
      <c r="B85" s="1" t="str">
        <f>IFERROR(__xludf.DUMMYFUNCTION("""COMPUTED_VALUE"""),"Sneha Reddy")</f>
        <v>Sneha Reddy</v>
      </c>
      <c r="C85" s="1" t="str">
        <f>IFERROR(__xludf.DUMMYFUNCTION("""COMPUTED_VALUE"""),"Male")</f>
        <v>Male</v>
      </c>
      <c r="D85" s="1" t="str">
        <f>IFERROR(__xludf.DUMMYFUNCTION("""COMPUTED_VALUE"""),"8")</f>
        <v>8</v>
      </c>
      <c r="E85" s="1" t="str">
        <f>IFERROR(__xludf.DUMMYFUNCTION("""COMPUTED_VALUE"""),"C")</f>
        <v>C</v>
      </c>
      <c r="F85" s="1" t="str">
        <f>IFERROR(__xludf.DUMMYFUNCTION("""COMPUTED_VALUE"""),"Mumbai")</f>
        <v>Mumbai</v>
      </c>
      <c r="G85" s="1">
        <f>IFERROR(__xludf.DUMMYFUNCTION("""COMPUTED_VALUE"""),70.0)</f>
        <v>70</v>
      </c>
      <c r="H85" s="1">
        <f>IFERROR(__xludf.DUMMYFUNCTION("""COMPUTED_VALUE"""),70.0)</f>
        <v>70</v>
      </c>
      <c r="I85" s="1">
        <f>IFERROR(__xludf.DUMMYFUNCTION("""COMPUTED_VALUE"""),86.0)</f>
        <v>86</v>
      </c>
      <c r="J85" s="1">
        <f>IFERROR(__xludf.DUMMYFUNCTION("""COMPUTED_VALUE"""),41.0)</f>
        <v>41</v>
      </c>
      <c r="K85" s="1">
        <f>IFERROR(__xludf.DUMMYFUNCTION("""COMPUTED_VALUE"""),96.0)</f>
        <v>96</v>
      </c>
      <c r="L85" s="1">
        <f>IFERROR(__xludf.DUMMYFUNCTION("""COMPUTED_VALUE"""),363.0)</f>
        <v>363</v>
      </c>
      <c r="M85" s="1">
        <f>IFERROR(__xludf.DUMMYFUNCTION("""COMPUTED_VALUE"""),72.6)</f>
        <v>72.6</v>
      </c>
      <c r="N85" s="1">
        <f>IFERROR(__xludf.DUMMYFUNCTION("""COMPUTED_VALUE"""),68.0)</f>
        <v>68</v>
      </c>
      <c r="O85" s="1" t="str">
        <f>IFERROR(__xludf.DUMMYFUNCTION("""COMPUTED_VALUE"""),"Pass")</f>
        <v>Pass</v>
      </c>
    </row>
    <row r="86" ht="15.75" customHeight="1">
      <c r="A86" s="1" t="str">
        <f>IFERROR(__xludf.DUMMYFUNCTION("""COMPUTED_VALUE"""),"STD-1442")</f>
        <v>STD-1442</v>
      </c>
      <c r="B86" s="1" t="str">
        <f>IFERROR(__xludf.DUMMYFUNCTION("""COMPUTED_VALUE"""),"Karan Jain")</f>
        <v>Karan Jain</v>
      </c>
      <c r="C86" s="1" t="str">
        <f>IFERROR(__xludf.DUMMYFUNCTION("""COMPUTED_VALUE"""),"Male")</f>
        <v>Male</v>
      </c>
      <c r="D86" s="1" t="str">
        <f>IFERROR(__xludf.DUMMYFUNCTION("""COMPUTED_VALUE"""),"8")</f>
        <v>8</v>
      </c>
      <c r="E86" s="1" t="str">
        <f>IFERROR(__xludf.DUMMYFUNCTION("""COMPUTED_VALUE"""),"A")</f>
        <v>A</v>
      </c>
      <c r="F86" s="1" t="str">
        <f>IFERROR(__xludf.DUMMYFUNCTION("""COMPUTED_VALUE"""),"Delhi")</f>
        <v>Delhi</v>
      </c>
      <c r="G86" s="1">
        <f>IFERROR(__xludf.DUMMYFUNCTION("""COMPUTED_VALUE"""),89.0)</f>
        <v>89</v>
      </c>
      <c r="H86" s="1">
        <f>IFERROR(__xludf.DUMMYFUNCTION("""COMPUTED_VALUE"""),93.0)</f>
        <v>93</v>
      </c>
      <c r="I86" s="1">
        <f>IFERROR(__xludf.DUMMYFUNCTION("""COMPUTED_VALUE"""),63.0)</f>
        <v>63</v>
      </c>
      <c r="J86" s="1">
        <f>IFERROR(__xludf.DUMMYFUNCTION("""COMPUTED_VALUE"""),48.0)</f>
        <v>48</v>
      </c>
      <c r="K86" s="1">
        <f>IFERROR(__xludf.DUMMYFUNCTION("""COMPUTED_VALUE"""),81.0)</f>
        <v>81</v>
      </c>
      <c r="L86" s="1">
        <f>IFERROR(__xludf.DUMMYFUNCTION("""COMPUTED_VALUE"""),374.0)</f>
        <v>374</v>
      </c>
      <c r="M86" s="1">
        <f>IFERROR(__xludf.DUMMYFUNCTION("""COMPUTED_VALUE"""),74.8)</f>
        <v>74.8</v>
      </c>
      <c r="N86" s="1">
        <f>IFERROR(__xludf.DUMMYFUNCTION("""COMPUTED_VALUE"""),88.0)</f>
        <v>88</v>
      </c>
      <c r="O86" s="1" t="str">
        <f>IFERROR(__xludf.DUMMYFUNCTION("""COMPUTED_VALUE"""),"Pass")</f>
        <v>Pass</v>
      </c>
    </row>
    <row r="87" ht="15.75" customHeight="1">
      <c r="A87" s="1" t="str">
        <f>IFERROR(__xludf.DUMMYFUNCTION("""COMPUTED_VALUE"""),"STD-1449")</f>
        <v>STD-1449</v>
      </c>
      <c r="B87" s="1" t="str">
        <f>IFERROR(__xludf.DUMMYFUNCTION("""COMPUTED_VALUE"""),"Tanvi Verma")</f>
        <v>Tanvi Verma</v>
      </c>
      <c r="C87" s="1" t="str">
        <f>IFERROR(__xludf.DUMMYFUNCTION("""COMPUTED_VALUE"""),"Female")</f>
        <v>Female</v>
      </c>
      <c r="D87" s="1" t="str">
        <f>IFERROR(__xludf.DUMMYFUNCTION("""COMPUTED_VALUE"""),"8")</f>
        <v>8</v>
      </c>
      <c r="E87" s="1" t="str">
        <f>IFERROR(__xludf.DUMMYFUNCTION("""COMPUTED_VALUE"""),"B")</f>
        <v>B</v>
      </c>
      <c r="F87" s="1" t="str">
        <f>IFERROR(__xludf.DUMMYFUNCTION("""COMPUTED_VALUE"""),"Bhopal")</f>
        <v>Bhopal</v>
      </c>
      <c r="G87" s="1">
        <f>IFERROR(__xludf.DUMMYFUNCTION("""COMPUTED_VALUE"""),53.0)</f>
        <v>53</v>
      </c>
      <c r="H87" s="1">
        <f>IFERROR(__xludf.DUMMYFUNCTION("""COMPUTED_VALUE"""),63.0)</f>
        <v>63</v>
      </c>
      <c r="I87" s="1">
        <f>IFERROR(__xludf.DUMMYFUNCTION("""COMPUTED_VALUE"""),58.0)</f>
        <v>58</v>
      </c>
      <c r="J87" s="1">
        <f>IFERROR(__xludf.DUMMYFUNCTION("""COMPUTED_VALUE"""),41.0)</f>
        <v>41</v>
      </c>
      <c r="K87" s="1">
        <f>IFERROR(__xludf.DUMMYFUNCTION("""COMPUTED_VALUE"""),86.0)</f>
        <v>86</v>
      </c>
      <c r="L87" s="1">
        <f>IFERROR(__xludf.DUMMYFUNCTION("""COMPUTED_VALUE"""),301.0)</f>
        <v>301</v>
      </c>
      <c r="M87" s="1">
        <f>IFERROR(__xludf.DUMMYFUNCTION("""COMPUTED_VALUE"""),60.2)</f>
        <v>60.2</v>
      </c>
      <c r="N87" s="1">
        <f>IFERROR(__xludf.DUMMYFUNCTION("""COMPUTED_VALUE"""),86.0)</f>
        <v>86</v>
      </c>
      <c r="O87" s="1" t="str">
        <f>IFERROR(__xludf.DUMMYFUNCTION("""COMPUTED_VALUE"""),"Pass")</f>
        <v>Pass</v>
      </c>
    </row>
    <row r="88" ht="15.75" customHeight="1">
      <c r="A88" s="1" t="str">
        <f>IFERROR(__xludf.DUMMYFUNCTION("""COMPUTED_VALUE"""),"STD-1456")</f>
        <v>STD-1456</v>
      </c>
      <c r="B88" s="1" t="str">
        <f>IFERROR(__xludf.DUMMYFUNCTION("""COMPUTED_VALUE"""),"Karan Gupta")</f>
        <v>Karan Gupta</v>
      </c>
      <c r="C88" s="1" t="str">
        <f>IFERROR(__xludf.DUMMYFUNCTION("""COMPUTED_VALUE"""),"Female")</f>
        <v>Female</v>
      </c>
      <c r="D88" s="1" t="str">
        <f>IFERROR(__xludf.DUMMYFUNCTION("""COMPUTED_VALUE"""),"8")</f>
        <v>8</v>
      </c>
      <c r="E88" s="1" t="str">
        <f>IFERROR(__xludf.DUMMYFUNCTION("""COMPUTED_VALUE"""),"B")</f>
        <v>B</v>
      </c>
      <c r="F88" s="1" t="str">
        <f>IFERROR(__xludf.DUMMYFUNCTION("""COMPUTED_VALUE"""),"Jaipur")</f>
        <v>Jaipur</v>
      </c>
      <c r="G88" s="1">
        <f>IFERROR(__xludf.DUMMYFUNCTION("""COMPUTED_VALUE"""),100.0)</f>
        <v>100</v>
      </c>
      <c r="H88" s="1">
        <f>IFERROR(__xludf.DUMMYFUNCTION("""COMPUTED_VALUE"""),96.0)</f>
        <v>96</v>
      </c>
      <c r="I88" s="1">
        <f>IFERROR(__xludf.DUMMYFUNCTION("""COMPUTED_VALUE"""),63.0)</f>
        <v>63</v>
      </c>
      <c r="J88" s="1">
        <f>IFERROR(__xludf.DUMMYFUNCTION("""COMPUTED_VALUE"""),63.0)</f>
        <v>63</v>
      </c>
      <c r="K88" s="1">
        <f>IFERROR(__xludf.DUMMYFUNCTION("""COMPUTED_VALUE"""),78.0)</f>
        <v>78</v>
      </c>
      <c r="L88" s="1">
        <f>IFERROR(__xludf.DUMMYFUNCTION("""COMPUTED_VALUE"""),400.0)</f>
        <v>400</v>
      </c>
      <c r="M88" s="1">
        <f>IFERROR(__xludf.DUMMYFUNCTION("""COMPUTED_VALUE"""),80.0)</f>
        <v>80</v>
      </c>
      <c r="N88" s="1">
        <f>IFERROR(__xludf.DUMMYFUNCTION("""COMPUTED_VALUE"""),75.0)</f>
        <v>75</v>
      </c>
      <c r="O88" s="1" t="str">
        <f>IFERROR(__xludf.DUMMYFUNCTION("""COMPUTED_VALUE"""),"Pass")</f>
        <v>Pass</v>
      </c>
    </row>
    <row r="89" ht="15.75" customHeight="1">
      <c r="A89" s="1" t="str">
        <f>IFERROR(__xludf.DUMMYFUNCTION("""COMPUTED_VALUE"""),"STD-1472")</f>
        <v>STD-1472</v>
      </c>
      <c r="B89" s="1" t="str">
        <f>IFERROR(__xludf.DUMMYFUNCTION("""COMPUTED_VALUE"""),"Ananya Banerjee")</f>
        <v>Ananya Banerjee</v>
      </c>
      <c r="C89" s="1" t="str">
        <f>IFERROR(__xludf.DUMMYFUNCTION("""COMPUTED_VALUE"""),"Female")</f>
        <v>Female</v>
      </c>
      <c r="D89" s="1" t="str">
        <f>IFERROR(__xludf.DUMMYFUNCTION("""COMPUTED_VALUE"""),"8")</f>
        <v>8</v>
      </c>
      <c r="E89" s="1" t="str">
        <f>IFERROR(__xludf.DUMMYFUNCTION("""COMPUTED_VALUE"""),"B")</f>
        <v>B</v>
      </c>
      <c r="F89" s="1" t="str">
        <f>IFERROR(__xludf.DUMMYFUNCTION("""COMPUTED_VALUE"""),"Mumbai")</f>
        <v>Mumbai</v>
      </c>
      <c r="G89" s="1">
        <f>IFERROR(__xludf.DUMMYFUNCTION("""COMPUTED_VALUE"""),53.0)</f>
        <v>53</v>
      </c>
      <c r="H89" s="1">
        <f>IFERROR(__xludf.DUMMYFUNCTION("""COMPUTED_VALUE"""),43.0)</f>
        <v>43</v>
      </c>
      <c r="I89" s="1">
        <f>IFERROR(__xludf.DUMMYFUNCTION("""COMPUTED_VALUE"""),78.0)</f>
        <v>78</v>
      </c>
      <c r="J89" s="1">
        <f>IFERROR(__xludf.DUMMYFUNCTION("""COMPUTED_VALUE"""),40.0)</f>
        <v>40</v>
      </c>
      <c r="K89" s="1">
        <f>IFERROR(__xludf.DUMMYFUNCTION("""COMPUTED_VALUE"""),45.0)</f>
        <v>45</v>
      </c>
      <c r="L89" s="1">
        <f>IFERROR(__xludf.DUMMYFUNCTION("""COMPUTED_VALUE"""),259.0)</f>
        <v>259</v>
      </c>
      <c r="M89" s="1">
        <f>IFERROR(__xludf.DUMMYFUNCTION("""COMPUTED_VALUE"""),51.8)</f>
        <v>51.8</v>
      </c>
      <c r="N89" s="1">
        <f>IFERROR(__xludf.DUMMYFUNCTION("""COMPUTED_VALUE"""),61.0)</f>
        <v>61</v>
      </c>
      <c r="O89" s="1" t="str">
        <f>IFERROR(__xludf.DUMMYFUNCTION("""COMPUTED_VALUE"""),"Pass")</f>
        <v>Pass</v>
      </c>
    </row>
    <row r="90" ht="15.75" customHeight="1">
      <c r="A90" s="1" t="str">
        <f>IFERROR(__xludf.DUMMYFUNCTION("""COMPUTED_VALUE"""),"STD-1477")</f>
        <v>STD-1477</v>
      </c>
      <c r="B90" s="1" t="str">
        <f>IFERROR(__xludf.DUMMYFUNCTION("""COMPUTED_VALUE"""),"Kavya Singh")</f>
        <v>Kavya Singh</v>
      </c>
      <c r="C90" s="1" t="str">
        <f>IFERROR(__xludf.DUMMYFUNCTION("""COMPUTED_VALUE"""),"Female")</f>
        <v>Female</v>
      </c>
      <c r="D90" s="1" t="str">
        <f>IFERROR(__xludf.DUMMYFUNCTION("""COMPUTED_VALUE"""),"8")</f>
        <v>8</v>
      </c>
      <c r="E90" s="1" t="str">
        <f>IFERROR(__xludf.DUMMYFUNCTION("""COMPUTED_VALUE"""),"A")</f>
        <v>A</v>
      </c>
      <c r="F90" s="1" t="str">
        <f>IFERROR(__xludf.DUMMYFUNCTION("""COMPUTED_VALUE"""),"Chandigarh")</f>
        <v>Chandigarh</v>
      </c>
      <c r="G90" s="1">
        <f>IFERROR(__xludf.DUMMYFUNCTION("""COMPUTED_VALUE"""),74.0)</f>
        <v>74</v>
      </c>
      <c r="H90" s="1">
        <f>IFERROR(__xludf.DUMMYFUNCTION("""COMPUTED_VALUE"""),58.0)</f>
        <v>58</v>
      </c>
      <c r="I90" s="1">
        <f>IFERROR(__xludf.DUMMYFUNCTION("""COMPUTED_VALUE"""),61.0)</f>
        <v>61</v>
      </c>
      <c r="J90" s="1">
        <f>IFERROR(__xludf.DUMMYFUNCTION("""COMPUTED_VALUE"""),56.0)</f>
        <v>56</v>
      </c>
      <c r="K90" s="1">
        <f>IFERROR(__xludf.DUMMYFUNCTION("""COMPUTED_VALUE"""),74.0)</f>
        <v>74</v>
      </c>
      <c r="L90" s="1">
        <f>IFERROR(__xludf.DUMMYFUNCTION("""COMPUTED_VALUE"""),323.0)</f>
        <v>323</v>
      </c>
      <c r="M90" s="1">
        <f>IFERROR(__xludf.DUMMYFUNCTION("""COMPUTED_VALUE"""),64.6)</f>
        <v>64.6</v>
      </c>
      <c r="N90" s="1">
        <f>IFERROR(__xludf.DUMMYFUNCTION("""COMPUTED_VALUE"""),92.0)</f>
        <v>92</v>
      </c>
      <c r="O90" s="1" t="str">
        <f>IFERROR(__xludf.DUMMYFUNCTION("""COMPUTED_VALUE"""),"Pass")</f>
        <v>Pass</v>
      </c>
    </row>
    <row r="91" ht="15.75" customHeight="1">
      <c r="A91" s="1" t="str">
        <f>IFERROR(__xludf.DUMMYFUNCTION("""COMPUTED_VALUE"""),"STD-1484")</f>
        <v>STD-1484</v>
      </c>
      <c r="B91" s="1" t="str">
        <f>IFERROR(__xludf.DUMMYFUNCTION("""COMPUTED_VALUE"""),"Shreya Reddy")</f>
        <v>Shreya Reddy</v>
      </c>
      <c r="C91" s="1" t="str">
        <f>IFERROR(__xludf.DUMMYFUNCTION("""COMPUTED_VALUE"""),"Female")</f>
        <v>Female</v>
      </c>
      <c r="D91" s="1" t="str">
        <f>IFERROR(__xludf.DUMMYFUNCTION("""COMPUTED_VALUE"""),"8")</f>
        <v>8</v>
      </c>
      <c r="E91" s="1" t="str">
        <f>IFERROR(__xludf.DUMMYFUNCTION("""COMPUTED_VALUE"""),"B")</f>
        <v>B</v>
      </c>
      <c r="F91" s="1" t="str">
        <f>IFERROR(__xludf.DUMMYFUNCTION("""COMPUTED_VALUE"""),"Patna")</f>
        <v>Patna</v>
      </c>
      <c r="G91" s="1">
        <f>IFERROR(__xludf.DUMMYFUNCTION("""COMPUTED_VALUE"""),45.0)</f>
        <v>45</v>
      </c>
      <c r="H91" s="1">
        <f>IFERROR(__xludf.DUMMYFUNCTION("""COMPUTED_VALUE"""),86.0)</f>
        <v>86</v>
      </c>
      <c r="I91" s="1">
        <f>IFERROR(__xludf.DUMMYFUNCTION("""COMPUTED_VALUE"""),64.0)</f>
        <v>64</v>
      </c>
      <c r="J91" s="1">
        <f>IFERROR(__xludf.DUMMYFUNCTION("""COMPUTED_VALUE"""),99.0)</f>
        <v>99</v>
      </c>
      <c r="K91" s="1">
        <f>IFERROR(__xludf.DUMMYFUNCTION("""COMPUTED_VALUE"""),81.0)</f>
        <v>81</v>
      </c>
      <c r="L91" s="1">
        <f>IFERROR(__xludf.DUMMYFUNCTION("""COMPUTED_VALUE"""),375.0)</f>
        <v>375</v>
      </c>
      <c r="M91" s="1">
        <f>IFERROR(__xludf.DUMMYFUNCTION("""COMPUTED_VALUE"""),75.0)</f>
        <v>75</v>
      </c>
      <c r="N91" s="1">
        <f>IFERROR(__xludf.DUMMYFUNCTION("""COMPUTED_VALUE"""),98.0)</f>
        <v>98</v>
      </c>
      <c r="O91" s="1" t="str">
        <f>IFERROR(__xludf.DUMMYFUNCTION("""COMPUTED_VALUE"""),"Pass")</f>
        <v>Pass</v>
      </c>
    </row>
    <row r="92" ht="15.75" customHeight="1">
      <c r="A92" s="1" t="str">
        <f>IFERROR(__xludf.DUMMYFUNCTION("""COMPUTED_VALUE"""),"STD-1488")</f>
        <v>STD-1488</v>
      </c>
      <c r="B92" s="1" t="str">
        <f>IFERROR(__xludf.DUMMYFUNCTION("""COMPUTED_VALUE"""),"Kavya Iyer")</f>
        <v>Kavya Iyer</v>
      </c>
      <c r="C92" s="1" t="str">
        <f>IFERROR(__xludf.DUMMYFUNCTION("""COMPUTED_VALUE"""),"Female")</f>
        <v>Female</v>
      </c>
      <c r="D92" s="1" t="str">
        <f>IFERROR(__xludf.DUMMYFUNCTION("""COMPUTED_VALUE"""),"8")</f>
        <v>8</v>
      </c>
      <c r="E92" s="1" t="str">
        <f>IFERROR(__xludf.DUMMYFUNCTION("""COMPUTED_VALUE"""),"A")</f>
        <v>A</v>
      </c>
      <c r="F92" s="1" t="str">
        <f>IFERROR(__xludf.DUMMYFUNCTION("""COMPUTED_VALUE"""),"Delhi")</f>
        <v>Delhi</v>
      </c>
      <c r="G92" s="1">
        <f>IFERROR(__xludf.DUMMYFUNCTION("""COMPUTED_VALUE"""),40.0)</f>
        <v>40</v>
      </c>
      <c r="H92" s="1">
        <f>IFERROR(__xludf.DUMMYFUNCTION("""COMPUTED_VALUE"""),66.0)</f>
        <v>66</v>
      </c>
      <c r="I92" s="1">
        <f>IFERROR(__xludf.DUMMYFUNCTION("""COMPUTED_VALUE"""),51.0)</f>
        <v>51</v>
      </c>
      <c r="J92" s="1">
        <f>IFERROR(__xludf.DUMMYFUNCTION("""COMPUTED_VALUE"""),65.0)</f>
        <v>65</v>
      </c>
      <c r="K92" s="1">
        <f>IFERROR(__xludf.DUMMYFUNCTION("""COMPUTED_VALUE"""),63.0)</f>
        <v>63</v>
      </c>
      <c r="L92" s="1">
        <f>IFERROR(__xludf.DUMMYFUNCTION("""COMPUTED_VALUE"""),285.0)</f>
        <v>285</v>
      </c>
      <c r="M92" s="1">
        <f>IFERROR(__xludf.DUMMYFUNCTION("""COMPUTED_VALUE"""),57.0)</f>
        <v>57</v>
      </c>
      <c r="N92" s="1">
        <f>IFERROR(__xludf.DUMMYFUNCTION("""COMPUTED_VALUE"""),66.0)</f>
        <v>66</v>
      </c>
      <c r="O92" s="1" t="str">
        <f>IFERROR(__xludf.DUMMYFUNCTION("""COMPUTED_VALUE"""),"Pass")</f>
        <v>Pass</v>
      </c>
    </row>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6" width="14.43"/>
  </cols>
  <sheetData>
    <row r="1">
      <c r="A1" s="2" t="str">
        <f t="array" ref="A1">'Questions Answers'!A13</f>
        <v>12. Calculate total marks of Female students from Mumbai.</v>
      </c>
      <c r="B1" s="2"/>
      <c r="C1" s="2"/>
      <c r="D1" s="2"/>
    </row>
    <row r="2" ht="15.0" customHeight="1">
      <c r="A2" s="2"/>
      <c r="B2" s="2"/>
      <c r="C2" s="2"/>
      <c r="D2" s="2"/>
    </row>
    <row r="3">
      <c r="A3" s="1" t="str">
        <f>IFERROR(__xludf.DUMMYFUNCTION("QUERY(Student_Data!A1:O1000, ""SELECT C, F, SUM(L) WHERE C = 'Female' AND F = 'Mumbai' GROUP BY C, F LABEL C 'Gender', F 'City', SUM(L) 'Total Marks'"")"),"Gender")</f>
        <v>Gender</v>
      </c>
      <c r="B3" s="1" t="str">
        <f>IFERROR(__xludf.DUMMYFUNCTION("""COMPUTED_VALUE"""),"City")</f>
        <v>City</v>
      </c>
      <c r="C3" s="1" t="str">
        <f>IFERROR(__xludf.DUMMYFUNCTION("""COMPUTED_VALUE"""),"Total Marks")</f>
        <v>Total Marks</v>
      </c>
    </row>
    <row r="4">
      <c r="A4" s="1" t="str">
        <f>IFERROR(__xludf.DUMMYFUNCTION("""COMPUTED_VALUE"""),"Female")</f>
        <v>Female</v>
      </c>
      <c r="B4" s="1" t="str">
        <f>IFERROR(__xludf.DUMMYFUNCTION("""COMPUTED_VALUE"""),"Mumbai")</f>
        <v>Mumbai</v>
      </c>
      <c r="C4" s="1">
        <f>IFERROR(__xludf.DUMMYFUNCTION("""COMPUTED_VALUE"""),10649.0)</f>
        <v>10649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6" width="14.43"/>
  </cols>
  <sheetData>
    <row r="1">
      <c r="A1" s="2" t="str">
        <f t="array" ref="A1">'Questions Answers'!A14</f>
        <v>13. Find the total attendance of students in Section B.</v>
      </c>
      <c r="B1" s="2"/>
      <c r="C1" s="2"/>
      <c r="D1" s="2"/>
    </row>
    <row r="3">
      <c r="A3" s="1" t="str">
        <f>IFERROR(__xludf.DUMMYFUNCTION("QUERY(Student_Data!A1:O1000, ""SELECT E, SUM(N) WHERE E = 'B' GROUP BY E LABEL E 'Section', SUM(N) 'Total Attendance'"")"),"Section")</f>
        <v>Section</v>
      </c>
      <c r="B3" s="1" t="str">
        <f>IFERROR(__xludf.DUMMYFUNCTION("""COMPUTED_VALUE"""),"Total Attendance")</f>
        <v>Total Attendance</v>
      </c>
    </row>
    <row r="4">
      <c r="A4" s="1" t="str">
        <f>IFERROR(__xludf.DUMMYFUNCTION("""COMPUTED_VALUE"""),"B")</f>
        <v>B</v>
      </c>
      <c r="B4" s="1">
        <f>IFERROR(__xludf.DUMMYFUNCTION("""COMPUTED_VALUE"""),13512.0)</f>
        <v>13512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6" width="14.43"/>
  </cols>
  <sheetData>
    <row r="1">
      <c r="A1" s="2" t="str">
        <f t="array" ref="A1">'Questions Answers'!A15</f>
        <v>14. Calculate the average percentage of students in Class 10.</v>
      </c>
      <c r="B1" s="2"/>
      <c r="C1" s="2"/>
      <c r="D1" s="2"/>
    </row>
    <row r="3">
      <c r="A3" s="1" t="s">
        <v>809</v>
      </c>
      <c r="B3" s="1">
        <f>AVERAGEIFS(Student_Data!M:M, Student_Data!D:D, 10)</f>
        <v>70.23738318</v>
      </c>
    </row>
    <row r="4">
      <c r="A4" s="1" t="s">
        <v>0</v>
      </c>
      <c r="B4" s="1" t="s">
        <v>1</v>
      </c>
      <c r="C4" s="1" t="s">
        <v>2</v>
      </c>
      <c r="D4" s="1" t="s">
        <v>3</v>
      </c>
      <c r="E4" s="1" t="s">
        <v>4</v>
      </c>
      <c r="F4" s="1" t="s">
        <v>5</v>
      </c>
      <c r="G4" s="1" t="s">
        <v>6</v>
      </c>
      <c r="H4" s="1" t="s">
        <v>7</v>
      </c>
      <c r="I4" s="1" t="s">
        <v>8</v>
      </c>
      <c r="J4" s="1" t="s">
        <v>9</v>
      </c>
      <c r="K4" s="1" t="s">
        <v>10</v>
      </c>
      <c r="L4" s="1" t="s">
        <v>11</v>
      </c>
      <c r="M4" s="1" t="s">
        <v>12</v>
      </c>
      <c r="N4" s="1" t="s">
        <v>13</v>
      </c>
      <c r="O4" s="1" t="s">
        <v>14</v>
      </c>
    </row>
    <row r="5">
      <c r="A5" s="1" t="str">
        <f>IFERROR(__xludf.DUMMYFUNCTION("IFERROR(FILTER(Student_Data!A2:O1000, Student_Data!D2:D1000&amp;""""=""10""), ""No Data Found"")"),"STD-1001")</f>
        <v>STD-1001</v>
      </c>
      <c r="B5" s="1" t="str">
        <f>IFERROR(__xludf.DUMMYFUNCTION("""COMPUTED_VALUE"""),"Priya Choudhary")</f>
        <v>Priya Choudhary</v>
      </c>
      <c r="C5" s="1" t="str">
        <f>IFERROR(__xludf.DUMMYFUNCTION("""COMPUTED_VALUE"""),"Male")</f>
        <v>Male</v>
      </c>
      <c r="D5" s="1" t="str">
        <f>IFERROR(__xludf.DUMMYFUNCTION("""COMPUTED_VALUE"""),"10")</f>
        <v>10</v>
      </c>
      <c r="E5" s="1" t="str">
        <f>IFERROR(__xludf.DUMMYFUNCTION("""COMPUTED_VALUE"""),"A")</f>
        <v>A</v>
      </c>
      <c r="F5" s="1" t="str">
        <f>IFERROR(__xludf.DUMMYFUNCTION("""COMPUTED_VALUE"""),"Chandigarh")</f>
        <v>Chandigarh</v>
      </c>
      <c r="G5" s="1">
        <f>IFERROR(__xludf.DUMMYFUNCTION("""COMPUTED_VALUE"""),45.0)</f>
        <v>45</v>
      </c>
      <c r="H5" s="1">
        <f>IFERROR(__xludf.DUMMYFUNCTION("""COMPUTED_VALUE"""),97.0)</f>
        <v>97</v>
      </c>
      <c r="I5" s="1">
        <f>IFERROR(__xludf.DUMMYFUNCTION("""COMPUTED_VALUE"""),58.0)</f>
        <v>58</v>
      </c>
      <c r="J5" s="1">
        <f>IFERROR(__xludf.DUMMYFUNCTION("""COMPUTED_VALUE"""),76.0)</f>
        <v>76</v>
      </c>
      <c r="K5" s="1">
        <f>IFERROR(__xludf.DUMMYFUNCTION("""COMPUTED_VALUE"""),71.0)</f>
        <v>71</v>
      </c>
      <c r="L5" s="1">
        <f>IFERROR(__xludf.DUMMYFUNCTION("""COMPUTED_VALUE"""),347.0)</f>
        <v>347</v>
      </c>
      <c r="M5" s="1">
        <f>IFERROR(__xludf.DUMMYFUNCTION("""COMPUTED_VALUE"""),69.4)</f>
        <v>69.4</v>
      </c>
      <c r="N5" s="1">
        <f>IFERROR(__xludf.DUMMYFUNCTION("""COMPUTED_VALUE"""),84.0)</f>
        <v>84</v>
      </c>
      <c r="O5" s="1" t="str">
        <f>IFERROR(__xludf.DUMMYFUNCTION("""COMPUTED_VALUE"""),"Pass")</f>
        <v>Pass</v>
      </c>
    </row>
    <row r="6">
      <c r="A6" s="1" t="str">
        <f>IFERROR(__xludf.DUMMYFUNCTION("""COMPUTED_VALUE"""),"STD-1010")</f>
        <v>STD-1010</v>
      </c>
      <c r="B6" s="1" t="str">
        <f>IFERROR(__xludf.DUMMYFUNCTION("""COMPUTED_VALUE"""),"Ananya Banerjee")</f>
        <v>Ananya Banerjee</v>
      </c>
      <c r="C6" s="1" t="str">
        <f>IFERROR(__xludf.DUMMYFUNCTION("""COMPUTED_VALUE"""),"Female")</f>
        <v>Female</v>
      </c>
      <c r="D6" s="1" t="str">
        <f>IFERROR(__xludf.DUMMYFUNCTION("""COMPUTED_VALUE"""),"10")</f>
        <v>10</v>
      </c>
      <c r="E6" s="1" t="str">
        <f>IFERROR(__xludf.DUMMYFUNCTION("""COMPUTED_VALUE"""),"A")</f>
        <v>A</v>
      </c>
      <c r="F6" s="1" t="str">
        <f>IFERROR(__xludf.DUMMYFUNCTION("""COMPUTED_VALUE"""),"Kolkata")</f>
        <v>Kolkata</v>
      </c>
      <c r="G6" s="1">
        <f>IFERROR(__xludf.DUMMYFUNCTION("""COMPUTED_VALUE"""),74.0)</f>
        <v>74</v>
      </c>
      <c r="H6" s="1">
        <f>IFERROR(__xludf.DUMMYFUNCTION("""COMPUTED_VALUE"""),63.0)</f>
        <v>63</v>
      </c>
      <c r="I6" s="1">
        <f>IFERROR(__xludf.DUMMYFUNCTION("""COMPUTED_VALUE"""),66.0)</f>
        <v>66</v>
      </c>
      <c r="J6" s="1">
        <f>IFERROR(__xludf.DUMMYFUNCTION("""COMPUTED_VALUE"""),60.0)</f>
        <v>60</v>
      </c>
      <c r="K6" s="1">
        <f>IFERROR(__xludf.DUMMYFUNCTION("""COMPUTED_VALUE"""),90.0)</f>
        <v>90</v>
      </c>
      <c r="L6" s="1">
        <f>IFERROR(__xludf.DUMMYFUNCTION("""COMPUTED_VALUE"""),353.0)</f>
        <v>353</v>
      </c>
      <c r="M6" s="1">
        <f>IFERROR(__xludf.DUMMYFUNCTION("""COMPUTED_VALUE"""),70.6)</f>
        <v>70.6</v>
      </c>
      <c r="N6" s="1">
        <f>IFERROR(__xludf.DUMMYFUNCTION("""COMPUTED_VALUE"""),88.0)</f>
        <v>88</v>
      </c>
      <c r="O6" s="1" t="str">
        <f>IFERROR(__xludf.DUMMYFUNCTION("""COMPUTED_VALUE"""),"Pass")</f>
        <v>Pass</v>
      </c>
    </row>
    <row r="7">
      <c r="A7" s="1" t="str">
        <f>IFERROR(__xludf.DUMMYFUNCTION("""COMPUTED_VALUE"""),"STD-1022")</f>
        <v>STD-1022</v>
      </c>
      <c r="B7" s="1" t="str">
        <f>IFERROR(__xludf.DUMMYFUNCTION("""COMPUTED_VALUE"""),"Rahul Singh")</f>
        <v>Rahul Singh</v>
      </c>
      <c r="C7" s="1" t="str">
        <f>IFERROR(__xludf.DUMMYFUNCTION("""COMPUTED_VALUE"""),"Male")</f>
        <v>Male</v>
      </c>
      <c r="D7" s="1" t="str">
        <f>IFERROR(__xludf.DUMMYFUNCTION("""COMPUTED_VALUE"""),"10")</f>
        <v>10</v>
      </c>
      <c r="E7" s="1" t="str">
        <f>IFERROR(__xludf.DUMMYFUNCTION("""COMPUTED_VALUE"""),"A")</f>
        <v>A</v>
      </c>
      <c r="F7" s="1" t="str">
        <f>IFERROR(__xludf.DUMMYFUNCTION("""COMPUTED_VALUE"""),"Mumbai")</f>
        <v>Mumbai</v>
      </c>
      <c r="G7" s="1">
        <f>IFERROR(__xludf.DUMMYFUNCTION("""COMPUTED_VALUE"""),41.0)</f>
        <v>41</v>
      </c>
      <c r="H7" s="1">
        <f>IFERROR(__xludf.DUMMYFUNCTION("""COMPUTED_VALUE"""),76.0)</f>
        <v>76</v>
      </c>
      <c r="I7" s="1">
        <f>IFERROR(__xludf.DUMMYFUNCTION("""COMPUTED_VALUE"""),65.0)</f>
        <v>65</v>
      </c>
      <c r="J7" s="1">
        <f>IFERROR(__xludf.DUMMYFUNCTION("""COMPUTED_VALUE"""),97.0)</f>
        <v>97</v>
      </c>
      <c r="K7" s="1">
        <f>IFERROR(__xludf.DUMMYFUNCTION("""COMPUTED_VALUE"""),59.0)</f>
        <v>59</v>
      </c>
      <c r="L7" s="1">
        <f>IFERROR(__xludf.DUMMYFUNCTION("""COMPUTED_VALUE"""),338.0)</f>
        <v>338</v>
      </c>
      <c r="M7" s="1">
        <f>IFERROR(__xludf.DUMMYFUNCTION("""COMPUTED_VALUE"""),67.6)</f>
        <v>67.6</v>
      </c>
      <c r="N7" s="1">
        <f>IFERROR(__xludf.DUMMYFUNCTION("""COMPUTED_VALUE"""),62.0)</f>
        <v>62</v>
      </c>
      <c r="O7" s="1" t="str">
        <f>IFERROR(__xludf.DUMMYFUNCTION("""COMPUTED_VALUE"""),"Pass")</f>
        <v>Pass</v>
      </c>
    </row>
    <row r="8">
      <c r="A8" s="1" t="str">
        <f>IFERROR(__xludf.DUMMYFUNCTION("""COMPUTED_VALUE"""),"STD-1023")</f>
        <v>STD-1023</v>
      </c>
      <c r="B8" s="1" t="str">
        <f>IFERROR(__xludf.DUMMYFUNCTION("""COMPUTED_VALUE"""),"Sneha Gupta")</f>
        <v>Sneha Gupta</v>
      </c>
      <c r="C8" s="1" t="str">
        <f>IFERROR(__xludf.DUMMYFUNCTION("""COMPUTED_VALUE"""),"Male")</f>
        <v>Male</v>
      </c>
      <c r="D8" s="1" t="str">
        <f>IFERROR(__xludf.DUMMYFUNCTION("""COMPUTED_VALUE"""),"10")</f>
        <v>10</v>
      </c>
      <c r="E8" s="1" t="str">
        <f>IFERROR(__xludf.DUMMYFUNCTION("""COMPUTED_VALUE"""),"A")</f>
        <v>A</v>
      </c>
      <c r="F8" s="1" t="str">
        <f>IFERROR(__xludf.DUMMYFUNCTION("""COMPUTED_VALUE"""),"Chandigarh")</f>
        <v>Chandigarh</v>
      </c>
      <c r="G8" s="1">
        <f>IFERROR(__xludf.DUMMYFUNCTION("""COMPUTED_VALUE"""),77.0)</f>
        <v>77</v>
      </c>
      <c r="H8" s="1">
        <f>IFERROR(__xludf.DUMMYFUNCTION("""COMPUTED_VALUE"""),93.0)</f>
        <v>93</v>
      </c>
      <c r="I8" s="1">
        <f>IFERROR(__xludf.DUMMYFUNCTION("""COMPUTED_VALUE"""),90.0)</f>
        <v>90</v>
      </c>
      <c r="J8" s="1">
        <f>IFERROR(__xludf.DUMMYFUNCTION("""COMPUTED_VALUE"""),84.0)</f>
        <v>84</v>
      </c>
      <c r="K8" s="1">
        <f>IFERROR(__xludf.DUMMYFUNCTION("""COMPUTED_VALUE"""),46.0)</f>
        <v>46</v>
      </c>
      <c r="L8" s="1">
        <f>IFERROR(__xludf.DUMMYFUNCTION("""COMPUTED_VALUE"""),390.0)</f>
        <v>390</v>
      </c>
      <c r="M8" s="1">
        <f>IFERROR(__xludf.DUMMYFUNCTION("""COMPUTED_VALUE"""),78.0)</f>
        <v>78</v>
      </c>
      <c r="N8" s="1">
        <f>IFERROR(__xludf.DUMMYFUNCTION("""COMPUTED_VALUE"""),75.0)</f>
        <v>75</v>
      </c>
      <c r="O8" s="1" t="str">
        <f>IFERROR(__xludf.DUMMYFUNCTION("""COMPUTED_VALUE"""),"Pass")</f>
        <v>Pass</v>
      </c>
    </row>
    <row r="9">
      <c r="A9" s="1" t="str">
        <f>IFERROR(__xludf.DUMMYFUNCTION("""COMPUTED_VALUE"""),"STD-1025")</f>
        <v>STD-1025</v>
      </c>
      <c r="B9" s="1" t="str">
        <f>IFERROR(__xludf.DUMMYFUNCTION("""COMPUTED_VALUE"""),"Ananya Nair")</f>
        <v>Ananya Nair</v>
      </c>
      <c r="C9" s="1" t="str">
        <f>IFERROR(__xludf.DUMMYFUNCTION("""COMPUTED_VALUE"""),"Male")</f>
        <v>Male</v>
      </c>
      <c r="D9" s="1" t="str">
        <f>IFERROR(__xludf.DUMMYFUNCTION("""COMPUTED_VALUE"""),"10")</f>
        <v>10</v>
      </c>
      <c r="E9" s="1" t="str">
        <f>IFERROR(__xludf.DUMMYFUNCTION("""COMPUTED_VALUE"""),"B")</f>
        <v>B</v>
      </c>
      <c r="F9" s="1" t="str">
        <f>IFERROR(__xludf.DUMMYFUNCTION("""COMPUTED_VALUE"""),"Bhopal")</f>
        <v>Bhopal</v>
      </c>
      <c r="G9" s="1">
        <f>IFERROR(__xludf.DUMMYFUNCTION("""COMPUTED_VALUE"""),90.0)</f>
        <v>90</v>
      </c>
      <c r="H9" s="1">
        <f>IFERROR(__xludf.DUMMYFUNCTION("""COMPUTED_VALUE"""),54.0)</f>
        <v>54</v>
      </c>
      <c r="I9" s="1">
        <f>IFERROR(__xludf.DUMMYFUNCTION("""COMPUTED_VALUE"""),64.0)</f>
        <v>64</v>
      </c>
      <c r="J9" s="1">
        <f>IFERROR(__xludf.DUMMYFUNCTION("""COMPUTED_VALUE"""),49.0)</f>
        <v>49</v>
      </c>
      <c r="K9" s="1">
        <f>IFERROR(__xludf.DUMMYFUNCTION("""COMPUTED_VALUE"""),67.0)</f>
        <v>67</v>
      </c>
      <c r="L9" s="1">
        <f>IFERROR(__xludf.DUMMYFUNCTION("""COMPUTED_VALUE"""),324.0)</f>
        <v>324</v>
      </c>
      <c r="M9" s="1">
        <f>IFERROR(__xludf.DUMMYFUNCTION("""COMPUTED_VALUE"""),64.8)</f>
        <v>64.8</v>
      </c>
      <c r="N9" s="1">
        <f>IFERROR(__xludf.DUMMYFUNCTION("""COMPUTED_VALUE"""),76.0)</f>
        <v>76</v>
      </c>
      <c r="O9" s="1" t="str">
        <f>IFERROR(__xludf.DUMMYFUNCTION("""COMPUTED_VALUE"""),"Pass")</f>
        <v>Pass</v>
      </c>
    </row>
    <row r="10">
      <c r="A10" s="1" t="str">
        <f>IFERROR(__xludf.DUMMYFUNCTION("""COMPUTED_VALUE"""),"STD-1030")</f>
        <v>STD-1030</v>
      </c>
      <c r="B10" s="1" t="str">
        <f>IFERROR(__xludf.DUMMYFUNCTION("""COMPUTED_VALUE"""),"Ananya Reddy")</f>
        <v>Ananya Reddy</v>
      </c>
      <c r="C10" s="1" t="str">
        <f>IFERROR(__xludf.DUMMYFUNCTION("""COMPUTED_VALUE"""),"Male")</f>
        <v>Male</v>
      </c>
      <c r="D10" s="1" t="str">
        <f>IFERROR(__xludf.DUMMYFUNCTION("""COMPUTED_VALUE"""),"10")</f>
        <v>10</v>
      </c>
      <c r="E10" s="1" t="str">
        <f>IFERROR(__xludf.DUMMYFUNCTION("""COMPUTED_VALUE"""),"C")</f>
        <v>C</v>
      </c>
      <c r="F10" s="1" t="str">
        <f>IFERROR(__xludf.DUMMYFUNCTION("""COMPUTED_VALUE"""),"Bhopal")</f>
        <v>Bhopal</v>
      </c>
      <c r="G10" s="1">
        <f>IFERROR(__xludf.DUMMYFUNCTION("""COMPUTED_VALUE"""),58.0)</f>
        <v>58</v>
      </c>
      <c r="H10" s="1">
        <f>IFERROR(__xludf.DUMMYFUNCTION("""COMPUTED_VALUE"""),93.0)</f>
        <v>93</v>
      </c>
      <c r="I10" s="1">
        <f>IFERROR(__xludf.DUMMYFUNCTION("""COMPUTED_VALUE"""),63.0)</f>
        <v>63</v>
      </c>
      <c r="J10" s="1">
        <f>IFERROR(__xludf.DUMMYFUNCTION("""COMPUTED_VALUE"""),83.0)</f>
        <v>83</v>
      </c>
      <c r="K10" s="1">
        <f>IFERROR(__xludf.DUMMYFUNCTION("""COMPUTED_VALUE"""),44.0)</f>
        <v>44</v>
      </c>
      <c r="L10" s="1">
        <f>IFERROR(__xludf.DUMMYFUNCTION("""COMPUTED_VALUE"""),341.0)</f>
        <v>341</v>
      </c>
      <c r="M10" s="1">
        <f>IFERROR(__xludf.DUMMYFUNCTION("""COMPUTED_VALUE"""),68.2)</f>
        <v>68.2</v>
      </c>
      <c r="N10" s="1">
        <f>IFERROR(__xludf.DUMMYFUNCTION("""COMPUTED_VALUE"""),92.0)</f>
        <v>92</v>
      </c>
      <c r="O10" s="1" t="str">
        <f>IFERROR(__xludf.DUMMYFUNCTION("""COMPUTED_VALUE"""),"Pass")</f>
        <v>Pass</v>
      </c>
    </row>
    <row r="11">
      <c r="A11" s="1" t="str">
        <f>IFERROR(__xludf.DUMMYFUNCTION("""COMPUTED_VALUE"""),"STD-1035")</f>
        <v>STD-1035</v>
      </c>
      <c r="B11" s="1" t="str">
        <f>IFERROR(__xludf.DUMMYFUNCTION("""COMPUTED_VALUE"""),"Kavya Kulkarni")</f>
        <v>Kavya Kulkarni</v>
      </c>
      <c r="C11" s="1" t="str">
        <f>IFERROR(__xludf.DUMMYFUNCTION("""COMPUTED_VALUE"""),"Female")</f>
        <v>Female</v>
      </c>
      <c r="D11" s="1" t="str">
        <f>IFERROR(__xludf.DUMMYFUNCTION("""COMPUTED_VALUE"""),"10")</f>
        <v>10</v>
      </c>
      <c r="E11" s="1" t="str">
        <f>IFERROR(__xludf.DUMMYFUNCTION("""COMPUTED_VALUE"""),"B")</f>
        <v>B</v>
      </c>
      <c r="F11" s="1" t="str">
        <f>IFERROR(__xludf.DUMMYFUNCTION("""COMPUTED_VALUE"""),"Lucknow")</f>
        <v>Lucknow</v>
      </c>
      <c r="G11" s="1">
        <f>IFERROR(__xludf.DUMMYFUNCTION("""COMPUTED_VALUE"""),54.0)</f>
        <v>54</v>
      </c>
      <c r="H11" s="1">
        <f>IFERROR(__xludf.DUMMYFUNCTION("""COMPUTED_VALUE"""),58.0)</f>
        <v>58</v>
      </c>
      <c r="I11" s="1">
        <f>IFERROR(__xludf.DUMMYFUNCTION("""COMPUTED_VALUE"""),43.0)</f>
        <v>43</v>
      </c>
      <c r="J11" s="1">
        <f>IFERROR(__xludf.DUMMYFUNCTION("""COMPUTED_VALUE"""),100.0)</f>
        <v>100</v>
      </c>
      <c r="K11" s="1">
        <f>IFERROR(__xludf.DUMMYFUNCTION("""COMPUTED_VALUE"""),48.0)</f>
        <v>48</v>
      </c>
      <c r="L11" s="1">
        <f>IFERROR(__xludf.DUMMYFUNCTION("""COMPUTED_VALUE"""),303.0)</f>
        <v>303</v>
      </c>
      <c r="M11" s="1">
        <f>IFERROR(__xludf.DUMMYFUNCTION("""COMPUTED_VALUE"""),60.6)</f>
        <v>60.6</v>
      </c>
      <c r="N11" s="1">
        <f>IFERROR(__xludf.DUMMYFUNCTION("""COMPUTED_VALUE"""),66.0)</f>
        <v>66</v>
      </c>
      <c r="O11" s="1" t="str">
        <f>IFERROR(__xludf.DUMMYFUNCTION("""COMPUTED_VALUE"""),"Pass")</f>
        <v>Pass</v>
      </c>
    </row>
    <row r="12">
      <c r="A12" s="1" t="str">
        <f>IFERROR(__xludf.DUMMYFUNCTION("""COMPUTED_VALUE"""),"STD-1036")</f>
        <v>STD-1036</v>
      </c>
      <c r="B12" s="1" t="str">
        <f>IFERROR(__xludf.DUMMYFUNCTION("""COMPUTED_VALUE"""),"Aditya Reddy")</f>
        <v>Aditya Reddy</v>
      </c>
      <c r="C12" s="1" t="str">
        <f>IFERROR(__xludf.DUMMYFUNCTION("""COMPUTED_VALUE"""),"Female")</f>
        <v>Female</v>
      </c>
      <c r="D12" s="1" t="str">
        <f>IFERROR(__xludf.DUMMYFUNCTION("""COMPUTED_VALUE"""),"10")</f>
        <v>10</v>
      </c>
      <c r="E12" s="1" t="str">
        <f>IFERROR(__xludf.DUMMYFUNCTION("""COMPUTED_VALUE"""),"B")</f>
        <v>B</v>
      </c>
      <c r="F12" s="1" t="str">
        <f>IFERROR(__xludf.DUMMYFUNCTION("""COMPUTED_VALUE"""),"Chandigarh")</f>
        <v>Chandigarh</v>
      </c>
      <c r="G12" s="1">
        <f>IFERROR(__xludf.DUMMYFUNCTION("""COMPUTED_VALUE"""),64.0)</f>
        <v>64</v>
      </c>
      <c r="H12" s="1">
        <f>IFERROR(__xludf.DUMMYFUNCTION("""COMPUTED_VALUE"""),84.0)</f>
        <v>84</v>
      </c>
      <c r="I12" s="1">
        <f>IFERROR(__xludf.DUMMYFUNCTION("""COMPUTED_VALUE"""),48.0)</f>
        <v>48</v>
      </c>
      <c r="J12" s="1">
        <f>IFERROR(__xludf.DUMMYFUNCTION("""COMPUTED_VALUE"""),70.0)</f>
        <v>70</v>
      </c>
      <c r="K12" s="1">
        <f>IFERROR(__xludf.DUMMYFUNCTION("""COMPUTED_VALUE"""),100.0)</f>
        <v>100</v>
      </c>
      <c r="L12" s="1">
        <f>IFERROR(__xludf.DUMMYFUNCTION("""COMPUTED_VALUE"""),366.0)</f>
        <v>366</v>
      </c>
      <c r="M12" s="1">
        <f>IFERROR(__xludf.DUMMYFUNCTION("""COMPUTED_VALUE"""),73.2)</f>
        <v>73.2</v>
      </c>
      <c r="N12" s="1">
        <f>IFERROR(__xludf.DUMMYFUNCTION("""COMPUTED_VALUE"""),77.0)</f>
        <v>77</v>
      </c>
      <c r="O12" s="1" t="str">
        <f>IFERROR(__xludf.DUMMYFUNCTION("""COMPUTED_VALUE"""),"Pass")</f>
        <v>Pass</v>
      </c>
    </row>
    <row r="13">
      <c r="A13" s="1" t="str">
        <f>IFERROR(__xludf.DUMMYFUNCTION("""COMPUTED_VALUE"""),"STD-1037")</f>
        <v>STD-1037</v>
      </c>
      <c r="B13" s="1" t="str">
        <f>IFERROR(__xludf.DUMMYFUNCTION("""COMPUTED_VALUE"""),"Ananya Das")</f>
        <v>Ananya Das</v>
      </c>
      <c r="C13" s="1" t="str">
        <f>IFERROR(__xludf.DUMMYFUNCTION("""COMPUTED_VALUE"""),"Male")</f>
        <v>Male</v>
      </c>
      <c r="D13" s="1" t="str">
        <f>IFERROR(__xludf.DUMMYFUNCTION("""COMPUTED_VALUE"""),"10")</f>
        <v>10</v>
      </c>
      <c r="E13" s="1" t="str">
        <f>IFERROR(__xludf.DUMMYFUNCTION("""COMPUTED_VALUE"""),"A")</f>
        <v>A</v>
      </c>
      <c r="F13" s="1" t="str">
        <f>IFERROR(__xludf.DUMMYFUNCTION("""COMPUTED_VALUE"""),"Kolkata")</f>
        <v>Kolkata</v>
      </c>
      <c r="G13" s="1">
        <f>IFERROR(__xludf.DUMMYFUNCTION("""COMPUTED_VALUE"""),92.0)</f>
        <v>92</v>
      </c>
      <c r="H13" s="1">
        <f>IFERROR(__xludf.DUMMYFUNCTION("""COMPUTED_VALUE"""),73.0)</f>
        <v>73</v>
      </c>
      <c r="I13" s="1">
        <f>IFERROR(__xludf.DUMMYFUNCTION("""COMPUTED_VALUE"""),44.0)</f>
        <v>44</v>
      </c>
      <c r="J13" s="1">
        <f>IFERROR(__xludf.DUMMYFUNCTION("""COMPUTED_VALUE"""),45.0)</f>
        <v>45</v>
      </c>
      <c r="K13" s="1">
        <f>IFERROR(__xludf.DUMMYFUNCTION("""COMPUTED_VALUE"""),91.0)</f>
        <v>91</v>
      </c>
      <c r="L13" s="1">
        <f>IFERROR(__xludf.DUMMYFUNCTION("""COMPUTED_VALUE"""),345.0)</f>
        <v>345</v>
      </c>
      <c r="M13" s="1">
        <f>IFERROR(__xludf.DUMMYFUNCTION("""COMPUTED_VALUE"""),69.0)</f>
        <v>69</v>
      </c>
      <c r="N13" s="1">
        <f>IFERROR(__xludf.DUMMYFUNCTION("""COMPUTED_VALUE"""),75.0)</f>
        <v>75</v>
      </c>
      <c r="O13" s="1" t="str">
        <f>IFERROR(__xludf.DUMMYFUNCTION("""COMPUTED_VALUE"""),"Pass")</f>
        <v>Pass</v>
      </c>
    </row>
    <row r="14">
      <c r="A14" s="1" t="str">
        <f>IFERROR(__xludf.DUMMYFUNCTION("""COMPUTED_VALUE"""),"STD-1065")</f>
        <v>STD-1065</v>
      </c>
      <c r="B14" s="1" t="str">
        <f>IFERROR(__xludf.DUMMYFUNCTION("""COMPUTED_VALUE"""),"Karan Nair")</f>
        <v>Karan Nair</v>
      </c>
      <c r="C14" s="1" t="str">
        <f>IFERROR(__xludf.DUMMYFUNCTION("""COMPUTED_VALUE"""),"Male")</f>
        <v>Male</v>
      </c>
      <c r="D14" s="1" t="str">
        <f>IFERROR(__xludf.DUMMYFUNCTION("""COMPUTED_VALUE"""),"10")</f>
        <v>10</v>
      </c>
      <c r="E14" s="1" t="str">
        <f>IFERROR(__xludf.DUMMYFUNCTION("""COMPUTED_VALUE"""),"B")</f>
        <v>B</v>
      </c>
      <c r="F14" s="1" t="str">
        <f>IFERROR(__xludf.DUMMYFUNCTION("""COMPUTED_VALUE"""),"Mumbai")</f>
        <v>Mumbai</v>
      </c>
      <c r="G14" s="1">
        <f>IFERROR(__xludf.DUMMYFUNCTION("""COMPUTED_VALUE"""),55.0)</f>
        <v>55</v>
      </c>
      <c r="H14" s="1">
        <f>IFERROR(__xludf.DUMMYFUNCTION("""COMPUTED_VALUE"""),61.0)</f>
        <v>61</v>
      </c>
      <c r="I14" s="1">
        <f>IFERROR(__xludf.DUMMYFUNCTION("""COMPUTED_VALUE"""),42.0)</f>
        <v>42</v>
      </c>
      <c r="J14" s="1">
        <f>IFERROR(__xludf.DUMMYFUNCTION("""COMPUTED_VALUE"""),85.0)</f>
        <v>85</v>
      </c>
      <c r="K14" s="1">
        <f>IFERROR(__xludf.DUMMYFUNCTION("""COMPUTED_VALUE"""),63.0)</f>
        <v>63</v>
      </c>
      <c r="L14" s="1">
        <f>IFERROR(__xludf.DUMMYFUNCTION("""COMPUTED_VALUE"""),306.0)</f>
        <v>306</v>
      </c>
      <c r="M14" s="1">
        <f>IFERROR(__xludf.DUMMYFUNCTION("""COMPUTED_VALUE"""),61.2)</f>
        <v>61.2</v>
      </c>
      <c r="N14" s="1">
        <f>IFERROR(__xludf.DUMMYFUNCTION("""COMPUTED_VALUE"""),66.0)</f>
        <v>66</v>
      </c>
      <c r="O14" s="1" t="str">
        <f>IFERROR(__xludf.DUMMYFUNCTION("""COMPUTED_VALUE"""),"Pass")</f>
        <v>Pass</v>
      </c>
    </row>
    <row r="15">
      <c r="A15" s="1" t="str">
        <f>IFERROR(__xludf.DUMMYFUNCTION("""COMPUTED_VALUE"""),"STD-1066")</f>
        <v>STD-1066</v>
      </c>
      <c r="B15" s="1" t="str">
        <f>IFERROR(__xludf.DUMMYFUNCTION("""COMPUTED_VALUE"""),"Kavya Yadav")</f>
        <v>Kavya Yadav</v>
      </c>
      <c r="C15" s="1" t="str">
        <f>IFERROR(__xludf.DUMMYFUNCTION("""COMPUTED_VALUE"""),"Female")</f>
        <v>Female</v>
      </c>
      <c r="D15" s="1" t="str">
        <f>IFERROR(__xludf.DUMMYFUNCTION("""COMPUTED_VALUE"""),"10")</f>
        <v>10</v>
      </c>
      <c r="E15" s="1" t="str">
        <f>IFERROR(__xludf.DUMMYFUNCTION("""COMPUTED_VALUE"""),"B")</f>
        <v>B</v>
      </c>
      <c r="F15" s="1" t="str">
        <f>IFERROR(__xludf.DUMMYFUNCTION("""COMPUTED_VALUE"""),"Jaipur")</f>
        <v>Jaipur</v>
      </c>
      <c r="G15" s="1">
        <f>IFERROR(__xludf.DUMMYFUNCTION("""COMPUTED_VALUE"""),88.0)</f>
        <v>88</v>
      </c>
      <c r="H15" s="1">
        <f>IFERROR(__xludf.DUMMYFUNCTION("""COMPUTED_VALUE"""),75.0)</f>
        <v>75</v>
      </c>
      <c r="I15" s="1">
        <f>IFERROR(__xludf.DUMMYFUNCTION("""COMPUTED_VALUE"""),77.0)</f>
        <v>77</v>
      </c>
      <c r="J15" s="1">
        <f>IFERROR(__xludf.DUMMYFUNCTION("""COMPUTED_VALUE"""),41.0)</f>
        <v>41</v>
      </c>
      <c r="K15" s="1">
        <f>IFERROR(__xludf.DUMMYFUNCTION("""COMPUTED_VALUE"""),84.0)</f>
        <v>84</v>
      </c>
      <c r="L15" s="1">
        <f>IFERROR(__xludf.DUMMYFUNCTION("""COMPUTED_VALUE"""),365.0)</f>
        <v>365</v>
      </c>
      <c r="M15" s="1">
        <f>IFERROR(__xludf.DUMMYFUNCTION("""COMPUTED_VALUE"""),73.0)</f>
        <v>73</v>
      </c>
      <c r="N15" s="1">
        <f>IFERROR(__xludf.DUMMYFUNCTION("""COMPUTED_VALUE"""),61.0)</f>
        <v>61</v>
      </c>
      <c r="O15" s="1" t="str">
        <f>IFERROR(__xludf.DUMMYFUNCTION("""COMPUTED_VALUE"""),"Pass")</f>
        <v>Pass</v>
      </c>
    </row>
    <row r="16">
      <c r="A16" s="1" t="str">
        <f>IFERROR(__xludf.DUMMYFUNCTION("""COMPUTED_VALUE"""),"STD-1068")</f>
        <v>STD-1068</v>
      </c>
      <c r="B16" s="1" t="str">
        <f>IFERROR(__xludf.DUMMYFUNCTION("""COMPUTED_VALUE"""),"Ritika Banerjee")</f>
        <v>Ritika Banerjee</v>
      </c>
      <c r="C16" s="1" t="str">
        <f>IFERROR(__xludf.DUMMYFUNCTION("""COMPUTED_VALUE"""),"Male")</f>
        <v>Male</v>
      </c>
      <c r="D16" s="1" t="str">
        <f>IFERROR(__xludf.DUMMYFUNCTION("""COMPUTED_VALUE"""),"10")</f>
        <v>10</v>
      </c>
      <c r="E16" s="1" t="str">
        <f>IFERROR(__xludf.DUMMYFUNCTION("""COMPUTED_VALUE"""),"A")</f>
        <v>A</v>
      </c>
      <c r="F16" s="1" t="str">
        <f>IFERROR(__xludf.DUMMYFUNCTION("""COMPUTED_VALUE"""),"Patna")</f>
        <v>Patna</v>
      </c>
      <c r="G16" s="1">
        <f>IFERROR(__xludf.DUMMYFUNCTION("""COMPUTED_VALUE"""),43.0)</f>
        <v>43</v>
      </c>
      <c r="H16" s="1">
        <f>IFERROR(__xludf.DUMMYFUNCTION("""COMPUTED_VALUE"""),79.0)</f>
        <v>79</v>
      </c>
      <c r="I16" s="1">
        <f>IFERROR(__xludf.DUMMYFUNCTION("""COMPUTED_VALUE"""),87.0)</f>
        <v>87</v>
      </c>
      <c r="J16" s="1">
        <f>IFERROR(__xludf.DUMMYFUNCTION("""COMPUTED_VALUE"""),65.0)</f>
        <v>65</v>
      </c>
      <c r="K16" s="1">
        <f>IFERROR(__xludf.DUMMYFUNCTION("""COMPUTED_VALUE"""),95.0)</f>
        <v>95</v>
      </c>
      <c r="L16" s="1">
        <f>IFERROR(__xludf.DUMMYFUNCTION("""COMPUTED_VALUE"""),369.0)</f>
        <v>369</v>
      </c>
      <c r="M16" s="1">
        <f>IFERROR(__xludf.DUMMYFUNCTION("""COMPUTED_VALUE"""),73.8)</f>
        <v>73.8</v>
      </c>
      <c r="N16" s="1">
        <f>IFERROR(__xludf.DUMMYFUNCTION("""COMPUTED_VALUE"""),94.0)</f>
        <v>94</v>
      </c>
      <c r="O16" s="1" t="str">
        <f>IFERROR(__xludf.DUMMYFUNCTION("""COMPUTED_VALUE"""),"Pass")</f>
        <v>Pass</v>
      </c>
    </row>
    <row r="17">
      <c r="A17" s="1" t="str">
        <f>IFERROR(__xludf.DUMMYFUNCTION("""COMPUTED_VALUE"""),"STD-1072")</f>
        <v>STD-1072</v>
      </c>
      <c r="B17" s="1" t="str">
        <f>IFERROR(__xludf.DUMMYFUNCTION("""COMPUTED_VALUE"""),"Arjun Iyer")</f>
        <v>Arjun Iyer</v>
      </c>
      <c r="C17" s="1" t="str">
        <f>IFERROR(__xludf.DUMMYFUNCTION("""COMPUTED_VALUE"""),"Female")</f>
        <v>Female</v>
      </c>
      <c r="D17" s="1" t="str">
        <f>IFERROR(__xludf.DUMMYFUNCTION("""COMPUTED_VALUE"""),"10")</f>
        <v>10</v>
      </c>
      <c r="E17" s="1" t="str">
        <f>IFERROR(__xludf.DUMMYFUNCTION("""COMPUTED_VALUE"""),"B")</f>
        <v>B</v>
      </c>
      <c r="F17" s="1" t="str">
        <f>IFERROR(__xludf.DUMMYFUNCTION("""COMPUTED_VALUE"""),"Delhi")</f>
        <v>Delhi</v>
      </c>
      <c r="G17" s="1">
        <f>IFERROR(__xludf.DUMMYFUNCTION("""COMPUTED_VALUE"""),73.0)</f>
        <v>73</v>
      </c>
      <c r="H17" s="1">
        <f>IFERROR(__xludf.DUMMYFUNCTION("""COMPUTED_VALUE"""),87.0)</f>
        <v>87</v>
      </c>
      <c r="I17" s="1">
        <f>IFERROR(__xludf.DUMMYFUNCTION("""COMPUTED_VALUE"""),70.0)</f>
        <v>70</v>
      </c>
      <c r="J17" s="1">
        <f>IFERROR(__xludf.DUMMYFUNCTION("""COMPUTED_VALUE"""),71.0)</f>
        <v>71</v>
      </c>
      <c r="K17" s="1">
        <f>IFERROR(__xludf.DUMMYFUNCTION("""COMPUTED_VALUE"""),42.0)</f>
        <v>42</v>
      </c>
      <c r="L17" s="1">
        <f>IFERROR(__xludf.DUMMYFUNCTION("""COMPUTED_VALUE"""),343.0)</f>
        <v>343</v>
      </c>
      <c r="M17" s="1">
        <f>IFERROR(__xludf.DUMMYFUNCTION("""COMPUTED_VALUE"""),68.6)</f>
        <v>68.6</v>
      </c>
      <c r="N17" s="1">
        <f>IFERROR(__xludf.DUMMYFUNCTION("""COMPUTED_VALUE"""),73.0)</f>
        <v>73</v>
      </c>
      <c r="O17" s="1" t="str">
        <f>IFERROR(__xludf.DUMMYFUNCTION("""COMPUTED_VALUE"""),"Pass")</f>
        <v>Pass</v>
      </c>
    </row>
    <row r="18">
      <c r="A18" s="1" t="str">
        <f>IFERROR(__xludf.DUMMYFUNCTION("""COMPUTED_VALUE"""),"STD-1073")</f>
        <v>STD-1073</v>
      </c>
      <c r="B18" s="1" t="str">
        <f>IFERROR(__xludf.DUMMYFUNCTION("""COMPUTED_VALUE"""),"Neha Patel")</f>
        <v>Neha Patel</v>
      </c>
      <c r="C18" s="1" t="str">
        <f>IFERROR(__xludf.DUMMYFUNCTION("""COMPUTED_VALUE"""),"Female")</f>
        <v>Female</v>
      </c>
      <c r="D18" s="1" t="str">
        <f>IFERROR(__xludf.DUMMYFUNCTION("""COMPUTED_VALUE"""),"10")</f>
        <v>10</v>
      </c>
      <c r="E18" s="1" t="str">
        <f>IFERROR(__xludf.DUMMYFUNCTION("""COMPUTED_VALUE"""),"C")</f>
        <v>C</v>
      </c>
      <c r="F18" s="1" t="str">
        <f>IFERROR(__xludf.DUMMYFUNCTION("""COMPUTED_VALUE"""),"Mumbai")</f>
        <v>Mumbai</v>
      </c>
      <c r="G18" s="1">
        <f>IFERROR(__xludf.DUMMYFUNCTION("""COMPUTED_VALUE"""),87.0)</f>
        <v>87</v>
      </c>
      <c r="H18" s="1">
        <f>IFERROR(__xludf.DUMMYFUNCTION("""COMPUTED_VALUE"""),60.0)</f>
        <v>60</v>
      </c>
      <c r="I18" s="1">
        <f>IFERROR(__xludf.DUMMYFUNCTION("""COMPUTED_VALUE"""),71.0)</f>
        <v>71</v>
      </c>
      <c r="J18" s="1">
        <f>IFERROR(__xludf.DUMMYFUNCTION("""COMPUTED_VALUE"""),91.0)</f>
        <v>91</v>
      </c>
      <c r="K18" s="1">
        <f>IFERROR(__xludf.DUMMYFUNCTION("""COMPUTED_VALUE"""),42.0)</f>
        <v>42</v>
      </c>
      <c r="L18" s="1">
        <f>IFERROR(__xludf.DUMMYFUNCTION("""COMPUTED_VALUE"""),351.0)</f>
        <v>351</v>
      </c>
      <c r="M18" s="1">
        <f>IFERROR(__xludf.DUMMYFUNCTION("""COMPUTED_VALUE"""),70.2)</f>
        <v>70.2</v>
      </c>
      <c r="N18" s="1">
        <f>IFERROR(__xludf.DUMMYFUNCTION("""COMPUTED_VALUE"""),79.0)</f>
        <v>79</v>
      </c>
      <c r="O18" s="1" t="str">
        <f>IFERROR(__xludf.DUMMYFUNCTION("""COMPUTED_VALUE"""),"Pass")</f>
        <v>Pass</v>
      </c>
    </row>
    <row r="19">
      <c r="A19" s="1" t="str">
        <f>IFERROR(__xludf.DUMMYFUNCTION("""COMPUTED_VALUE"""),"STD-1075")</f>
        <v>STD-1075</v>
      </c>
      <c r="B19" s="1" t="str">
        <f>IFERROR(__xludf.DUMMYFUNCTION("""COMPUTED_VALUE"""),"Arjun Reddy")</f>
        <v>Arjun Reddy</v>
      </c>
      <c r="C19" s="1" t="str">
        <f>IFERROR(__xludf.DUMMYFUNCTION("""COMPUTED_VALUE"""),"Male")</f>
        <v>Male</v>
      </c>
      <c r="D19" s="1" t="str">
        <f>IFERROR(__xludf.DUMMYFUNCTION("""COMPUTED_VALUE"""),"10")</f>
        <v>10</v>
      </c>
      <c r="E19" s="1" t="str">
        <f>IFERROR(__xludf.DUMMYFUNCTION("""COMPUTED_VALUE"""),"C")</f>
        <v>C</v>
      </c>
      <c r="F19" s="1" t="str">
        <f>IFERROR(__xludf.DUMMYFUNCTION("""COMPUTED_VALUE"""),"Patna")</f>
        <v>Patna</v>
      </c>
      <c r="G19" s="1">
        <f>IFERROR(__xludf.DUMMYFUNCTION("""COMPUTED_VALUE"""),55.0)</f>
        <v>55</v>
      </c>
      <c r="H19" s="1">
        <f>IFERROR(__xludf.DUMMYFUNCTION("""COMPUTED_VALUE"""),78.0)</f>
        <v>78</v>
      </c>
      <c r="I19" s="1">
        <f>IFERROR(__xludf.DUMMYFUNCTION("""COMPUTED_VALUE"""),77.0)</f>
        <v>77</v>
      </c>
      <c r="J19" s="1">
        <f>IFERROR(__xludf.DUMMYFUNCTION("""COMPUTED_VALUE"""),97.0)</f>
        <v>97</v>
      </c>
      <c r="K19" s="1">
        <f>IFERROR(__xludf.DUMMYFUNCTION("""COMPUTED_VALUE"""),60.0)</f>
        <v>60</v>
      </c>
      <c r="L19" s="1">
        <f>IFERROR(__xludf.DUMMYFUNCTION("""COMPUTED_VALUE"""),367.0)</f>
        <v>367</v>
      </c>
      <c r="M19" s="1">
        <f>IFERROR(__xludf.DUMMYFUNCTION("""COMPUTED_VALUE"""),73.4)</f>
        <v>73.4</v>
      </c>
      <c r="N19" s="1">
        <f>IFERROR(__xludf.DUMMYFUNCTION("""COMPUTED_VALUE"""),81.0)</f>
        <v>81</v>
      </c>
      <c r="O19" s="1" t="str">
        <f>IFERROR(__xludf.DUMMYFUNCTION("""COMPUTED_VALUE"""),"Pass")</f>
        <v>Pass</v>
      </c>
    </row>
    <row r="20">
      <c r="A20" s="1" t="str">
        <f>IFERROR(__xludf.DUMMYFUNCTION("""COMPUTED_VALUE"""),"STD-1078")</f>
        <v>STD-1078</v>
      </c>
      <c r="B20" s="1" t="str">
        <f>IFERROR(__xludf.DUMMYFUNCTION("""COMPUTED_VALUE"""),"Kavya Reddy")</f>
        <v>Kavya Reddy</v>
      </c>
      <c r="C20" s="1" t="str">
        <f>IFERROR(__xludf.DUMMYFUNCTION("""COMPUTED_VALUE"""),"Female")</f>
        <v>Female</v>
      </c>
      <c r="D20" s="1" t="str">
        <f>IFERROR(__xludf.DUMMYFUNCTION("""COMPUTED_VALUE"""),"10")</f>
        <v>10</v>
      </c>
      <c r="E20" s="1" t="str">
        <f>IFERROR(__xludf.DUMMYFUNCTION("""COMPUTED_VALUE"""),"A")</f>
        <v>A</v>
      </c>
      <c r="F20" s="1" t="str">
        <f>IFERROR(__xludf.DUMMYFUNCTION("""COMPUTED_VALUE"""),"Lucknow")</f>
        <v>Lucknow</v>
      </c>
      <c r="G20" s="1">
        <f>IFERROR(__xludf.DUMMYFUNCTION("""COMPUTED_VALUE"""),84.0)</f>
        <v>84</v>
      </c>
      <c r="H20" s="1">
        <f>IFERROR(__xludf.DUMMYFUNCTION("""COMPUTED_VALUE"""),91.0)</f>
        <v>91</v>
      </c>
      <c r="I20" s="1">
        <f>IFERROR(__xludf.DUMMYFUNCTION("""COMPUTED_VALUE"""),96.0)</f>
        <v>96</v>
      </c>
      <c r="J20" s="1">
        <f>IFERROR(__xludf.DUMMYFUNCTION("""COMPUTED_VALUE"""),54.0)</f>
        <v>54</v>
      </c>
      <c r="K20" s="1">
        <f>IFERROR(__xludf.DUMMYFUNCTION("""COMPUTED_VALUE"""),89.0)</f>
        <v>89</v>
      </c>
      <c r="L20" s="1">
        <f>IFERROR(__xludf.DUMMYFUNCTION("""COMPUTED_VALUE"""),414.0)</f>
        <v>414</v>
      </c>
      <c r="M20" s="1">
        <f>IFERROR(__xludf.DUMMYFUNCTION("""COMPUTED_VALUE"""),82.8)</f>
        <v>82.8</v>
      </c>
      <c r="N20" s="1">
        <f>IFERROR(__xludf.DUMMYFUNCTION("""COMPUTED_VALUE"""),71.0)</f>
        <v>71</v>
      </c>
      <c r="O20" s="1" t="str">
        <f>IFERROR(__xludf.DUMMYFUNCTION("""COMPUTED_VALUE"""),"Pass")</f>
        <v>Pass</v>
      </c>
    </row>
    <row r="21" ht="15.75" customHeight="1">
      <c r="A21" s="1" t="str">
        <f>IFERROR(__xludf.DUMMYFUNCTION("""COMPUTED_VALUE"""),"STD-1083")</f>
        <v>STD-1083</v>
      </c>
      <c r="B21" s="1" t="str">
        <f>IFERROR(__xludf.DUMMYFUNCTION("""COMPUTED_VALUE"""),"Priya Singh")</f>
        <v>Priya Singh</v>
      </c>
      <c r="C21" s="1" t="str">
        <f>IFERROR(__xludf.DUMMYFUNCTION("""COMPUTED_VALUE"""),"Male")</f>
        <v>Male</v>
      </c>
      <c r="D21" s="1" t="str">
        <f>IFERROR(__xludf.DUMMYFUNCTION("""COMPUTED_VALUE"""),"10")</f>
        <v>10</v>
      </c>
      <c r="E21" s="1" t="str">
        <f>IFERROR(__xludf.DUMMYFUNCTION("""COMPUTED_VALUE"""),"A")</f>
        <v>A</v>
      </c>
      <c r="F21" s="1" t="str">
        <f>IFERROR(__xludf.DUMMYFUNCTION("""COMPUTED_VALUE"""),"Mumbai")</f>
        <v>Mumbai</v>
      </c>
      <c r="G21" s="1">
        <f>IFERROR(__xludf.DUMMYFUNCTION("""COMPUTED_VALUE"""),69.0)</f>
        <v>69</v>
      </c>
      <c r="H21" s="1">
        <f>IFERROR(__xludf.DUMMYFUNCTION("""COMPUTED_VALUE"""),68.0)</f>
        <v>68</v>
      </c>
      <c r="I21" s="1">
        <f>IFERROR(__xludf.DUMMYFUNCTION("""COMPUTED_VALUE"""),87.0)</f>
        <v>87</v>
      </c>
      <c r="J21" s="1">
        <f>IFERROR(__xludf.DUMMYFUNCTION("""COMPUTED_VALUE"""),90.0)</f>
        <v>90</v>
      </c>
      <c r="K21" s="1">
        <f>IFERROR(__xludf.DUMMYFUNCTION("""COMPUTED_VALUE"""),68.0)</f>
        <v>68</v>
      </c>
      <c r="L21" s="1">
        <f>IFERROR(__xludf.DUMMYFUNCTION("""COMPUTED_VALUE"""),382.0)</f>
        <v>382</v>
      </c>
      <c r="M21" s="1">
        <f>IFERROR(__xludf.DUMMYFUNCTION("""COMPUTED_VALUE"""),76.4)</f>
        <v>76.4</v>
      </c>
      <c r="N21" s="1">
        <f>IFERROR(__xludf.DUMMYFUNCTION("""COMPUTED_VALUE"""),72.0)</f>
        <v>72</v>
      </c>
      <c r="O21" s="1" t="str">
        <f>IFERROR(__xludf.DUMMYFUNCTION("""COMPUTED_VALUE"""),"Pass")</f>
        <v>Pass</v>
      </c>
    </row>
    <row r="22" ht="15.75" customHeight="1">
      <c r="A22" s="1" t="str">
        <f>IFERROR(__xludf.DUMMYFUNCTION("""COMPUTED_VALUE"""),"STD-1090")</f>
        <v>STD-1090</v>
      </c>
      <c r="B22" s="1" t="str">
        <f>IFERROR(__xludf.DUMMYFUNCTION("""COMPUTED_VALUE"""),"Rahul Reddy")</f>
        <v>Rahul Reddy</v>
      </c>
      <c r="C22" s="1" t="str">
        <f>IFERROR(__xludf.DUMMYFUNCTION("""COMPUTED_VALUE"""),"Male")</f>
        <v>Male</v>
      </c>
      <c r="D22" s="1" t="str">
        <f>IFERROR(__xludf.DUMMYFUNCTION("""COMPUTED_VALUE"""),"10")</f>
        <v>10</v>
      </c>
      <c r="E22" s="1" t="str">
        <f>IFERROR(__xludf.DUMMYFUNCTION("""COMPUTED_VALUE"""),"C")</f>
        <v>C</v>
      </c>
      <c r="F22" s="1" t="str">
        <f>IFERROR(__xludf.DUMMYFUNCTION("""COMPUTED_VALUE"""),"Jaipur")</f>
        <v>Jaipur</v>
      </c>
      <c r="G22" s="1">
        <f>IFERROR(__xludf.DUMMYFUNCTION("""COMPUTED_VALUE"""),85.0)</f>
        <v>85</v>
      </c>
      <c r="H22" s="1">
        <f>IFERROR(__xludf.DUMMYFUNCTION("""COMPUTED_VALUE"""),68.0)</f>
        <v>68</v>
      </c>
      <c r="I22" s="1">
        <f>IFERROR(__xludf.DUMMYFUNCTION("""COMPUTED_VALUE"""),41.0)</f>
        <v>41</v>
      </c>
      <c r="J22" s="1">
        <f>IFERROR(__xludf.DUMMYFUNCTION("""COMPUTED_VALUE"""),88.0)</f>
        <v>88</v>
      </c>
      <c r="K22" s="1">
        <f>IFERROR(__xludf.DUMMYFUNCTION("""COMPUTED_VALUE"""),75.0)</f>
        <v>75</v>
      </c>
      <c r="L22" s="1">
        <f>IFERROR(__xludf.DUMMYFUNCTION("""COMPUTED_VALUE"""),357.0)</f>
        <v>357</v>
      </c>
      <c r="M22" s="1">
        <f>IFERROR(__xludf.DUMMYFUNCTION("""COMPUTED_VALUE"""),71.4)</f>
        <v>71.4</v>
      </c>
      <c r="N22" s="1">
        <f>IFERROR(__xludf.DUMMYFUNCTION("""COMPUTED_VALUE"""),91.0)</f>
        <v>91</v>
      </c>
      <c r="O22" s="1" t="str">
        <f>IFERROR(__xludf.DUMMYFUNCTION("""COMPUTED_VALUE"""),"Pass")</f>
        <v>Pass</v>
      </c>
    </row>
    <row r="23" ht="15.75" customHeight="1">
      <c r="A23" s="1" t="str">
        <f>IFERROR(__xludf.DUMMYFUNCTION("""COMPUTED_VALUE"""),"STD-1091")</f>
        <v>STD-1091</v>
      </c>
      <c r="B23" s="1" t="str">
        <f>IFERROR(__xludf.DUMMYFUNCTION("""COMPUTED_VALUE"""),"Karan Reddy")</f>
        <v>Karan Reddy</v>
      </c>
      <c r="C23" s="1" t="str">
        <f>IFERROR(__xludf.DUMMYFUNCTION("""COMPUTED_VALUE"""),"Male")</f>
        <v>Male</v>
      </c>
      <c r="D23" s="1" t="str">
        <f>IFERROR(__xludf.DUMMYFUNCTION("""COMPUTED_VALUE"""),"10")</f>
        <v>10</v>
      </c>
      <c r="E23" s="1" t="str">
        <f>IFERROR(__xludf.DUMMYFUNCTION("""COMPUTED_VALUE"""),"A")</f>
        <v>A</v>
      </c>
      <c r="F23" s="1" t="str">
        <f>IFERROR(__xludf.DUMMYFUNCTION("""COMPUTED_VALUE"""),"Delhi")</f>
        <v>Delhi</v>
      </c>
      <c r="G23" s="1">
        <f>IFERROR(__xludf.DUMMYFUNCTION("""COMPUTED_VALUE"""),46.0)</f>
        <v>46</v>
      </c>
      <c r="H23" s="1">
        <f>IFERROR(__xludf.DUMMYFUNCTION("""COMPUTED_VALUE"""),93.0)</f>
        <v>93</v>
      </c>
      <c r="I23" s="1">
        <f>IFERROR(__xludf.DUMMYFUNCTION("""COMPUTED_VALUE"""),75.0)</f>
        <v>75</v>
      </c>
      <c r="J23" s="1">
        <f>IFERROR(__xludf.DUMMYFUNCTION("""COMPUTED_VALUE"""),98.0)</f>
        <v>98</v>
      </c>
      <c r="K23" s="1">
        <f>IFERROR(__xludf.DUMMYFUNCTION("""COMPUTED_VALUE"""),57.0)</f>
        <v>57</v>
      </c>
      <c r="L23" s="1">
        <f>IFERROR(__xludf.DUMMYFUNCTION("""COMPUTED_VALUE"""),369.0)</f>
        <v>369</v>
      </c>
      <c r="M23" s="1">
        <f>IFERROR(__xludf.DUMMYFUNCTION("""COMPUTED_VALUE"""),73.8)</f>
        <v>73.8</v>
      </c>
      <c r="N23" s="1">
        <f>IFERROR(__xludf.DUMMYFUNCTION("""COMPUTED_VALUE"""),96.0)</f>
        <v>96</v>
      </c>
      <c r="O23" s="1" t="str">
        <f>IFERROR(__xludf.DUMMYFUNCTION("""COMPUTED_VALUE"""),"Pass")</f>
        <v>Pass</v>
      </c>
    </row>
    <row r="24" ht="15.75" customHeight="1">
      <c r="A24" s="1" t="str">
        <f>IFERROR(__xludf.DUMMYFUNCTION("""COMPUTED_VALUE"""),"STD-1094")</f>
        <v>STD-1094</v>
      </c>
      <c r="B24" s="1" t="str">
        <f>IFERROR(__xludf.DUMMYFUNCTION("""COMPUTED_VALUE"""),"Rohan Nair")</f>
        <v>Rohan Nair</v>
      </c>
      <c r="C24" s="1" t="str">
        <f>IFERROR(__xludf.DUMMYFUNCTION("""COMPUTED_VALUE"""),"Female")</f>
        <v>Female</v>
      </c>
      <c r="D24" s="1" t="str">
        <f>IFERROR(__xludf.DUMMYFUNCTION("""COMPUTED_VALUE"""),"10")</f>
        <v>10</v>
      </c>
      <c r="E24" s="1" t="str">
        <f>IFERROR(__xludf.DUMMYFUNCTION("""COMPUTED_VALUE"""),"A")</f>
        <v>A</v>
      </c>
      <c r="F24" s="1" t="str">
        <f>IFERROR(__xludf.DUMMYFUNCTION("""COMPUTED_VALUE"""),"Patna")</f>
        <v>Patna</v>
      </c>
      <c r="G24" s="1">
        <f>IFERROR(__xludf.DUMMYFUNCTION("""COMPUTED_VALUE"""),47.0)</f>
        <v>47</v>
      </c>
      <c r="H24" s="1">
        <f>IFERROR(__xludf.DUMMYFUNCTION("""COMPUTED_VALUE"""),68.0)</f>
        <v>68</v>
      </c>
      <c r="I24" s="1">
        <f>IFERROR(__xludf.DUMMYFUNCTION("""COMPUTED_VALUE"""),100.0)</f>
        <v>100</v>
      </c>
      <c r="J24" s="1">
        <f>IFERROR(__xludf.DUMMYFUNCTION("""COMPUTED_VALUE"""),91.0)</f>
        <v>91</v>
      </c>
      <c r="K24" s="1">
        <f>IFERROR(__xludf.DUMMYFUNCTION("""COMPUTED_VALUE"""),43.0)</f>
        <v>43</v>
      </c>
      <c r="L24" s="1">
        <f>IFERROR(__xludf.DUMMYFUNCTION("""COMPUTED_VALUE"""),349.0)</f>
        <v>349</v>
      </c>
      <c r="M24" s="1">
        <f>IFERROR(__xludf.DUMMYFUNCTION("""COMPUTED_VALUE"""),69.8)</f>
        <v>69.8</v>
      </c>
      <c r="N24" s="1">
        <f>IFERROR(__xludf.DUMMYFUNCTION("""COMPUTED_VALUE"""),93.0)</f>
        <v>93</v>
      </c>
      <c r="O24" s="1" t="str">
        <f>IFERROR(__xludf.DUMMYFUNCTION("""COMPUTED_VALUE"""),"Pass")</f>
        <v>Pass</v>
      </c>
    </row>
    <row r="25" ht="15.75" customHeight="1">
      <c r="A25" s="1" t="str">
        <f>IFERROR(__xludf.DUMMYFUNCTION("""COMPUTED_VALUE"""),"STD-1096")</f>
        <v>STD-1096</v>
      </c>
      <c r="B25" s="1" t="str">
        <f>IFERROR(__xludf.DUMMYFUNCTION("""COMPUTED_VALUE"""),"Aarav Verma")</f>
        <v>Aarav Verma</v>
      </c>
      <c r="C25" s="1" t="str">
        <f>IFERROR(__xludf.DUMMYFUNCTION("""COMPUTED_VALUE"""),"Male")</f>
        <v>Male</v>
      </c>
      <c r="D25" s="1" t="str">
        <f>IFERROR(__xludf.DUMMYFUNCTION("""COMPUTED_VALUE"""),"10")</f>
        <v>10</v>
      </c>
      <c r="E25" s="1" t="str">
        <f>IFERROR(__xludf.DUMMYFUNCTION("""COMPUTED_VALUE"""),"C")</f>
        <v>C</v>
      </c>
      <c r="F25" s="1" t="str">
        <f>IFERROR(__xludf.DUMMYFUNCTION("""COMPUTED_VALUE"""),"Jaipur")</f>
        <v>Jaipur</v>
      </c>
      <c r="G25" s="1">
        <f>IFERROR(__xludf.DUMMYFUNCTION("""COMPUTED_VALUE"""),63.0)</f>
        <v>63</v>
      </c>
      <c r="H25" s="1">
        <f>IFERROR(__xludf.DUMMYFUNCTION("""COMPUTED_VALUE"""),45.0)</f>
        <v>45</v>
      </c>
      <c r="I25" s="1">
        <f>IFERROR(__xludf.DUMMYFUNCTION("""COMPUTED_VALUE"""),86.0)</f>
        <v>86</v>
      </c>
      <c r="J25" s="1">
        <f>IFERROR(__xludf.DUMMYFUNCTION("""COMPUTED_VALUE"""),91.0)</f>
        <v>91</v>
      </c>
      <c r="K25" s="1">
        <f>IFERROR(__xludf.DUMMYFUNCTION("""COMPUTED_VALUE"""),66.0)</f>
        <v>66</v>
      </c>
      <c r="L25" s="1">
        <f>IFERROR(__xludf.DUMMYFUNCTION("""COMPUTED_VALUE"""),351.0)</f>
        <v>351</v>
      </c>
      <c r="M25" s="1">
        <f>IFERROR(__xludf.DUMMYFUNCTION("""COMPUTED_VALUE"""),70.2)</f>
        <v>70.2</v>
      </c>
      <c r="N25" s="1">
        <f>IFERROR(__xludf.DUMMYFUNCTION("""COMPUTED_VALUE"""),76.0)</f>
        <v>76</v>
      </c>
      <c r="O25" s="1" t="str">
        <f>IFERROR(__xludf.DUMMYFUNCTION("""COMPUTED_VALUE"""),"Pass")</f>
        <v>Pass</v>
      </c>
    </row>
    <row r="26" ht="15.75" customHeight="1">
      <c r="A26" s="1" t="str">
        <f>IFERROR(__xludf.DUMMYFUNCTION("""COMPUTED_VALUE"""),"STD-1106")</f>
        <v>STD-1106</v>
      </c>
      <c r="B26" s="1" t="str">
        <f>IFERROR(__xludf.DUMMYFUNCTION("""COMPUTED_VALUE"""),"Ritika Iyer")</f>
        <v>Ritika Iyer</v>
      </c>
      <c r="C26" s="1" t="str">
        <f>IFERROR(__xludf.DUMMYFUNCTION("""COMPUTED_VALUE"""),"Male")</f>
        <v>Male</v>
      </c>
      <c r="D26" s="1" t="str">
        <f>IFERROR(__xludf.DUMMYFUNCTION("""COMPUTED_VALUE"""),"10")</f>
        <v>10</v>
      </c>
      <c r="E26" s="1" t="str">
        <f>IFERROR(__xludf.DUMMYFUNCTION("""COMPUTED_VALUE"""),"C")</f>
        <v>C</v>
      </c>
      <c r="F26" s="1" t="str">
        <f>IFERROR(__xludf.DUMMYFUNCTION("""COMPUTED_VALUE"""),"Patna")</f>
        <v>Patna</v>
      </c>
      <c r="G26" s="1">
        <f>IFERROR(__xludf.DUMMYFUNCTION("""COMPUTED_VALUE"""),47.0)</f>
        <v>47</v>
      </c>
      <c r="H26" s="1">
        <f>IFERROR(__xludf.DUMMYFUNCTION("""COMPUTED_VALUE"""),97.0)</f>
        <v>97</v>
      </c>
      <c r="I26" s="1">
        <f>IFERROR(__xludf.DUMMYFUNCTION("""COMPUTED_VALUE"""),52.0)</f>
        <v>52</v>
      </c>
      <c r="J26" s="1">
        <f>IFERROR(__xludf.DUMMYFUNCTION("""COMPUTED_VALUE"""),58.0)</f>
        <v>58</v>
      </c>
      <c r="K26" s="1">
        <f>IFERROR(__xludf.DUMMYFUNCTION("""COMPUTED_VALUE"""),95.0)</f>
        <v>95</v>
      </c>
      <c r="L26" s="1">
        <f>IFERROR(__xludf.DUMMYFUNCTION("""COMPUTED_VALUE"""),349.0)</f>
        <v>349</v>
      </c>
      <c r="M26" s="1">
        <f>IFERROR(__xludf.DUMMYFUNCTION("""COMPUTED_VALUE"""),69.8)</f>
        <v>69.8</v>
      </c>
      <c r="N26" s="1">
        <f>IFERROR(__xludf.DUMMYFUNCTION("""COMPUTED_VALUE"""),94.0)</f>
        <v>94</v>
      </c>
      <c r="O26" s="1" t="str">
        <f>IFERROR(__xludf.DUMMYFUNCTION("""COMPUTED_VALUE"""),"Pass")</f>
        <v>Pass</v>
      </c>
    </row>
    <row r="27" ht="15.75" customHeight="1">
      <c r="A27" s="1" t="str">
        <f>IFERROR(__xludf.DUMMYFUNCTION("""COMPUTED_VALUE"""),"STD-1107")</f>
        <v>STD-1107</v>
      </c>
      <c r="B27" s="1" t="str">
        <f>IFERROR(__xludf.DUMMYFUNCTION("""COMPUTED_VALUE"""),"Vivaan Reddy")</f>
        <v>Vivaan Reddy</v>
      </c>
      <c r="C27" s="1" t="str">
        <f>IFERROR(__xludf.DUMMYFUNCTION("""COMPUTED_VALUE"""),"Female")</f>
        <v>Female</v>
      </c>
      <c r="D27" s="1" t="str">
        <f>IFERROR(__xludf.DUMMYFUNCTION("""COMPUTED_VALUE"""),"10")</f>
        <v>10</v>
      </c>
      <c r="E27" s="1" t="str">
        <f>IFERROR(__xludf.DUMMYFUNCTION("""COMPUTED_VALUE"""),"B")</f>
        <v>B</v>
      </c>
      <c r="F27" s="1" t="str">
        <f>IFERROR(__xludf.DUMMYFUNCTION("""COMPUTED_VALUE"""),"Chandigarh")</f>
        <v>Chandigarh</v>
      </c>
      <c r="G27" s="1">
        <f>IFERROR(__xludf.DUMMYFUNCTION("""COMPUTED_VALUE"""),93.0)</f>
        <v>93</v>
      </c>
      <c r="H27" s="1">
        <f>IFERROR(__xludf.DUMMYFUNCTION("""COMPUTED_VALUE"""),68.0)</f>
        <v>68</v>
      </c>
      <c r="I27" s="1">
        <f>IFERROR(__xludf.DUMMYFUNCTION("""COMPUTED_VALUE"""),70.0)</f>
        <v>70</v>
      </c>
      <c r="J27" s="1">
        <f>IFERROR(__xludf.DUMMYFUNCTION("""COMPUTED_VALUE"""),67.0)</f>
        <v>67</v>
      </c>
      <c r="K27" s="1">
        <f>IFERROR(__xludf.DUMMYFUNCTION("""COMPUTED_VALUE"""),96.0)</f>
        <v>96</v>
      </c>
      <c r="L27" s="1">
        <f>IFERROR(__xludf.DUMMYFUNCTION("""COMPUTED_VALUE"""),394.0)</f>
        <v>394</v>
      </c>
      <c r="M27" s="1">
        <f>IFERROR(__xludf.DUMMYFUNCTION("""COMPUTED_VALUE"""),78.8)</f>
        <v>78.8</v>
      </c>
      <c r="N27" s="1">
        <f>IFERROR(__xludf.DUMMYFUNCTION("""COMPUTED_VALUE"""),71.0)</f>
        <v>71</v>
      </c>
      <c r="O27" s="1" t="str">
        <f>IFERROR(__xludf.DUMMYFUNCTION("""COMPUTED_VALUE"""),"Pass")</f>
        <v>Pass</v>
      </c>
    </row>
    <row r="28" ht="15.75" customHeight="1">
      <c r="A28" s="1" t="str">
        <f>IFERROR(__xludf.DUMMYFUNCTION("""COMPUTED_VALUE"""),"STD-1119")</f>
        <v>STD-1119</v>
      </c>
      <c r="B28" s="1" t="str">
        <f>IFERROR(__xludf.DUMMYFUNCTION("""COMPUTED_VALUE"""),"Rohan Gupta")</f>
        <v>Rohan Gupta</v>
      </c>
      <c r="C28" s="1" t="str">
        <f>IFERROR(__xludf.DUMMYFUNCTION("""COMPUTED_VALUE"""),"Male")</f>
        <v>Male</v>
      </c>
      <c r="D28" s="1" t="str">
        <f>IFERROR(__xludf.DUMMYFUNCTION("""COMPUTED_VALUE"""),"10")</f>
        <v>10</v>
      </c>
      <c r="E28" s="1" t="str">
        <f>IFERROR(__xludf.DUMMYFUNCTION("""COMPUTED_VALUE"""),"B")</f>
        <v>B</v>
      </c>
      <c r="F28" s="1" t="str">
        <f>IFERROR(__xludf.DUMMYFUNCTION("""COMPUTED_VALUE"""),"Delhi")</f>
        <v>Delhi</v>
      </c>
      <c r="G28" s="1">
        <f>IFERROR(__xludf.DUMMYFUNCTION("""COMPUTED_VALUE"""),44.0)</f>
        <v>44</v>
      </c>
      <c r="H28" s="1">
        <f>IFERROR(__xludf.DUMMYFUNCTION("""COMPUTED_VALUE"""),64.0)</f>
        <v>64</v>
      </c>
      <c r="I28" s="1">
        <f>IFERROR(__xludf.DUMMYFUNCTION("""COMPUTED_VALUE"""),100.0)</f>
        <v>100</v>
      </c>
      <c r="J28" s="1">
        <f>IFERROR(__xludf.DUMMYFUNCTION("""COMPUTED_VALUE"""),97.0)</f>
        <v>97</v>
      </c>
      <c r="K28" s="1">
        <f>IFERROR(__xludf.DUMMYFUNCTION("""COMPUTED_VALUE"""),86.0)</f>
        <v>86</v>
      </c>
      <c r="L28" s="1">
        <f>IFERROR(__xludf.DUMMYFUNCTION("""COMPUTED_VALUE"""),391.0)</f>
        <v>391</v>
      </c>
      <c r="M28" s="1">
        <f>IFERROR(__xludf.DUMMYFUNCTION("""COMPUTED_VALUE"""),78.2)</f>
        <v>78.2</v>
      </c>
      <c r="N28" s="1">
        <f>IFERROR(__xludf.DUMMYFUNCTION("""COMPUTED_VALUE"""),83.0)</f>
        <v>83</v>
      </c>
      <c r="O28" s="1" t="str">
        <f>IFERROR(__xludf.DUMMYFUNCTION("""COMPUTED_VALUE"""),"Pass")</f>
        <v>Pass</v>
      </c>
    </row>
    <row r="29" ht="15.75" customHeight="1">
      <c r="A29" s="1" t="str">
        <f>IFERROR(__xludf.DUMMYFUNCTION("""COMPUTED_VALUE"""),"STD-1123")</f>
        <v>STD-1123</v>
      </c>
      <c r="B29" s="1" t="str">
        <f>IFERROR(__xludf.DUMMYFUNCTION("""COMPUTED_VALUE"""),"Arjun Kaur")</f>
        <v>Arjun Kaur</v>
      </c>
      <c r="C29" s="1" t="str">
        <f>IFERROR(__xludf.DUMMYFUNCTION("""COMPUTED_VALUE"""),"Female")</f>
        <v>Female</v>
      </c>
      <c r="D29" s="1" t="str">
        <f>IFERROR(__xludf.DUMMYFUNCTION("""COMPUTED_VALUE"""),"10")</f>
        <v>10</v>
      </c>
      <c r="E29" s="1" t="str">
        <f>IFERROR(__xludf.DUMMYFUNCTION("""COMPUTED_VALUE"""),"B")</f>
        <v>B</v>
      </c>
      <c r="F29" s="1" t="str">
        <f>IFERROR(__xludf.DUMMYFUNCTION("""COMPUTED_VALUE"""),"Bhopal")</f>
        <v>Bhopal</v>
      </c>
      <c r="G29" s="1">
        <f>IFERROR(__xludf.DUMMYFUNCTION("""COMPUTED_VALUE"""),71.0)</f>
        <v>71</v>
      </c>
      <c r="H29" s="1">
        <f>IFERROR(__xludf.DUMMYFUNCTION("""COMPUTED_VALUE"""),91.0)</f>
        <v>91</v>
      </c>
      <c r="I29" s="1">
        <f>IFERROR(__xludf.DUMMYFUNCTION("""COMPUTED_VALUE"""),58.0)</f>
        <v>58</v>
      </c>
      <c r="J29" s="1">
        <f>IFERROR(__xludf.DUMMYFUNCTION("""COMPUTED_VALUE"""),91.0)</f>
        <v>91</v>
      </c>
      <c r="K29" s="1">
        <f>IFERROR(__xludf.DUMMYFUNCTION("""COMPUTED_VALUE"""),40.0)</f>
        <v>40</v>
      </c>
      <c r="L29" s="1">
        <f>IFERROR(__xludf.DUMMYFUNCTION("""COMPUTED_VALUE"""),351.0)</f>
        <v>351</v>
      </c>
      <c r="M29" s="1">
        <f>IFERROR(__xludf.DUMMYFUNCTION("""COMPUTED_VALUE"""),70.2)</f>
        <v>70.2</v>
      </c>
      <c r="N29" s="1">
        <f>IFERROR(__xludf.DUMMYFUNCTION("""COMPUTED_VALUE"""),89.0)</f>
        <v>89</v>
      </c>
      <c r="O29" s="1" t="str">
        <f>IFERROR(__xludf.DUMMYFUNCTION("""COMPUTED_VALUE"""),"Pass")</f>
        <v>Pass</v>
      </c>
    </row>
    <row r="30" ht="15.75" customHeight="1">
      <c r="A30" s="1" t="str">
        <f>IFERROR(__xludf.DUMMYFUNCTION("""COMPUTED_VALUE"""),"STD-1133")</f>
        <v>STD-1133</v>
      </c>
      <c r="B30" s="1" t="str">
        <f>IFERROR(__xludf.DUMMYFUNCTION("""COMPUTED_VALUE"""),"Ananya Yadav")</f>
        <v>Ananya Yadav</v>
      </c>
      <c r="C30" s="1" t="str">
        <f>IFERROR(__xludf.DUMMYFUNCTION("""COMPUTED_VALUE"""),"Female")</f>
        <v>Female</v>
      </c>
      <c r="D30" s="1" t="str">
        <f>IFERROR(__xludf.DUMMYFUNCTION("""COMPUTED_VALUE"""),"10")</f>
        <v>10</v>
      </c>
      <c r="E30" s="1" t="str">
        <f>IFERROR(__xludf.DUMMYFUNCTION("""COMPUTED_VALUE"""),"B")</f>
        <v>B</v>
      </c>
      <c r="F30" s="1" t="str">
        <f>IFERROR(__xludf.DUMMYFUNCTION("""COMPUTED_VALUE"""),"Kolkata")</f>
        <v>Kolkata</v>
      </c>
      <c r="G30" s="1">
        <f>IFERROR(__xludf.DUMMYFUNCTION("""COMPUTED_VALUE"""),85.0)</f>
        <v>85</v>
      </c>
      <c r="H30" s="1">
        <f>IFERROR(__xludf.DUMMYFUNCTION("""COMPUTED_VALUE"""),83.0)</f>
        <v>83</v>
      </c>
      <c r="I30" s="1">
        <f>IFERROR(__xludf.DUMMYFUNCTION("""COMPUTED_VALUE"""),67.0)</f>
        <v>67</v>
      </c>
      <c r="J30" s="1">
        <f>IFERROR(__xludf.DUMMYFUNCTION("""COMPUTED_VALUE"""),87.0)</f>
        <v>87</v>
      </c>
      <c r="K30" s="1">
        <f>IFERROR(__xludf.DUMMYFUNCTION("""COMPUTED_VALUE"""),71.0)</f>
        <v>71</v>
      </c>
      <c r="L30" s="1">
        <f>IFERROR(__xludf.DUMMYFUNCTION("""COMPUTED_VALUE"""),393.0)</f>
        <v>393</v>
      </c>
      <c r="M30" s="1">
        <f>IFERROR(__xludf.DUMMYFUNCTION("""COMPUTED_VALUE"""),78.6)</f>
        <v>78.6</v>
      </c>
      <c r="N30" s="1">
        <f>IFERROR(__xludf.DUMMYFUNCTION("""COMPUTED_VALUE"""),66.0)</f>
        <v>66</v>
      </c>
      <c r="O30" s="1" t="str">
        <f>IFERROR(__xludf.DUMMYFUNCTION("""COMPUTED_VALUE"""),"Pass")</f>
        <v>Pass</v>
      </c>
    </row>
    <row r="31" ht="15.75" customHeight="1">
      <c r="A31" s="1" t="str">
        <f>IFERROR(__xludf.DUMMYFUNCTION("""COMPUTED_VALUE"""),"STD-1135")</f>
        <v>STD-1135</v>
      </c>
      <c r="B31" s="1" t="str">
        <f>IFERROR(__xludf.DUMMYFUNCTION("""COMPUTED_VALUE"""),"Aditya Choudhary")</f>
        <v>Aditya Choudhary</v>
      </c>
      <c r="C31" s="1" t="str">
        <f>IFERROR(__xludf.DUMMYFUNCTION("""COMPUTED_VALUE"""),"Female")</f>
        <v>Female</v>
      </c>
      <c r="D31" s="1" t="str">
        <f>IFERROR(__xludf.DUMMYFUNCTION("""COMPUTED_VALUE"""),"10")</f>
        <v>10</v>
      </c>
      <c r="E31" s="1" t="str">
        <f>IFERROR(__xludf.DUMMYFUNCTION("""COMPUTED_VALUE"""),"B")</f>
        <v>B</v>
      </c>
      <c r="F31" s="1" t="str">
        <f>IFERROR(__xludf.DUMMYFUNCTION("""COMPUTED_VALUE"""),"Jaipur")</f>
        <v>Jaipur</v>
      </c>
      <c r="G31" s="1">
        <f>IFERROR(__xludf.DUMMYFUNCTION("""COMPUTED_VALUE"""),49.0)</f>
        <v>49</v>
      </c>
      <c r="H31" s="1">
        <f>IFERROR(__xludf.DUMMYFUNCTION("""COMPUTED_VALUE"""),97.0)</f>
        <v>97</v>
      </c>
      <c r="I31" s="1">
        <f>IFERROR(__xludf.DUMMYFUNCTION("""COMPUTED_VALUE"""),63.0)</f>
        <v>63</v>
      </c>
      <c r="J31" s="1">
        <f>IFERROR(__xludf.DUMMYFUNCTION("""COMPUTED_VALUE"""),55.0)</f>
        <v>55</v>
      </c>
      <c r="K31" s="1">
        <f>IFERROR(__xludf.DUMMYFUNCTION("""COMPUTED_VALUE"""),92.0)</f>
        <v>92</v>
      </c>
      <c r="L31" s="1">
        <f>IFERROR(__xludf.DUMMYFUNCTION("""COMPUTED_VALUE"""),356.0)</f>
        <v>356</v>
      </c>
      <c r="M31" s="1">
        <f>IFERROR(__xludf.DUMMYFUNCTION("""COMPUTED_VALUE"""),71.2)</f>
        <v>71.2</v>
      </c>
      <c r="N31" s="1">
        <f>IFERROR(__xludf.DUMMYFUNCTION("""COMPUTED_VALUE"""),61.0)</f>
        <v>61</v>
      </c>
      <c r="O31" s="1" t="str">
        <f>IFERROR(__xludf.DUMMYFUNCTION("""COMPUTED_VALUE"""),"Pass")</f>
        <v>Pass</v>
      </c>
    </row>
    <row r="32" ht="15.75" customHeight="1">
      <c r="A32" s="1" t="str">
        <f>IFERROR(__xludf.DUMMYFUNCTION("""COMPUTED_VALUE"""),"STD-1138")</f>
        <v>STD-1138</v>
      </c>
      <c r="B32" s="1" t="str">
        <f>IFERROR(__xludf.DUMMYFUNCTION("""COMPUTED_VALUE"""),"Vivaan Iyer")</f>
        <v>Vivaan Iyer</v>
      </c>
      <c r="C32" s="1" t="str">
        <f>IFERROR(__xludf.DUMMYFUNCTION("""COMPUTED_VALUE"""),"Male")</f>
        <v>Male</v>
      </c>
      <c r="D32" s="1" t="str">
        <f>IFERROR(__xludf.DUMMYFUNCTION("""COMPUTED_VALUE"""),"10")</f>
        <v>10</v>
      </c>
      <c r="E32" s="1" t="str">
        <f>IFERROR(__xludf.DUMMYFUNCTION("""COMPUTED_VALUE"""),"A")</f>
        <v>A</v>
      </c>
      <c r="F32" s="1" t="str">
        <f>IFERROR(__xludf.DUMMYFUNCTION("""COMPUTED_VALUE"""),"Mumbai")</f>
        <v>Mumbai</v>
      </c>
      <c r="G32" s="1">
        <f>IFERROR(__xludf.DUMMYFUNCTION("""COMPUTED_VALUE"""),46.0)</f>
        <v>46</v>
      </c>
      <c r="H32" s="1">
        <f>IFERROR(__xludf.DUMMYFUNCTION("""COMPUTED_VALUE"""),94.0)</f>
        <v>94</v>
      </c>
      <c r="I32" s="1">
        <f>IFERROR(__xludf.DUMMYFUNCTION("""COMPUTED_VALUE"""),100.0)</f>
        <v>100</v>
      </c>
      <c r="J32" s="1">
        <f>IFERROR(__xludf.DUMMYFUNCTION("""COMPUTED_VALUE"""),97.0)</f>
        <v>97</v>
      </c>
      <c r="K32" s="1">
        <f>IFERROR(__xludf.DUMMYFUNCTION("""COMPUTED_VALUE"""),47.0)</f>
        <v>47</v>
      </c>
      <c r="L32" s="1">
        <f>IFERROR(__xludf.DUMMYFUNCTION("""COMPUTED_VALUE"""),384.0)</f>
        <v>384</v>
      </c>
      <c r="M32" s="1">
        <f>IFERROR(__xludf.DUMMYFUNCTION("""COMPUTED_VALUE"""),76.8)</f>
        <v>76.8</v>
      </c>
      <c r="N32" s="1">
        <f>IFERROR(__xludf.DUMMYFUNCTION("""COMPUTED_VALUE"""),62.0)</f>
        <v>62</v>
      </c>
      <c r="O32" s="1" t="str">
        <f>IFERROR(__xludf.DUMMYFUNCTION("""COMPUTED_VALUE"""),"Pass")</f>
        <v>Pass</v>
      </c>
    </row>
    <row r="33" ht="15.75" customHeight="1">
      <c r="A33" s="1" t="str">
        <f>IFERROR(__xludf.DUMMYFUNCTION("""COMPUTED_VALUE"""),"STD-1141")</f>
        <v>STD-1141</v>
      </c>
      <c r="B33" s="1" t="str">
        <f>IFERROR(__xludf.DUMMYFUNCTION("""COMPUTED_VALUE"""),"Aarav Yadav")</f>
        <v>Aarav Yadav</v>
      </c>
      <c r="C33" s="1" t="str">
        <f>IFERROR(__xludf.DUMMYFUNCTION("""COMPUTED_VALUE"""),"Male")</f>
        <v>Male</v>
      </c>
      <c r="D33" s="1" t="str">
        <f>IFERROR(__xludf.DUMMYFUNCTION("""COMPUTED_VALUE"""),"10")</f>
        <v>10</v>
      </c>
      <c r="E33" s="1" t="str">
        <f>IFERROR(__xludf.DUMMYFUNCTION("""COMPUTED_VALUE"""),"B")</f>
        <v>B</v>
      </c>
      <c r="F33" s="1" t="str">
        <f>IFERROR(__xludf.DUMMYFUNCTION("""COMPUTED_VALUE"""),"Chandigarh")</f>
        <v>Chandigarh</v>
      </c>
      <c r="G33" s="1">
        <f>IFERROR(__xludf.DUMMYFUNCTION("""COMPUTED_VALUE"""),43.0)</f>
        <v>43</v>
      </c>
      <c r="H33" s="1">
        <f>IFERROR(__xludf.DUMMYFUNCTION("""COMPUTED_VALUE"""),76.0)</f>
        <v>76</v>
      </c>
      <c r="I33" s="1">
        <f>IFERROR(__xludf.DUMMYFUNCTION("""COMPUTED_VALUE"""),78.0)</f>
        <v>78</v>
      </c>
      <c r="J33" s="1">
        <f>IFERROR(__xludf.DUMMYFUNCTION("""COMPUTED_VALUE"""),42.0)</f>
        <v>42</v>
      </c>
      <c r="K33" s="1">
        <f>IFERROR(__xludf.DUMMYFUNCTION("""COMPUTED_VALUE"""),85.0)</f>
        <v>85</v>
      </c>
      <c r="L33" s="1">
        <f>IFERROR(__xludf.DUMMYFUNCTION("""COMPUTED_VALUE"""),324.0)</f>
        <v>324</v>
      </c>
      <c r="M33" s="1">
        <f>IFERROR(__xludf.DUMMYFUNCTION("""COMPUTED_VALUE"""),64.8)</f>
        <v>64.8</v>
      </c>
      <c r="N33" s="1">
        <f>IFERROR(__xludf.DUMMYFUNCTION("""COMPUTED_VALUE"""),60.0)</f>
        <v>60</v>
      </c>
      <c r="O33" s="1" t="str">
        <f>IFERROR(__xludf.DUMMYFUNCTION("""COMPUTED_VALUE"""),"Pass")</f>
        <v>Pass</v>
      </c>
    </row>
    <row r="34" ht="15.75" customHeight="1">
      <c r="A34" s="1" t="str">
        <f>IFERROR(__xludf.DUMMYFUNCTION("""COMPUTED_VALUE"""),"STD-1147")</f>
        <v>STD-1147</v>
      </c>
      <c r="B34" s="1" t="str">
        <f>IFERROR(__xludf.DUMMYFUNCTION("""COMPUTED_VALUE"""),"Priya Das")</f>
        <v>Priya Das</v>
      </c>
      <c r="C34" s="1" t="str">
        <f>IFERROR(__xludf.DUMMYFUNCTION("""COMPUTED_VALUE"""),"Female")</f>
        <v>Female</v>
      </c>
      <c r="D34" s="1" t="str">
        <f>IFERROR(__xludf.DUMMYFUNCTION("""COMPUTED_VALUE"""),"10")</f>
        <v>10</v>
      </c>
      <c r="E34" s="1" t="str">
        <f>IFERROR(__xludf.DUMMYFUNCTION("""COMPUTED_VALUE"""),"B")</f>
        <v>B</v>
      </c>
      <c r="F34" s="1" t="str">
        <f>IFERROR(__xludf.DUMMYFUNCTION("""COMPUTED_VALUE"""),"Patna")</f>
        <v>Patna</v>
      </c>
      <c r="G34" s="1">
        <f>IFERROR(__xludf.DUMMYFUNCTION("""COMPUTED_VALUE"""),62.0)</f>
        <v>62</v>
      </c>
      <c r="H34" s="1">
        <f>IFERROR(__xludf.DUMMYFUNCTION("""COMPUTED_VALUE"""),64.0)</f>
        <v>64</v>
      </c>
      <c r="I34" s="1">
        <f>IFERROR(__xludf.DUMMYFUNCTION("""COMPUTED_VALUE"""),83.0)</f>
        <v>83</v>
      </c>
      <c r="J34" s="1">
        <f>IFERROR(__xludf.DUMMYFUNCTION("""COMPUTED_VALUE"""),75.0)</f>
        <v>75</v>
      </c>
      <c r="K34" s="1">
        <f>IFERROR(__xludf.DUMMYFUNCTION("""COMPUTED_VALUE"""),57.0)</f>
        <v>57</v>
      </c>
      <c r="L34" s="1">
        <f>IFERROR(__xludf.DUMMYFUNCTION("""COMPUTED_VALUE"""),341.0)</f>
        <v>341</v>
      </c>
      <c r="M34" s="1">
        <f>IFERROR(__xludf.DUMMYFUNCTION("""COMPUTED_VALUE"""),68.2)</f>
        <v>68.2</v>
      </c>
      <c r="N34" s="1">
        <f>IFERROR(__xludf.DUMMYFUNCTION("""COMPUTED_VALUE"""),97.0)</f>
        <v>97</v>
      </c>
      <c r="O34" s="1" t="str">
        <f>IFERROR(__xludf.DUMMYFUNCTION("""COMPUTED_VALUE"""),"Pass")</f>
        <v>Pass</v>
      </c>
    </row>
    <row r="35" ht="15.75" customHeight="1">
      <c r="A35" s="1" t="str">
        <f>IFERROR(__xludf.DUMMYFUNCTION("""COMPUTED_VALUE"""),"STD-1155")</f>
        <v>STD-1155</v>
      </c>
      <c r="B35" s="1" t="str">
        <f>IFERROR(__xludf.DUMMYFUNCTION("""COMPUTED_VALUE"""),"Tanvi Verma")</f>
        <v>Tanvi Verma</v>
      </c>
      <c r="C35" s="1" t="str">
        <f>IFERROR(__xludf.DUMMYFUNCTION("""COMPUTED_VALUE"""),"Female")</f>
        <v>Female</v>
      </c>
      <c r="D35" s="1" t="str">
        <f>IFERROR(__xludf.DUMMYFUNCTION("""COMPUTED_VALUE"""),"10")</f>
        <v>10</v>
      </c>
      <c r="E35" s="1" t="str">
        <f>IFERROR(__xludf.DUMMYFUNCTION("""COMPUTED_VALUE"""),"C")</f>
        <v>C</v>
      </c>
      <c r="F35" s="1" t="str">
        <f>IFERROR(__xludf.DUMMYFUNCTION("""COMPUTED_VALUE"""),"Lucknow")</f>
        <v>Lucknow</v>
      </c>
      <c r="G35" s="1">
        <f>IFERROR(__xludf.DUMMYFUNCTION("""COMPUTED_VALUE"""),76.0)</f>
        <v>76</v>
      </c>
      <c r="H35" s="1">
        <f>IFERROR(__xludf.DUMMYFUNCTION("""COMPUTED_VALUE"""),57.0)</f>
        <v>57</v>
      </c>
      <c r="I35" s="1">
        <f>IFERROR(__xludf.DUMMYFUNCTION("""COMPUTED_VALUE"""),85.0)</f>
        <v>85</v>
      </c>
      <c r="J35" s="1">
        <f>IFERROR(__xludf.DUMMYFUNCTION("""COMPUTED_VALUE"""),46.0)</f>
        <v>46</v>
      </c>
      <c r="K35" s="1">
        <f>IFERROR(__xludf.DUMMYFUNCTION("""COMPUTED_VALUE"""),84.0)</f>
        <v>84</v>
      </c>
      <c r="L35" s="1">
        <f>IFERROR(__xludf.DUMMYFUNCTION("""COMPUTED_VALUE"""),348.0)</f>
        <v>348</v>
      </c>
      <c r="M35" s="1">
        <f>IFERROR(__xludf.DUMMYFUNCTION("""COMPUTED_VALUE"""),69.6)</f>
        <v>69.6</v>
      </c>
      <c r="N35" s="1">
        <f>IFERROR(__xludf.DUMMYFUNCTION("""COMPUTED_VALUE"""),60.0)</f>
        <v>60</v>
      </c>
      <c r="O35" s="1" t="str">
        <f>IFERROR(__xludf.DUMMYFUNCTION("""COMPUTED_VALUE"""),"Pass")</f>
        <v>Pass</v>
      </c>
    </row>
    <row r="36" ht="15.75" customHeight="1">
      <c r="A36" s="1" t="str">
        <f>IFERROR(__xludf.DUMMYFUNCTION("""COMPUTED_VALUE"""),"STD-1162")</f>
        <v>STD-1162</v>
      </c>
      <c r="B36" s="1" t="str">
        <f>IFERROR(__xludf.DUMMYFUNCTION("""COMPUTED_VALUE"""),"Kavya Verma")</f>
        <v>Kavya Verma</v>
      </c>
      <c r="C36" s="1" t="str">
        <f>IFERROR(__xludf.DUMMYFUNCTION("""COMPUTED_VALUE"""),"Male")</f>
        <v>Male</v>
      </c>
      <c r="D36" s="1" t="str">
        <f>IFERROR(__xludf.DUMMYFUNCTION("""COMPUTED_VALUE"""),"10")</f>
        <v>10</v>
      </c>
      <c r="E36" s="1" t="str">
        <f>IFERROR(__xludf.DUMMYFUNCTION("""COMPUTED_VALUE"""),"C")</f>
        <v>C</v>
      </c>
      <c r="F36" s="1" t="str">
        <f>IFERROR(__xludf.DUMMYFUNCTION("""COMPUTED_VALUE"""),"Patna")</f>
        <v>Patna</v>
      </c>
      <c r="G36" s="1">
        <f>IFERROR(__xludf.DUMMYFUNCTION("""COMPUTED_VALUE"""),54.0)</f>
        <v>54</v>
      </c>
      <c r="H36" s="1">
        <f>IFERROR(__xludf.DUMMYFUNCTION("""COMPUTED_VALUE"""),52.0)</f>
        <v>52</v>
      </c>
      <c r="I36" s="1">
        <f>IFERROR(__xludf.DUMMYFUNCTION("""COMPUTED_VALUE"""),70.0)</f>
        <v>70</v>
      </c>
      <c r="J36" s="1">
        <f>IFERROR(__xludf.DUMMYFUNCTION("""COMPUTED_VALUE"""),72.0)</f>
        <v>72</v>
      </c>
      <c r="K36" s="1">
        <f>IFERROR(__xludf.DUMMYFUNCTION("""COMPUTED_VALUE"""),92.0)</f>
        <v>92</v>
      </c>
      <c r="L36" s="1">
        <f>IFERROR(__xludf.DUMMYFUNCTION("""COMPUTED_VALUE"""),340.0)</f>
        <v>340</v>
      </c>
      <c r="M36" s="1">
        <f>IFERROR(__xludf.DUMMYFUNCTION("""COMPUTED_VALUE"""),68.0)</f>
        <v>68</v>
      </c>
      <c r="N36" s="1">
        <f>IFERROR(__xludf.DUMMYFUNCTION("""COMPUTED_VALUE"""),73.0)</f>
        <v>73</v>
      </c>
      <c r="O36" s="1" t="str">
        <f>IFERROR(__xludf.DUMMYFUNCTION("""COMPUTED_VALUE"""),"Pass")</f>
        <v>Pass</v>
      </c>
    </row>
    <row r="37" ht="15.75" customHeight="1">
      <c r="A37" s="1" t="str">
        <f>IFERROR(__xludf.DUMMYFUNCTION("""COMPUTED_VALUE"""),"STD-1166")</f>
        <v>STD-1166</v>
      </c>
      <c r="B37" s="1" t="str">
        <f>IFERROR(__xludf.DUMMYFUNCTION("""COMPUTED_VALUE"""),"Priya Iyer")</f>
        <v>Priya Iyer</v>
      </c>
      <c r="C37" s="1" t="str">
        <f>IFERROR(__xludf.DUMMYFUNCTION("""COMPUTED_VALUE"""),"Male")</f>
        <v>Male</v>
      </c>
      <c r="D37" s="1" t="str">
        <f>IFERROR(__xludf.DUMMYFUNCTION("""COMPUTED_VALUE"""),"10")</f>
        <v>10</v>
      </c>
      <c r="E37" s="1" t="str">
        <f>IFERROR(__xludf.DUMMYFUNCTION("""COMPUTED_VALUE"""),"B")</f>
        <v>B</v>
      </c>
      <c r="F37" s="1" t="str">
        <f>IFERROR(__xludf.DUMMYFUNCTION("""COMPUTED_VALUE"""),"Patna")</f>
        <v>Patna</v>
      </c>
      <c r="G37" s="1">
        <f>IFERROR(__xludf.DUMMYFUNCTION("""COMPUTED_VALUE"""),41.0)</f>
        <v>41</v>
      </c>
      <c r="H37" s="1">
        <f>IFERROR(__xludf.DUMMYFUNCTION("""COMPUTED_VALUE"""),91.0)</f>
        <v>91</v>
      </c>
      <c r="I37" s="1">
        <f>IFERROR(__xludf.DUMMYFUNCTION("""COMPUTED_VALUE"""),89.0)</f>
        <v>89</v>
      </c>
      <c r="J37" s="1">
        <f>IFERROR(__xludf.DUMMYFUNCTION("""COMPUTED_VALUE"""),80.0)</f>
        <v>80</v>
      </c>
      <c r="K37" s="1">
        <f>IFERROR(__xludf.DUMMYFUNCTION("""COMPUTED_VALUE"""),57.0)</f>
        <v>57</v>
      </c>
      <c r="L37" s="1">
        <f>IFERROR(__xludf.DUMMYFUNCTION("""COMPUTED_VALUE"""),358.0)</f>
        <v>358</v>
      </c>
      <c r="M37" s="1">
        <f>IFERROR(__xludf.DUMMYFUNCTION("""COMPUTED_VALUE"""),71.6)</f>
        <v>71.6</v>
      </c>
      <c r="N37" s="1">
        <f>IFERROR(__xludf.DUMMYFUNCTION("""COMPUTED_VALUE"""),64.0)</f>
        <v>64</v>
      </c>
      <c r="O37" s="1" t="str">
        <f>IFERROR(__xludf.DUMMYFUNCTION("""COMPUTED_VALUE"""),"Pass")</f>
        <v>Pass</v>
      </c>
    </row>
    <row r="38" ht="15.75" customHeight="1">
      <c r="A38" s="1" t="str">
        <f>IFERROR(__xludf.DUMMYFUNCTION("""COMPUTED_VALUE"""),"STD-1168")</f>
        <v>STD-1168</v>
      </c>
      <c r="B38" s="1" t="str">
        <f>IFERROR(__xludf.DUMMYFUNCTION("""COMPUTED_VALUE"""),"Aditya Kulkarni")</f>
        <v>Aditya Kulkarni</v>
      </c>
      <c r="C38" s="1" t="str">
        <f>IFERROR(__xludf.DUMMYFUNCTION("""COMPUTED_VALUE"""),"Female")</f>
        <v>Female</v>
      </c>
      <c r="D38" s="1" t="str">
        <f>IFERROR(__xludf.DUMMYFUNCTION("""COMPUTED_VALUE"""),"10")</f>
        <v>10</v>
      </c>
      <c r="E38" s="1" t="str">
        <f>IFERROR(__xludf.DUMMYFUNCTION("""COMPUTED_VALUE"""),"B")</f>
        <v>B</v>
      </c>
      <c r="F38" s="1" t="str">
        <f>IFERROR(__xludf.DUMMYFUNCTION("""COMPUTED_VALUE"""),"Kolkata")</f>
        <v>Kolkata</v>
      </c>
      <c r="G38" s="1">
        <f>IFERROR(__xludf.DUMMYFUNCTION("""COMPUTED_VALUE"""),83.0)</f>
        <v>83</v>
      </c>
      <c r="H38" s="1">
        <f>IFERROR(__xludf.DUMMYFUNCTION("""COMPUTED_VALUE"""),51.0)</f>
        <v>51</v>
      </c>
      <c r="I38" s="1">
        <f>IFERROR(__xludf.DUMMYFUNCTION("""COMPUTED_VALUE"""),71.0)</f>
        <v>71</v>
      </c>
      <c r="J38" s="1">
        <f>IFERROR(__xludf.DUMMYFUNCTION("""COMPUTED_VALUE"""),61.0)</f>
        <v>61</v>
      </c>
      <c r="K38" s="1">
        <f>IFERROR(__xludf.DUMMYFUNCTION("""COMPUTED_VALUE"""),68.0)</f>
        <v>68</v>
      </c>
      <c r="L38" s="1">
        <f>IFERROR(__xludf.DUMMYFUNCTION("""COMPUTED_VALUE"""),334.0)</f>
        <v>334</v>
      </c>
      <c r="M38" s="1">
        <f>IFERROR(__xludf.DUMMYFUNCTION("""COMPUTED_VALUE"""),66.8)</f>
        <v>66.8</v>
      </c>
      <c r="N38" s="1">
        <f>IFERROR(__xludf.DUMMYFUNCTION("""COMPUTED_VALUE"""),92.0)</f>
        <v>92</v>
      </c>
      <c r="O38" s="1" t="str">
        <f>IFERROR(__xludf.DUMMYFUNCTION("""COMPUTED_VALUE"""),"Pass")</f>
        <v>Pass</v>
      </c>
    </row>
    <row r="39" ht="15.75" customHeight="1">
      <c r="A39" s="1" t="str">
        <f>IFERROR(__xludf.DUMMYFUNCTION("""COMPUTED_VALUE"""),"STD-1170")</f>
        <v>STD-1170</v>
      </c>
      <c r="B39" s="1" t="str">
        <f>IFERROR(__xludf.DUMMYFUNCTION("""COMPUTED_VALUE"""),"Karan Nair")</f>
        <v>Karan Nair</v>
      </c>
      <c r="C39" s="1" t="str">
        <f>IFERROR(__xludf.DUMMYFUNCTION("""COMPUTED_VALUE"""),"Male")</f>
        <v>Male</v>
      </c>
      <c r="D39" s="1" t="str">
        <f>IFERROR(__xludf.DUMMYFUNCTION("""COMPUTED_VALUE"""),"10")</f>
        <v>10</v>
      </c>
      <c r="E39" s="1" t="str">
        <f>IFERROR(__xludf.DUMMYFUNCTION("""COMPUTED_VALUE"""),"B")</f>
        <v>B</v>
      </c>
      <c r="F39" s="1" t="str">
        <f>IFERROR(__xludf.DUMMYFUNCTION("""COMPUTED_VALUE"""),"Lucknow")</f>
        <v>Lucknow</v>
      </c>
      <c r="G39" s="1">
        <f>IFERROR(__xludf.DUMMYFUNCTION("""COMPUTED_VALUE"""),86.0)</f>
        <v>86</v>
      </c>
      <c r="H39" s="1">
        <f>IFERROR(__xludf.DUMMYFUNCTION("""COMPUTED_VALUE"""),78.0)</f>
        <v>78</v>
      </c>
      <c r="I39" s="1">
        <f>IFERROR(__xludf.DUMMYFUNCTION("""COMPUTED_VALUE"""),48.0)</f>
        <v>48</v>
      </c>
      <c r="J39" s="1">
        <f>IFERROR(__xludf.DUMMYFUNCTION("""COMPUTED_VALUE"""),53.0)</f>
        <v>53</v>
      </c>
      <c r="K39" s="1">
        <f>IFERROR(__xludf.DUMMYFUNCTION("""COMPUTED_VALUE"""),80.0)</f>
        <v>80</v>
      </c>
      <c r="L39" s="1">
        <f>IFERROR(__xludf.DUMMYFUNCTION("""COMPUTED_VALUE"""),345.0)</f>
        <v>345</v>
      </c>
      <c r="M39" s="1">
        <f>IFERROR(__xludf.DUMMYFUNCTION("""COMPUTED_VALUE"""),69.0)</f>
        <v>69</v>
      </c>
      <c r="N39" s="1">
        <f>IFERROR(__xludf.DUMMYFUNCTION("""COMPUTED_VALUE"""),92.0)</f>
        <v>92</v>
      </c>
      <c r="O39" s="1" t="str">
        <f>IFERROR(__xludf.DUMMYFUNCTION("""COMPUTED_VALUE"""),"Pass")</f>
        <v>Pass</v>
      </c>
    </row>
    <row r="40" ht="15.75" customHeight="1">
      <c r="A40" s="1" t="str">
        <f>IFERROR(__xludf.DUMMYFUNCTION("""COMPUTED_VALUE"""),"STD-1171")</f>
        <v>STD-1171</v>
      </c>
      <c r="B40" s="1" t="str">
        <f>IFERROR(__xludf.DUMMYFUNCTION("""COMPUTED_VALUE"""),"Vivaan Das")</f>
        <v>Vivaan Das</v>
      </c>
      <c r="C40" s="1" t="str">
        <f>IFERROR(__xludf.DUMMYFUNCTION("""COMPUTED_VALUE"""),"Female")</f>
        <v>Female</v>
      </c>
      <c r="D40" s="1" t="str">
        <f>IFERROR(__xludf.DUMMYFUNCTION("""COMPUTED_VALUE"""),"10")</f>
        <v>10</v>
      </c>
      <c r="E40" s="1" t="str">
        <f>IFERROR(__xludf.DUMMYFUNCTION("""COMPUTED_VALUE"""),"B")</f>
        <v>B</v>
      </c>
      <c r="F40" s="1" t="str">
        <f>IFERROR(__xludf.DUMMYFUNCTION("""COMPUTED_VALUE"""),"Patna")</f>
        <v>Patna</v>
      </c>
      <c r="G40" s="1">
        <f>IFERROR(__xludf.DUMMYFUNCTION("""COMPUTED_VALUE"""),56.0)</f>
        <v>56</v>
      </c>
      <c r="H40" s="1">
        <f>IFERROR(__xludf.DUMMYFUNCTION("""COMPUTED_VALUE"""),86.0)</f>
        <v>86</v>
      </c>
      <c r="I40" s="1">
        <f>IFERROR(__xludf.DUMMYFUNCTION("""COMPUTED_VALUE"""),51.0)</f>
        <v>51</v>
      </c>
      <c r="J40" s="1">
        <f>IFERROR(__xludf.DUMMYFUNCTION("""COMPUTED_VALUE"""),64.0)</f>
        <v>64</v>
      </c>
      <c r="K40" s="1">
        <f>IFERROR(__xludf.DUMMYFUNCTION("""COMPUTED_VALUE"""),92.0)</f>
        <v>92</v>
      </c>
      <c r="L40" s="1">
        <f>IFERROR(__xludf.DUMMYFUNCTION("""COMPUTED_VALUE"""),349.0)</f>
        <v>349</v>
      </c>
      <c r="M40" s="1">
        <f>IFERROR(__xludf.DUMMYFUNCTION("""COMPUTED_VALUE"""),69.8)</f>
        <v>69.8</v>
      </c>
      <c r="N40" s="1">
        <f>IFERROR(__xludf.DUMMYFUNCTION("""COMPUTED_VALUE"""),82.0)</f>
        <v>82</v>
      </c>
      <c r="O40" s="1" t="str">
        <f>IFERROR(__xludf.DUMMYFUNCTION("""COMPUTED_VALUE"""),"Pass")</f>
        <v>Pass</v>
      </c>
    </row>
    <row r="41" ht="15.75" customHeight="1">
      <c r="A41" s="1" t="str">
        <f>IFERROR(__xludf.DUMMYFUNCTION("""COMPUTED_VALUE"""),"STD-1173")</f>
        <v>STD-1173</v>
      </c>
      <c r="B41" s="1" t="str">
        <f>IFERROR(__xludf.DUMMYFUNCTION("""COMPUTED_VALUE"""),"Aditya Sharma")</f>
        <v>Aditya Sharma</v>
      </c>
      <c r="C41" s="1" t="str">
        <f>IFERROR(__xludf.DUMMYFUNCTION("""COMPUTED_VALUE"""),"Male")</f>
        <v>Male</v>
      </c>
      <c r="D41" s="1" t="str">
        <f>IFERROR(__xludf.DUMMYFUNCTION("""COMPUTED_VALUE"""),"10")</f>
        <v>10</v>
      </c>
      <c r="E41" s="1" t="str">
        <f>IFERROR(__xludf.DUMMYFUNCTION("""COMPUTED_VALUE"""),"A")</f>
        <v>A</v>
      </c>
      <c r="F41" s="1" t="str">
        <f>IFERROR(__xludf.DUMMYFUNCTION("""COMPUTED_VALUE"""),"Chandigarh")</f>
        <v>Chandigarh</v>
      </c>
      <c r="G41" s="1">
        <f>IFERROR(__xludf.DUMMYFUNCTION("""COMPUTED_VALUE"""),67.0)</f>
        <v>67</v>
      </c>
      <c r="H41" s="1">
        <f>IFERROR(__xludf.DUMMYFUNCTION("""COMPUTED_VALUE"""),51.0)</f>
        <v>51</v>
      </c>
      <c r="I41" s="1">
        <f>IFERROR(__xludf.DUMMYFUNCTION("""COMPUTED_VALUE"""),77.0)</f>
        <v>77</v>
      </c>
      <c r="J41" s="1">
        <f>IFERROR(__xludf.DUMMYFUNCTION("""COMPUTED_VALUE"""),75.0)</f>
        <v>75</v>
      </c>
      <c r="K41" s="1">
        <f>IFERROR(__xludf.DUMMYFUNCTION("""COMPUTED_VALUE"""),51.0)</f>
        <v>51</v>
      </c>
      <c r="L41" s="1">
        <f>IFERROR(__xludf.DUMMYFUNCTION("""COMPUTED_VALUE"""),321.0)</f>
        <v>321</v>
      </c>
      <c r="M41" s="1">
        <f>IFERROR(__xludf.DUMMYFUNCTION("""COMPUTED_VALUE"""),64.2)</f>
        <v>64.2</v>
      </c>
      <c r="N41" s="1">
        <f>IFERROR(__xludf.DUMMYFUNCTION("""COMPUTED_VALUE"""),61.0)</f>
        <v>61</v>
      </c>
      <c r="O41" s="1" t="str">
        <f>IFERROR(__xludf.DUMMYFUNCTION("""COMPUTED_VALUE"""),"Pass")</f>
        <v>Pass</v>
      </c>
    </row>
    <row r="42" ht="15.75" customHeight="1">
      <c r="A42" s="1" t="str">
        <f>IFERROR(__xludf.DUMMYFUNCTION("""COMPUTED_VALUE"""),"STD-1175")</f>
        <v>STD-1175</v>
      </c>
      <c r="B42" s="1" t="str">
        <f>IFERROR(__xludf.DUMMYFUNCTION("""COMPUTED_VALUE"""),"Rahul Sharma")</f>
        <v>Rahul Sharma</v>
      </c>
      <c r="C42" s="1" t="str">
        <f>IFERROR(__xludf.DUMMYFUNCTION("""COMPUTED_VALUE"""),"Female")</f>
        <v>Female</v>
      </c>
      <c r="D42" s="1" t="str">
        <f>IFERROR(__xludf.DUMMYFUNCTION("""COMPUTED_VALUE"""),"10")</f>
        <v>10</v>
      </c>
      <c r="E42" s="1" t="str">
        <f>IFERROR(__xludf.DUMMYFUNCTION("""COMPUTED_VALUE"""),"C")</f>
        <v>C</v>
      </c>
      <c r="F42" s="1" t="str">
        <f>IFERROR(__xludf.DUMMYFUNCTION("""COMPUTED_VALUE"""),"Lucknow")</f>
        <v>Lucknow</v>
      </c>
      <c r="G42" s="1">
        <f>IFERROR(__xludf.DUMMYFUNCTION("""COMPUTED_VALUE"""),88.0)</f>
        <v>88</v>
      </c>
      <c r="H42" s="1">
        <f>IFERROR(__xludf.DUMMYFUNCTION("""COMPUTED_VALUE"""),77.0)</f>
        <v>77</v>
      </c>
      <c r="I42" s="1">
        <f>IFERROR(__xludf.DUMMYFUNCTION("""COMPUTED_VALUE"""),88.0)</f>
        <v>88</v>
      </c>
      <c r="J42" s="1">
        <f>IFERROR(__xludf.DUMMYFUNCTION("""COMPUTED_VALUE"""),46.0)</f>
        <v>46</v>
      </c>
      <c r="K42" s="1">
        <f>IFERROR(__xludf.DUMMYFUNCTION("""COMPUTED_VALUE"""),53.0)</f>
        <v>53</v>
      </c>
      <c r="L42" s="1">
        <f>IFERROR(__xludf.DUMMYFUNCTION("""COMPUTED_VALUE"""),352.0)</f>
        <v>352</v>
      </c>
      <c r="M42" s="1">
        <f>IFERROR(__xludf.DUMMYFUNCTION("""COMPUTED_VALUE"""),70.4)</f>
        <v>70.4</v>
      </c>
      <c r="N42" s="1">
        <f>IFERROR(__xludf.DUMMYFUNCTION("""COMPUTED_VALUE"""),68.0)</f>
        <v>68</v>
      </c>
      <c r="O42" s="1" t="str">
        <f>IFERROR(__xludf.DUMMYFUNCTION("""COMPUTED_VALUE"""),"Pass")</f>
        <v>Pass</v>
      </c>
    </row>
    <row r="43" ht="15.75" customHeight="1">
      <c r="A43" s="1" t="str">
        <f>IFERROR(__xludf.DUMMYFUNCTION("""COMPUTED_VALUE"""),"STD-1187")</f>
        <v>STD-1187</v>
      </c>
      <c r="B43" s="1" t="str">
        <f>IFERROR(__xludf.DUMMYFUNCTION("""COMPUTED_VALUE"""),"Ritika Gupta")</f>
        <v>Ritika Gupta</v>
      </c>
      <c r="C43" s="1" t="str">
        <f>IFERROR(__xludf.DUMMYFUNCTION("""COMPUTED_VALUE"""),"Male")</f>
        <v>Male</v>
      </c>
      <c r="D43" s="1" t="str">
        <f>IFERROR(__xludf.DUMMYFUNCTION("""COMPUTED_VALUE"""),"10")</f>
        <v>10</v>
      </c>
      <c r="E43" s="1" t="str">
        <f>IFERROR(__xludf.DUMMYFUNCTION("""COMPUTED_VALUE"""),"C")</f>
        <v>C</v>
      </c>
      <c r="F43" s="1" t="str">
        <f>IFERROR(__xludf.DUMMYFUNCTION("""COMPUTED_VALUE"""),"Mumbai")</f>
        <v>Mumbai</v>
      </c>
      <c r="G43" s="1">
        <f>IFERROR(__xludf.DUMMYFUNCTION("""COMPUTED_VALUE"""),44.0)</f>
        <v>44</v>
      </c>
      <c r="H43" s="1">
        <f>IFERROR(__xludf.DUMMYFUNCTION("""COMPUTED_VALUE"""),78.0)</f>
        <v>78</v>
      </c>
      <c r="I43" s="1">
        <f>IFERROR(__xludf.DUMMYFUNCTION("""COMPUTED_VALUE"""),90.0)</f>
        <v>90</v>
      </c>
      <c r="J43" s="1">
        <f>IFERROR(__xludf.DUMMYFUNCTION("""COMPUTED_VALUE"""),52.0)</f>
        <v>52</v>
      </c>
      <c r="K43" s="1">
        <f>IFERROR(__xludf.DUMMYFUNCTION("""COMPUTED_VALUE"""),90.0)</f>
        <v>90</v>
      </c>
      <c r="L43" s="1">
        <f>IFERROR(__xludf.DUMMYFUNCTION("""COMPUTED_VALUE"""),354.0)</f>
        <v>354</v>
      </c>
      <c r="M43" s="1">
        <f>IFERROR(__xludf.DUMMYFUNCTION("""COMPUTED_VALUE"""),70.8)</f>
        <v>70.8</v>
      </c>
      <c r="N43" s="1">
        <f>IFERROR(__xludf.DUMMYFUNCTION("""COMPUTED_VALUE"""),65.0)</f>
        <v>65</v>
      </c>
      <c r="O43" s="1" t="str">
        <f>IFERROR(__xludf.DUMMYFUNCTION("""COMPUTED_VALUE"""),"Pass")</f>
        <v>Pass</v>
      </c>
    </row>
    <row r="44" ht="15.75" customHeight="1">
      <c r="A44" s="1" t="str">
        <f>IFERROR(__xludf.DUMMYFUNCTION("""COMPUTED_VALUE"""),"STD-1189")</f>
        <v>STD-1189</v>
      </c>
      <c r="B44" s="1" t="str">
        <f>IFERROR(__xludf.DUMMYFUNCTION("""COMPUTED_VALUE"""),"Kavya Patel")</f>
        <v>Kavya Patel</v>
      </c>
      <c r="C44" s="1" t="str">
        <f>IFERROR(__xludf.DUMMYFUNCTION("""COMPUTED_VALUE"""),"Female")</f>
        <v>Female</v>
      </c>
      <c r="D44" s="1" t="str">
        <f>IFERROR(__xludf.DUMMYFUNCTION("""COMPUTED_VALUE"""),"10")</f>
        <v>10</v>
      </c>
      <c r="E44" s="1" t="str">
        <f>IFERROR(__xludf.DUMMYFUNCTION("""COMPUTED_VALUE"""),"A")</f>
        <v>A</v>
      </c>
      <c r="F44" s="1" t="str">
        <f>IFERROR(__xludf.DUMMYFUNCTION("""COMPUTED_VALUE"""),"Kolkata")</f>
        <v>Kolkata</v>
      </c>
      <c r="G44" s="1">
        <f>IFERROR(__xludf.DUMMYFUNCTION("""COMPUTED_VALUE"""),63.0)</f>
        <v>63</v>
      </c>
      <c r="H44" s="1">
        <f>IFERROR(__xludf.DUMMYFUNCTION("""COMPUTED_VALUE"""),94.0)</f>
        <v>94</v>
      </c>
      <c r="I44" s="1">
        <f>IFERROR(__xludf.DUMMYFUNCTION("""COMPUTED_VALUE"""),46.0)</f>
        <v>46</v>
      </c>
      <c r="J44" s="1">
        <f>IFERROR(__xludf.DUMMYFUNCTION("""COMPUTED_VALUE"""),75.0)</f>
        <v>75</v>
      </c>
      <c r="K44" s="1">
        <f>IFERROR(__xludf.DUMMYFUNCTION("""COMPUTED_VALUE"""),86.0)</f>
        <v>86</v>
      </c>
      <c r="L44" s="1">
        <f>IFERROR(__xludf.DUMMYFUNCTION("""COMPUTED_VALUE"""),364.0)</f>
        <v>364</v>
      </c>
      <c r="M44" s="1">
        <f>IFERROR(__xludf.DUMMYFUNCTION("""COMPUTED_VALUE"""),72.8)</f>
        <v>72.8</v>
      </c>
      <c r="N44" s="1">
        <f>IFERROR(__xludf.DUMMYFUNCTION("""COMPUTED_VALUE"""),65.0)</f>
        <v>65</v>
      </c>
      <c r="O44" s="1" t="str">
        <f>IFERROR(__xludf.DUMMYFUNCTION("""COMPUTED_VALUE"""),"Pass")</f>
        <v>Pass</v>
      </c>
    </row>
    <row r="45" ht="15.75" customHeight="1">
      <c r="A45" s="1" t="str">
        <f>IFERROR(__xludf.DUMMYFUNCTION("""COMPUTED_VALUE"""),"STD-1191")</f>
        <v>STD-1191</v>
      </c>
      <c r="B45" s="1" t="str">
        <f>IFERROR(__xludf.DUMMYFUNCTION("""COMPUTED_VALUE"""),"Aarav Verma")</f>
        <v>Aarav Verma</v>
      </c>
      <c r="C45" s="1" t="str">
        <f>IFERROR(__xludf.DUMMYFUNCTION("""COMPUTED_VALUE"""),"Male")</f>
        <v>Male</v>
      </c>
      <c r="D45" s="1" t="str">
        <f>IFERROR(__xludf.DUMMYFUNCTION("""COMPUTED_VALUE"""),"10")</f>
        <v>10</v>
      </c>
      <c r="E45" s="1" t="str">
        <f>IFERROR(__xludf.DUMMYFUNCTION("""COMPUTED_VALUE"""),"A")</f>
        <v>A</v>
      </c>
      <c r="F45" s="1" t="str">
        <f>IFERROR(__xludf.DUMMYFUNCTION("""COMPUTED_VALUE"""),"Bhopal")</f>
        <v>Bhopal</v>
      </c>
      <c r="G45" s="1">
        <f>IFERROR(__xludf.DUMMYFUNCTION("""COMPUTED_VALUE"""),64.0)</f>
        <v>64</v>
      </c>
      <c r="H45" s="1">
        <f>IFERROR(__xludf.DUMMYFUNCTION("""COMPUTED_VALUE"""),82.0)</f>
        <v>82</v>
      </c>
      <c r="I45" s="1">
        <f>IFERROR(__xludf.DUMMYFUNCTION("""COMPUTED_VALUE"""),70.0)</f>
        <v>70</v>
      </c>
      <c r="J45" s="1">
        <f>IFERROR(__xludf.DUMMYFUNCTION("""COMPUTED_VALUE"""),81.0)</f>
        <v>81</v>
      </c>
      <c r="K45" s="1">
        <f>IFERROR(__xludf.DUMMYFUNCTION("""COMPUTED_VALUE"""),86.0)</f>
        <v>86</v>
      </c>
      <c r="L45" s="1">
        <f>IFERROR(__xludf.DUMMYFUNCTION("""COMPUTED_VALUE"""),383.0)</f>
        <v>383</v>
      </c>
      <c r="M45" s="1">
        <f>IFERROR(__xludf.DUMMYFUNCTION("""COMPUTED_VALUE"""),76.6)</f>
        <v>76.6</v>
      </c>
      <c r="N45" s="1">
        <f>IFERROR(__xludf.DUMMYFUNCTION("""COMPUTED_VALUE"""),78.0)</f>
        <v>78</v>
      </c>
      <c r="O45" s="1" t="str">
        <f>IFERROR(__xludf.DUMMYFUNCTION("""COMPUTED_VALUE"""),"Pass")</f>
        <v>Pass</v>
      </c>
    </row>
    <row r="46" ht="15.75" customHeight="1">
      <c r="A46" s="1" t="str">
        <f>IFERROR(__xludf.DUMMYFUNCTION("""COMPUTED_VALUE"""),"STD-1199")</f>
        <v>STD-1199</v>
      </c>
      <c r="B46" s="1" t="str">
        <f>IFERROR(__xludf.DUMMYFUNCTION("""COMPUTED_VALUE"""),"Ritika Das")</f>
        <v>Ritika Das</v>
      </c>
      <c r="C46" s="1" t="str">
        <f>IFERROR(__xludf.DUMMYFUNCTION("""COMPUTED_VALUE"""),"Female")</f>
        <v>Female</v>
      </c>
      <c r="D46" s="1" t="str">
        <f>IFERROR(__xludf.DUMMYFUNCTION("""COMPUTED_VALUE"""),"10")</f>
        <v>10</v>
      </c>
      <c r="E46" s="1" t="str">
        <f>IFERROR(__xludf.DUMMYFUNCTION("""COMPUTED_VALUE"""),"A")</f>
        <v>A</v>
      </c>
      <c r="F46" s="1" t="str">
        <f>IFERROR(__xludf.DUMMYFUNCTION("""COMPUTED_VALUE"""),"Mumbai")</f>
        <v>Mumbai</v>
      </c>
      <c r="G46" s="1">
        <f>IFERROR(__xludf.DUMMYFUNCTION("""COMPUTED_VALUE"""),82.0)</f>
        <v>82</v>
      </c>
      <c r="H46" s="1">
        <f>IFERROR(__xludf.DUMMYFUNCTION("""COMPUTED_VALUE"""),89.0)</f>
        <v>89</v>
      </c>
      <c r="I46" s="1">
        <f>IFERROR(__xludf.DUMMYFUNCTION("""COMPUTED_VALUE"""),48.0)</f>
        <v>48</v>
      </c>
      <c r="J46" s="1">
        <f>IFERROR(__xludf.DUMMYFUNCTION("""COMPUTED_VALUE"""),60.0)</f>
        <v>60</v>
      </c>
      <c r="K46" s="1">
        <f>IFERROR(__xludf.DUMMYFUNCTION("""COMPUTED_VALUE"""),59.0)</f>
        <v>59</v>
      </c>
      <c r="L46" s="1">
        <f>IFERROR(__xludf.DUMMYFUNCTION("""COMPUTED_VALUE"""),338.0)</f>
        <v>338</v>
      </c>
      <c r="M46" s="1">
        <f>IFERROR(__xludf.DUMMYFUNCTION("""COMPUTED_VALUE"""),67.6)</f>
        <v>67.6</v>
      </c>
      <c r="N46" s="1">
        <f>IFERROR(__xludf.DUMMYFUNCTION("""COMPUTED_VALUE"""),60.0)</f>
        <v>60</v>
      </c>
      <c r="O46" s="1" t="str">
        <f>IFERROR(__xludf.DUMMYFUNCTION("""COMPUTED_VALUE"""),"Pass")</f>
        <v>Pass</v>
      </c>
    </row>
    <row r="47" ht="15.75" customHeight="1">
      <c r="A47" s="1" t="str">
        <f>IFERROR(__xludf.DUMMYFUNCTION("""COMPUTED_VALUE"""),"STD-1208")</f>
        <v>STD-1208</v>
      </c>
      <c r="B47" s="1" t="str">
        <f>IFERROR(__xludf.DUMMYFUNCTION("""COMPUTED_VALUE"""),"Aditya Sharma")</f>
        <v>Aditya Sharma</v>
      </c>
      <c r="C47" s="1" t="str">
        <f>IFERROR(__xludf.DUMMYFUNCTION("""COMPUTED_VALUE"""),"Female")</f>
        <v>Female</v>
      </c>
      <c r="D47" s="1" t="str">
        <f>IFERROR(__xludf.DUMMYFUNCTION("""COMPUTED_VALUE"""),"10")</f>
        <v>10</v>
      </c>
      <c r="E47" s="1" t="str">
        <f>IFERROR(__xludf.DUMMYFUNCTION("""COMPUTED_VALUE"""),"C")</f>
        <v>C</v>
      </c>
      <c r="F47" s="1" t="str">
        <f>IFERROR(__xludf.DUMMYFUNCTION("""COMPUTED_VALUE"""),"Patna")</f>
        <v>Patna</v>
      </c>
      <c r="G47" s="1">
        <f>IFERROR(__xludf.DUMMYFUNCTION("""COMPUTED_VALUE"""),77.0)</f>
        <v>77</v>
      </c>
      <c r="H47" s="1">
        <f>IFERROR(__xludf.DUMMYFUNCTION("""COMPUTED_VALUE"""),55.0)</f>
        <v>55</v>
      </c>
      <c r="I47" s="1">
        <f>IFERROR(__xludf.DUMMYFUNCTION("""COMPUTED_VALUE"""),79.0)</f>
        <v>79</v>
      </c>
      <c r="J47" s="1">
        <f>IFERROR(__xludf.DUMMYFUNCTION("""COMPUTED_VALUE"""),93.0)</f>
        <v>93</v>
      </c>
      <c r="K47" s="1">
        <f>IFERROR(__xludf.DUMMYFUNCTION("""COMPUTED_VALUE"""),68.0)</f>
        <v>68</v>
      </c>
      <c r="L47" s="1">
        <f>IFERROR(__xludf.DUMMYFUNCTION("""COMPUTED_VALUE"""),372.0)</f>
        <v>372</v>
      </c>
      <c r="M47" s="1">
        <f>IFERROR(__xludf.DUMMYFUNCTION("""COMPUTED_VALUE"""),74.4)</f>
        <v>74.4</v>
      </c>
      <c r="N47" s="1">
        <f>IFERROR(__xludf.DUMMYFUNCTION("""COMPUTED_VALUE"""),61.0)</f>
        <v>61</v>
      </c>
      <c r="O47" s="1" t="str">
        <f>IFERROR(__xludf.DUMMYFUNCTION("""COMPUTED_VALUE"""),"Pass")</f>
        <v>Pass</v>
      </c>
    </row>
    <row r="48" ht="15.75" customHeight="1">
      <c r="A48" s="1" t="str">
        <f>IFERROR(__xludf.DUMMYFUNCTION("""COMPUTED_VALUE"""),"STD-1214")</f>
        <v>STD-1214</v>
      </c>
      <c r="B48" s="1" t="str">
        <f>IFERROR(__xludf.DUMMYFUNCTION("""COMPUTED_VALUE"""),"Rohan Kulkarni")</f>
        <v>Rohan Kulkarni</v>
      </c>
      <c r="C48" s="1" t="str">
        <f>IFERROR(__xludf.DUMMYFUNCTION("""COMPUTED_VALUE"""),"Male")</f>
        <v>Male</v>
      </c>
      <c r="D48" s="1" t="str">
        <f>IFERROR(__xludf.DUMMYFUNCTION("""COMPUTED_VALUE"""),"10")</f>
        <v>10</v>
      </c>
      <c r="E48" s="1" t="str">
        <f>IFERROR(__xludf.DUMMYFUNCTION("""COMPUTED_VALUE"""),"C")</f>
        <v>C</v>
      </c>
      <c r="F48" s="1" t="str">
        <f>IFERROR(__xludf.DUMMYFUNCTION("""COMPUTED_VALUE"""),"Chandigarh")</f>
        <v>Chandigarh</v>
      </c>
      <c r="G48" s="1">
        <f>IFERROR(__xludf.DUMMYFUNCTION("""COMPUTED_VALUE"""),49.0)</f>
        <v>49</v>
      </c>
      <c r="H48" s="1">
        <f>IFERROR(__xludf.DUMMYFUNCTION("""COMPUTED_VALUE"""),45.0)</f>
        <v>45</v>
      </c>
      <c r="I48" s="1">
        <f>IFERROR(__xludf.DUMMYFUNCTION("""COMPUTED_VALUE"""),64.0)</f>
        <v>64</v>
      </c>
      <c r="J48" s="1">
        <f>IFERROR(__xludf.DUMMYFUNCTION("""COMPUTED_VALUE"""),75.0)</f>
        <v>75</v>
      </c>
      <c r="K48" s="1">
        <f>IFERROR(__xludf.DUMMYFUNCTION("""COMPUTED_VALUE"""),68.0)</f>
        <v>68</v>
      </c>
      <c r="L48" s="1">
        <f>IFERROR(__xludf.DUMMYFUNCTION("""COMPUTED_VALUE"""),301.0)</f>
        <v>301</v>
      </c>
      <c r="M48" s="1">
        <f>IFERROR(__xludf.DUMMYFUNCTION("""COMPUTED_VALUE"""),60.2)</f>
        <v>60.2</v>
      </c>
      <c r="N48" s="1">
        <f>IFERROR(__xludf.DUMMYFUNCTION("""COMPUTED_VALUE"""),88.0)</f>
        <v>88</v>
      </c>
      <c r="O48" s="1" t="str">
        <f>IFERROR(__xludf.DUMMYFUNCTION("""COMPUTED_VALUE"""),"Pass")</f>
        <v>Pass</v>
      </c>
    </row>
    <row r="49" ht="15.75" customHeight="1">
      <c r="A49" s="1" t="str">
        <f>IFERROR(__xludf.DUMMYFUNCTION("""COMPUTED_VALUE"""),"STD-1215")</f>
        <v>STD-1215</v>
      </c>
      <c r="B49" s="1" t="str">
        <f>IFERROR(__xludf.DUMMYFUNCTION("""COMPUTED_VALUE"""),"Priya Reddy")</f>
        <v>Priya Reddy</v>
      </c>
      <c r="C49" s="1" t="str">
        <f>IFERROR(__xludf.DUMMYFUNCTION("""COMPUTED_VALUE"""),"Female")</f>
        <v>Female</v>
      </c>
      <c r="D49" s="1" t="str">
        <f>IFERROR(__xludf.DUMMYFUNCTION("""COMPUTED_VALUE"""),"10")</f>
        <v>10</v>
      </c>
      <c r="E49" s="1" t="str">
        <f>IFERROR(__xludf.DUMMYFUNCTION("""COMPUTED_VALUE"""),"C")</f>
        <v>C</v>
      </c>
      <c r="F49" s="1" t="str">
        <f>IFERROR(__xludf.DUMMYFUNCTION("""COMPUTED_VALUE"""),"Chandigarh")</f>
        <v>Chandigarh</v>
      </c>
      <c r="G49" s="1">
        <f>IFERROR(__xludf.DUMMYFUNCTION("""COMPUTED_VALUE"""),50.0)</f>
        <v>50</v>
      </c>
      <c r="H49" s="1">
        <f>IFERROR(__xludf.DUMMYFUNCTION("""COMPUTED_VALUE"""),68.0)</f>
        <v>68</v>
      </c>
      <c r="I49" s="1">
        <f>IFERROR(__xludf.DUMMYFUNCTION("""COMPUTED_VALUE"""),69.0)</f>
        <v>69</v>
      </c>
      <c r="J49" s="1">
        <f>IFERROR(__xludf.DUMMYFUNCTION("""COMPUTED_VALUE"""),62.0)</f>
        <v>62</v>
      </c>
      <c r="K49" s="1">
        <f>IFERROR(__xludf.DUMMYFUNCTION("""COMPUTED_VALUE"""),42.0)</f>
        <v>42</v>
      </c>
      <c r="L49" s="1">
        <f>IFERROR(__xludf.DUMMYFUNCTION("""COMPUTED_VALUE"""),291.0)</f>
        <v>291</v>
      </c>
      <c r="M49" s="1">
        <f>IFERROR(__xludf.DUMMYFUNCTION("""COMPUTED_VALUE"""),58.2)</f>
        <v>58.2</v>
      </c>
      <c r="N49" s="1">
        <f>IFERROR(__xludf.DUMMYFUNCTION("""COMPUTED_VALUE"""),69.0)</f>
        <v>69</v>
      </c>
      <c r="O49" s="1" t="str">
        <f>IFERROR(__xludf.DUMMYFUNCTION("""COMPUTED_VALUE"""),"Pass")</f>
        <v>Pass</v>
      </c>
    </row>
    <row r="50" ht="15.75" customHeight="1">
      <c r="A50" s="1" t="str">
        <f>IFERROR(__xludf.DUMMYFUNCTION("""COMPUTED_VALUE"""),"STD-1216")</f>
        <v>STD-1216</v>
      </c>
      <c r="B50" s="1" t="str">
        <f>IFERROR(__xludf.DUMMYFUNCTION("""COMPUTED_VALUE"""),"Aditya Das")</f>
        <v>Aditya Das</v>
      </c>
      <c r="C50" s="1" t="str">
        <f>IFERROR(__xludf.DUMMYFUNCTION("""COMPUTED_VALUE"""),"Male")</f>
        <v>Male</v>
      </c>
      <c r="D50" s="1" t="str">
        <f>IFERROR(__xludf.DUMMYFUNCTION("""COMPUTED_VALUE"""),"10")</f>
        <v>10</v>
      </c>
      <c r="E50" s="1" t="str">
        <f>IFERROR(__xludf.DUMMYFUNCTION("""COMPUTED_VALUE"""),"B")</f>
        <v>B</v>
      </c>
      <c r="F50" s="1" t="str">
        <f>IFERROR(__xludf.DUMMYFUNCTION("""COMPUTED_VALUE"""),"Chandigarh")</f>
        <v>Chandigarh</v>
      </c>
      <c r="G50" s="1">
        <f>IFERROR(__xludf.DUMMYFUNCTION("""COMPUTED_VALUE"""),91.0)</f>
        <v>91</v>
      </c>
      <c r="H50" s="1">
        <f>IFERROR(__xludf.DUMMYFUNCTION("""COMPUTED_VALUE"""),78.0)</f>
        <v>78</v>
      </c>
      <c r="I50" s="1">
        <f>IFERROR(__xludf.DUMMYFUNCTION("""COMPUTED_VALUE"""),90.0)</f>
        <v>90</v>
      </c>
      <c r="J50" s="1">
        <f>IFERROR(__xludf.DUMMYFUNCTION("""COMPUTED_VALUE"""),68.0)</f>
        <v>68</v>
      </c>
      <c r="K50" s="1">
        <f>IFERROR(__xludf.DUMMYFUNCTION("""COMPUTED_VALUE"""),57.0)</f>
        <v>57</v>
      </c>
      <c r="L50" s="1">
        <f>IFERROR(__xludf.DUMMYFUNCTION("""COMPUTED_VALUE"""),384.0)</f>
        <v>384</v>
      </c>
      <c r="M50" s="1">
        <f>IFERROR(__xludf.DUMMYFUNCTION("""COMPUTED_VALUE"""),76.8)</f>
        <v>76.8</v>
      </c>
      <c r="N50" s="1">
        <f>IFERROR(__xludf.DUMMYFUNCTION("""COMPUTED_VALUE"""),99.0)</f>
        <v>99</v>
      </c>
      <c r="O50" s="1" t="str">
        <f>IFERROR(__xludf.DUMMYFUNCTION("""COMPUTED_VALUE"""),"Pass")</f>
        <v>Pass</v>
      </c>
    </row>
    <row r="51" ht="15.75" customHeight="1">
      <c r="A51" s="1" t="str">
        <f>IFERROR(__xludf.DUMMYFUNCTION("""COMPUTED_VALUE"""),"STD-1217")</f>
        <v>STD-1217</v>
      </c>
      <c r="B51" s="1" t="str">
        <f>IFERROR(__xludf.DUMMYFUNCTION("""COMPUTED_VALUE"""),"Aditya Choudhary")</f>
        <v>Aditya Choudhary</v>
      </c>
      <c r="C51" s="1" t="str">
        <f>IFERROR(__xludf.DUMMYFUNCTION("""COMPUTED_VALUE"""),"Female")</f>
        <v>Female</v>
      </c>
      <c r="D51" s="1" t="str">
        <f>IFERROR(__xludf.DUMMYFUNCTION("""COMPUTED_VALUE"""),"10")</f>
        <v>10</v>
      </c>
      <c r="E51" s="1" t="str">
        <f>IFERROR(__xludf.DUMMYFUNCTION("""COMPUTED_VALUE"""),"B")</f>
        <v>B</v>
      </c>
      <c r="F51" s="1" t="str">
        <f>IFERROR(__xludf.DUMMYFUNCTION("""COMPUTED_VALUE"""),"Kolkata")</f>
        <v>Kolkata</v>
      </c>
      <c r="G51" s="1">
        <f>IFERROR(__xludf.DUMMYFUNCTION("""COMPUTED_VALUE"""),96.0)</f>
        <v>96</v>
      </c>
      <c r="H51" s="1">
        <f>IFERROR(__xludf.DUMMYFUNCTION("""COMPUTED_VALUE"""),46.0)</f>
        <v>46</v>
      </c>
      <c r="I51" s="1">
        <f>IFERROR(__xludf.DUMMYFUNCTION("""COMPUTED_VALUE"""),58.0)</f>
        <v>58</v>
      </c>
      <c r="J51" s="1">
        <f>IFERROR(__xludf.DUMMYFUNCTION("""COMPUTED_VALUE"""),56.0)</f>
        <v>56</v>
      </c>
      <c r="K51" s="1">
        <f>IFERROR(__xludf.DUMMYFUNCTION("""COMPUTED_VALUE"""),50.0)</f>
        <v>50</v>
      </c>
      <c r="L51" s="1">
        <f>IFERROR(__xludf.DUMMYFUNCTION("""COMPUTED_VALUE"""),306.0)</f>
        <v>306</v>
      </c>
      <c r="M51" s="1">
        <f>IFERROR(__xludf.DUMMYFUNCTION("""COMPUTED_VALUE"""),61.2)</f>
        <v>61.2</v>
      </c>
      <c r="N51" s="1">
        <f>IFERROR(__xludf.DUMMYFUNCTION("""COMPUTED_VALUE"""),94.0)</f>
        <v>94</v>
      </c>
      <c r="O51" s="1" t="str">
        <f>IFERROR(__xludf.DUMMYFUNCTION("""COMPUTED_VALUE"""),"Pass")</f>
        <v>Pass</v>
      </c>
    </row>
    <row r="52" ht="15.75" customHeight="1">
      <c r="A52" s="1" t="str">
        <f>IFERROR(__xludf.DUMMYFUNCTION("""COMPUTED_VALUE"""),"STD-1227")</f>
        <v>STD-1227</v>
      </c>
      <c r="B52" s="1" t="str">
        <f>IFERROR(__xludf.DUMMYFUNCTION("""COMPUTED_VALUE"""),"Sneha Nair")</f>
        <v>Sneha Nair</v>
      </c>
      <c r="C52" s="1" t="str">
        <f>IFERROR(__xludf.DUMMYFUNCTION("""COMPUTED_VALUE"""),"Female")</f>
        <v>Female</v>
      </c>
      <c r="D52" s="1" t="str">
        <f>IFERROR(__xludf.DUMMYFUNCTION("""COMPUTED_VALUE"""),"10")</f>
        <v>10</v>
      </c>
      <c r="E52" s="1" t="str">
        <f>IFERROR(__xludf.DUMMYFUNCTION("""COMPUTED_VALUE"""),"A")</f>
        <v>A</v>
      </c>
      <c r="F52" s="1" t="str">
        <f>IFERROR(__xludf.DUMMYFUNCTION("""COMPUTED_VALUE"""),"Kolkata")</f>
        <v>Kolkata</v>
      </c>
      <c r="G52" s="1">
        <f>IFERROR(__xludf.DUMMYFUNCTION("""COMPUTED_VALUE"""),99.0)</f>
        <v>99</v>
      </c>
      <c r="H52" s="1">
        <f>IFERROR(__xludf.DUMMYFUNCTION("""COMPUTED_VALUE"""),52.0)</f>
        <v>52</v>
      </c>
      <c r="I52" s="1">
        <f>IFERROR(__xludf.DUMMYFUNCTION("""COMPUTED_VALUE"""),89.0)</f>
        <v>89</v>
      </c>
      <c r="J52" s="1">
        <f>IFERROR(__xludf.DUMMYFUNCTION("""COMPUTED_VALUE"""),80.0)</f>
        <v>80</v>
      </c>
      <c r="K52" s="1">
        <f>IFERROR(__xludf.DUMMYFUNCTION("""COMPUTED_VALUE"""),82.0)</f>
        <v>82</v>
      </c>
      <c r="L52" s="1">
        <f>IFERROR(__xludf.DUMMYFUNCTION("""COMPUTED_VALUE"""),402.0)</f>
        <v>402</v>
      </c>
      <c r="M52" s="1">
        <f>IFERROR(__xludf.DUMMYFUNCTION("""COMPUTED_VALUE"""),80.4)</f>
        <v>80.4</v>
      </c>
      <c r="N52" s="1">
        <f>IFERROR(__xludf.DUMMYFUNCTION("""COMPUTED_VALUE"""),66.0)</f>
        <v>66</v>
      </c>
      <c r="O52" s="1" t="str">
        <f>IFERROR(__xludf.DUMMYFUNCTION("""COMPUTED_VALUE"""),"Pass")</f>
        <v>Pass</v>
      </c>
    </row>
    <row r="53" ht="15.75" customHeight="1">
      <c r="A53" s="1" t="str">
        <f>IFERROR(__xludf.DUMMYFUNCTION("""COMPUTED_VALUE"""),"STD-1238")</f>
        <v>STD-1238</v>
      </c>
      <c r="B53" s="1" t="str">
        <f>IFERROR(__xludf.DUMMYFUNCTION("""COMPUTED_VALUE"""),"Pooja Yadav")</f>
        <v>Pooja Yadav</v>
      </c>
      <c r="C53" s="1" t="str">
        <f>IFERROR(__xludf.DUMMYFUNCTION("""COMPUTED_VALUE"""),"Male")</f>
        <v>Male</v>
      </c>
      <c r="D53" s="1" t="str">
        <f>IFERROR(__xludf.DUMMYFUNCTION("""COMPUTED_VALUE"""),"10")</f>
        <v>10</v>
      </c>
      <c r="E53" s="1" t="str">
        <f>IFERROR(__xludf.DUMMYFUNCTION("""COMPUTED_VALUE"""),"B")</f>
        <v>B</v>
      </c>
      <c r="F53" s="1" t="str">
        <f>IFERROR(__xludf.DUMMYFUNCTION("""COMPUTED_VALUE"""),"Jaipur")</f>
        <v>Jaipur</v>
      </c>
      <c r="G53" s="1">
        <f>IFERROR(__xludf.DUMMYFUNCTION("""COMPUTED_VALUE"""),48.0)</f>
        <v>48</v>
      </c>
      <c r="H53" s="1">
        <f>IFERROR(__xludf.DUMMYFUNCTION("""COMPUTED_VALUE"""),50.0)</f>
        <v>50</v>
      </c>
      <c r="I53" s="1">
        <f>IFERROR(__xludf.DUMMYFUNCTION("""COMPUTED_VALUE"""),67.0)</f>
        <v>67</v>
      </c>
      <c r="J53" s="1">
        <f>IFERROR(__xludf.DUMMYFUNCTION("""COMPUTED_VALUE"""),91.0)</f>
        <v>91</v>
      </c>
      <c r="K53" s="1">
        <f>IFERROR(__xludf.DUMMYFUNCTION("""COMPUTED_VALUE"""),52.0)</f>
        <v>52</v>
      </c>
      <c r="L53" s="1">
        <f>IFERROR(__xludf.DUMMYFUNCTION("""COMPUTED_VALUE"""),308.0)</f>
        <v>308</v>
      </c>
      <c r="M53" s="1">
        <f>IFERROR(__xludf.DUMMYFUNCTION("""COMPUTED_VALUE"""),61.6)</f>
        <v>61.6</v>
      </c>
      <c r="N53" s="1">
        <f>IFERROR(__xludf.DUMMYFUNCTION("""COMPUTED_VALUE"""),97.0)</f>
        <v>97</v>
      </c>
      <c r="O53" s="1" t="str">
        <f>IFERROR(__xludf.DUMMYFUNCTION("""COMPUTED_VALUE"""),"Pass")</f>
        <v>Pass</v>
      </c>
    </row>
    <row r="54" ht="15.75" customHeight="1">
      <c r="A54" s="1" t="str">
        <f>IFERROR(__xludf.DUMMYFUNCTION("""COMPUTED_VALUE"""),"STD-1245")</f>
        <v>STD-1245</v>
      </c>
      <c r="B54" s="1" t="str">
        <f>IFERROR(__xludf.DUMMYFUNCTION("""COMPUTED_VALUE"""),"Rohan Verma")</f>
        <v>Rohan Verma</v>
      </c>
      <c r="C54" s="1" t="str">
        <f>IFERROR(__xludf.DUMMYFUNCTION("""COMPUTED_VALUE"""),"Male")</f>
        <v>Male</v>
      </c>
      <c r="D54" s="1" t="str">
        <f>IFERROR(__xludf.DUMMYFUNCTION("""COMPUTED_VALUE"""),"10")</f>
        <v>10</v>
      </c>
      <c r="E54" s="1" t="str">
        <f>IFERROR(__xludf.DUMMYFUNCTION("""COMPUTED_VALUE"""),"C")</f>
        <v>C</v>
      </c>
      <c r="F54" s="1" t="str">
        <f>IFERROR(__xludf.DUMMYFUNCTION("""COMPUTED_VALUE"""),"Kolkata")</f>
        <v>Kolkata</v>
      </c>
      <c r="G54" s="1">
        <f>IFERROR(__xludf.DUMMYFUNCTION("""COMPUTED_VALUE"""),52.0)</f>
        <v>52</v>
      </c>
      <c r="H54" s="1">
        <f>IFERROR(__xludf.DUMMYFUNCTION("""COMPUTED_VALUE"""),64.0)</f>
        <v>64</v>
      </c>
      <c r="I54" s="1">
        <f>IFERROR(__xludf.DUMMYFUNCTION("""COMPUTED_VALUE"""),78.0)</f>
        <v>78</v>
      </c>
      <c r="J54" s="1">
        <f>IFERROR(__xludf.DUMMYFUNCTION("""COMPUTED_VALUE"""),81.0)</f>
        <v>81</v>
      </c>
      <c r="K54" s="1">
        <f>IFERROR(__xludf.DUMMYFUNCTION("""COMPUTED_VALUE"""),71.0)</f>
        <v>71</v>
      </c>
      <c r="L54" s="1">
        <f>IFERROR(__xludf.DUMMYFUNCTION("""COMPUTED_VALUE"""),346.0)</f>
        <v>346</v>
      </c>
      <c r="M54" s="1">
        <f>IFERROR(__xludf.DUMMYFUNCTION("""COMPUTED_VALUE"""),69.2)</f>
        <v>69.2</v>
      </c>
      <c r="N54" s="1">
        <f>IFERROR(__xludf.DUMMYFUNCTION("""COMPUTED_VALUE"""),100.0)</f>
        <v>100</v>
      </c>
      <c r="O54" s="1" t="str">
        <f>IFERROR(__xludf.DUMMYFUNCTION("""COMPUTED_VALUE"""),"Pass")</f>
        <v>Pass</v>
      </c>
    </row>
    <row r="55" ht="15.75" customHeight="1">
      <c r="A55" s="1" t="str">
        <f>IFERROR(__xludf.DUMMYFUNCTION("""COMPUTED_VALUE"""),"STD-1251")</f>
        <v>STD-1251</v>
      </c>
      <c r="B55" s="1" t="str">
        <f>IFERROR(__xludf.DUMMYFUNCTION("""COMPUTED_VALUE"""),"Shreya Choudhary")</f>
        <v>Shreya Choudhary</v>
      </c>
      <c r="C55" s="1" t="str">
        <f>IFERROR(__xludf.DUMMYFUNCTION("""COMPUTED_VALUE"""),"Female")</f>
        <v>Female</v>
      </c>
      <c r="D55" s="1" t="str">
        <f>IFERROR(__xludf.DUMMYFUNCTION("""COMPUTED_VALUE"""),"10")</f>
        <v>10</v>
      </c>
      <c r="E55" s="1" t="str">
        <f>IFERROR(__xludf.DUMMYFUNCTION("""COMPUTED_VALUE"""),"B")</f>
        <v>B</v>
      </c>
      <c r="F55" s="1" t="str">
        <f>IFERROR(__xludf.DUMMYFUNCTION("""COMPUTED_VALUE"""),"Lucknow")</f>
        <v>Lucknow</v>
      </c>
      <c r="G55" s="1">
        <f>IFERROR(__xludf.DUMMYFUNCTION("""COMPUTED_VALUE"""),92.0)</f>
        <v>92</v>
      </c>
      <c r="H55" s="1">
        <f>IFERROR(__xludf.DUMMYFUNCTION("""COMPUTED_VALUE"""),92.0)</f>
        <v>92</v>
      </c>
      <c r="I55" s="1">
        <f>IFERROR(__xludf.DUMMYFUNCTION("""COMPUTED_VALUE"""),94.0)</f>
        <v>94</v>
      </c>
      <c r="J55" s="1">
        <f>IFERROR(__xludf.DUMMYFUNCTION("""COMPUTED_VALUE"""),52.0)</f>
        <v>52</v>
      </c>
      <c r="K55" s="1">
        <f>IFERROR(__xludf.DUMMYFUNCTION("""COMPUTED_VALUE"""),68.0)</f>
        <v>68</v>
      </c>
      <c r="L55" s="1">
        <f>IFERROR(__xludf.DUMMYFUNCTION("""COMPUTED_VALUE"""),398.0)</f>
        <v>398</v>
      </c>
      <c r="M55" s="1">
        <f>IFERROR(__xludf.DUMMYFUNCTION("""COMPUTED_VALUE"""),79.6)</f>
        <v>79.6</v>
      </c>
      <c r="N55" s="1">
        <f>IFERROR(__xludf.DUMMYFUNCTION("""COMPUTED_VALUE"""),67.0)</f>
        <v>67</v>
      </c>
      <c r="O55" s="1" t="str">
        <f>IFERROR(__xludf.DUMMYFUNCTION("""COMPUTED_VALUE"""),"Pass")</f>
        <v>Pass</v>
      </c>
    </row>
    <row r="56" ht="15.75" customHeight="1">
      <c r="A56" s="1" t="str">
        <f>IFERROR(__xludf.DUMMYFUNCTION("""COMPUTED_VALUE"""),"STD-1253")</f>
        <v>STD-1253</v>
      </c>
      <c r="B56" s="1" t="str">
        <f>IFERROR(__xludf.DUMMYFUNCTION("""COMPUTED_VALUE"""),"Ishita Singh")</f>
        <v>Ishita Singh</v>
      </c>
      <c r="C56" s="1" t="str">
        <f>IFERROR(__xludf.DUMMYFUNCTION("""COMPUTED_VALUE"""),"Female")</f>
        <v>Female</v>
      </c>
      <c r="D56" s="1" t="str">
        <f>IFERROR(__xludf.DUMMYFUNCTION("""COMPUTED_VALUE"""),"10")</f>
        <v>10</v>
      </c>
      <c r="E56" s="1" t="str">
        <f>IFERROR(__xludf.DUMMYFUNCTION("""COMPUTED_VALUE"""),"C")</f>
        <v>C</v>
      </c>
      <c r="F56" s="1" t="str">
        <f>IFERROR(__xludf.DUMMYFUNCTION("""COMPUTED_VALUE"""),"Lucknow")</f>
        <v>Lucknow</v>
      </c>
      <c r="G56" s="1">
        <f>IFERROR(__xludf.DUMMYFUNCTION("""COMPUTED_VALUE"""),96.0)</f>
        <v>96</v>
      </c>
      <c r="H56" s="1">
        <f>IFERROR(__xludf.DUMMYFUNCTION("""COMPUTED_VALUE"""),95.0)</f>
        <v>95</v>
      </c>
      <c r="I56" s="1">
        <f>IFERROR(__xludf.DUMMYFUNCTION("""COMPUTED_VALUE"""),64.0)</f>
        <v>64</v>
      </c>
      <c r="J56" s="1">
        <f>IFERROR(__xludf.DUMMYFUNCTION("""COMPUTED_VALUE"""),90.0)</f>
        <v>90</v>
      </c>
      <c r="K56" s="1">
        <f>IFERROR(__xludf.DUMMYFUNCTION("""COMPUTED_VALUE"""),50.0)</f>
        <v>50</v>
      </c>
      <c r="L56" s="1">
        <f>IFERROR(__xludf.DUMMYFUNCTION("""COMPUTED_VALUE"""),395.0)</f>
        <v>395</v>
      </c>
      <c r="M56" s="1">
        <f>IFERROR(__xludf.DUMMYFUNCTION("""COMPUTED_VALUE"""),79.0)</f>
        <v>79</v>
      </c>
      <c r="N56" s="1">
        <f>IFERROR(__xludf.DUMMYFUNCTION("""COMPUTED_VALUE"""),75.0)</f>
        <v>75</v>
      </c>
      <c r="O56" s="1" t="str">
        <f>IFERROR(__xludf.DUMMYFUNCTION("""COMPUTED_VALUE"""),"Pass")</f>
        <v>Pass</v>
      </c>
    </row>
    <row r="57" ht="15.75" customHeight="1">
      <c r="A57" s="1" t="str">
        <f>IFERROR(__xludf.DUMMYFUNCTION("""COMPUTED_VALUE"""),"STD-1254")</f>
        <v>STD-1254</v>
      </c>
      <c r="B57" s="1" t="str">
        <f>IFERROR(__xludf.DUMMYFUNCTION("""COMPUTED_VALUE"""),"Aarav Singh")</f>
        <v>Aarav Singh</v>
      </c>
      <c r="C57" s="1" t="str">
        <f>IFERROR(__xludf.DUMMYFUNCTION("""COMPUTED_VALUE"""),"Female")</f>
        <v>Female</v>
      </c>
      <c r="D57" s="1" t="str">
        <f>IFERROR(__xludf.DUMMYFUNCTION("""COMPUTED_VALUE"""),"10")</f>
        <v>10</v>
      </c>
      <c r="E57" s="1" t="str">
        <f>IFERROR(__xludf.DUMMYFUNCTION("""COMPUTED_VALUE"""),"C")</f>
        <v>C</v>
      </c>
      <c r="F57" s="1" t="str">
        <f>IFERROR(__xludf.DUMMYFUNCTION("""COMPUTED_VALUE"""),"Kolkata")</f>
        <v>Kolkata</v>
      </c>
      <c r="G57" s="1">
        <f>IFERROR(__xludf.DUMMYFUNCTION("""COMPUTED_VALUE"""),76.0)</f>
        <v>76</v>
      </c>
      <c r="H57" s="1">
        <f>IFERROR(__xludf.DUMMYFUNCTION("""COMPUTED_VALUE"""),52.0)</f>
        <v>52</v>
      </c>
      <c r="I57" s="1">
        <f>IFERROR(__xludf.DUMMYFUNCTION("""COMPUTED_VALUE"""),64.0)</f>
        <v>64</v>
      </c>
      <c r="J57" s="1">
        <f>IFERROR(__xludf.DUMMYFUNCTION("""COMPUTED_VALUE"""),82.0)</f>
        <v>82</v>
      </c>
      <c r="K57" s="1">
        <f>IFERROR(__xludf.DUMMYFUNCTION("""COMPUTED_VALUE"""),100.0)</f>
        <v>100</v>
      </c>
      <c r="L57" s="1">
        <f>IFERROR(__xludf.DUMMYFUNCTION("""COMPUTED_VALUE"""),374.0)</f>
        <v>374</v>
      </c>
      <c r="M57" s="1">
        <f>IFERROR(__xludf.DUMMYFUNCTION("""COMPUTED_VALUE"""),74.8)</f>
        <v>74.8</v>
      </c>
      <c r="N57" s="1">
        <f>IFERROR(__xludf.DUMMYFUNCTION("""COMPUTED_VALUE"""),75.0)</f>
        <v>75</v>
      </c>
      <c r="O57" s="1" t="str">
        <f>IFERROR(__xludf.DUMMYFUNCTION("""COMPUTED_VALUE"""),"Pass")</f>
        <v>Pass</v>
      </c>
    </row>
    <row r="58" ht="15.75" customHeight="1">
      <c r="A58" s="1" t="str">
        <f>IFERROR(__xludf.DUMMYFUNCTION("""COMPUTED_VALUE"""),"STD-1269")</f>
        <v>STD-1269</v>
      </c>
      <c r="B58" s="1" t="str">
        <f>IFERROR(__xludf.DUMMYFUNCTION("""COMPUTED_VALUE"""),"Aditya Kulkarni")</f>
        <v>Aditya Kulkarni</v>
      </c>
      <c r="C58" s="1" t="str">
        <f>IFERROR(__xludf.DUMMYFUNCTION("""COMPUTED_VALUE"""),"Male")</f>
        <v>Male</v>
      </c>
      <c r="D58" s="1" t="str">
        <f>IFERROR(__xludf.DUMMYFUNCTION("""COMPUTED_VALUE"""),"10")</f>
        <v>10</v>
      </c>
      <c r="E58" s="1" t="str">
        <f>IFERROR(__xludf.DUMMYFUNCTION("""COMPUTED_VALUE"""),"B")</f>
        <v>B</v>
      </c>
      <c r="F58" s="1" t="str">
        <f>IFERROR(__xludf.DUMMYFUNCTION("""COMPUTED_VALUE"""),"Chandigarh")</f>
        <v>Chandigarh</v>
      </c>
      <c r="G58" s="1">
        <f>IFERROR(__xludf.DUMMYFUNCTION("""COMPUTED_VALUE"""),91.0)</f>
        <v>91</v>
      </c>
      <c r="H58" s="1">
        <f>IFERROR(__xludf.DUMMYFUNCTION("""COMPUTED_VALUE"""),98.0)</f>
        <v>98</v>
      </c>
      <c r="I58" s="1">
        <f>IFERROR(__xludf.DUMMYFUNCTION("""COMPUTED_VALUE"""),55.0)</f>
        <v>55</v>
      </c>
      <c r="J58" s="1">
        <f>IFERROR(__xludf.DUMMYFUNCTION("""COMPUTED_VALUE"""),70.0)</f>
        <v>70</v>
      </c>
      <c r="K58" s="1">
        <f>IFERROR(__xludf.DUMMYFUNCTION("""COMPUTED_VALUE"""),87.0)</f>
        <v>87</v>
      </c>
      <c r="L58" s="1">
        <f>IFERROR(__xludf.DUMMYFUNCTION("""COMPUTED_VALUE"""),401.0)</f>
        <v>401</v>
      </c>
      <c r="M58" s="1">
        <f>IFERROR(__xludf.DUMMYFUNCTION("""COMPUTED_VALUE"""),80.2)</f>
        <v>80.2</v>
      </c>
      <c r="N58" s="1">
        <f>IFERROR(__xludf.DUMMYFUNCTION("""COMPUTED_VALUE"""),62.0)</f>
        <v>62</v>
      </c>
      <c r="O58" s="1" t="str">
        <f>IFERROR(__xludf.DUMMYFUNCTION("""COMPUTED_VALUE"""),"Pass")</f>
        <v>Pass</v>
      </c>
    </row>
    <row r="59" ht="15.75" customHeight="1">
      <c r="A59" s="1" t="str">
        <f>IFERROR(__xludf.DUMMYFUNCTION("""COMPUTED_VALUE"""),"STD-1271")</f>
        <v>STD-1271</v>
      </c>
      <c r="B59" s="1" t="str">
        <f>IFERROR(__xludf.DUMMYFUNCTION("""COMPUTED_VALUE"""),"Ishita Nair")</f>
        <v>Ishita Nair</v>
      </c>
      <c r="C59" s="1" t="str">
        <f>IFERROR(__xludf.DUMMYFUNCTION("""COMPUTED_VALUE"""),"Female")</f>
        <v>Female</v>
      </c>
      <c r="D59" s="1" t="str">
        <f>IFERROR(__xludf.DUMMYFUNCTION("""COMPUTED_VALUE"""),"10")</f>
        <v>10</v>
      </c>
      <c r="E59" s="1" t="str">
        <f>IFERROR(__xludf.DUMMYFUNCTION("""COMPUTED_VALUE"""),"B")</f>
        <v>B</v>
      </c>
      <c r="F59" s="1" t="str">
        <f>IFERROR(__xludf.DUMMYFUNCTION("""COMPUTED_VALUE"""),"Jaipur")</f>
        <v>Jaipur</v>
      </c>
      <c r="G59" s="1">
        <f>IFERROR(__xludf.DUMMYFUNCTION("""COMPUTED_VALUE"""),100.0)</f>
        <v>100</v>
      </c>
      <c r="H59" s="1">
        <f>IFERROR(__xludf.DUMMYFUNCTION("""COMPUTED_VALUE"""),45.0)</f>
        <v>45</v>
      </c>
      <c r="I59" s="1">
        <f>IFERROR(__xludf.DUMMYFUNCTION("""COMPUTED_VALUE"""),81.0)</f>
        <v>81</v>
      </c>
      <c r="J59" s="1">
        <f>IFERROR(__xludf.DUMMYFUNCTION("""COMPUTED_VALUE"""),98.0)</f>
        <v>98</v>
      </c>
      <c r="K59" s="1">
        <f>IFERROR(__xludf.DUMMYFUNCTION("""COMPUTED_VALUE"""),69.0)</f>
        <v>69</v>
      </c>
      <c r="L59" s="1">
        <f>IFERROR(__xludf.DUMMYFUNCTION("""COMPUTED_VALUE"""),393.0)</f>
        <v>393</v>
      </c>
      <c r="M59" s="1">
        <f>IFERROR(__xludf.DUMMYFUNCTION("""COMPUTED_VALUE"""),78.6)</f>
        <v>78.6</v>
      </c>
      <c r="N59" s="1">
        <f>IFERROR(__xludf.DUMMYFUNCTION("""COMPUTED_VALUE"""),84.0)</f>
        <v>84</v>
      </c>
      <c r="O59" s="1" t="str">
        <f>IFERROR(__xludf.DUMMYFUNCTION("""COMPUTED_VALUE"""),"Pass")</f>
        <v>Pass</v>
      </c>
    </row>
    <row r="60" ht="15.75" customHeight="1">
      <c r="A60" s="1" t="str">
        <f>IFERROR(__xludf.DUMMYFUNCTION("""COMPUTED_VALUE"""),"STD-1272")</f>
        <v>STD-1272</v>
      </c>
      <c r="B60" s="1" t="str">
        <f>IFERROR(__xludf.DUMMYFUNCTION("""COMPUTED_VALUE"""),"Rahul Verma")</f>
        <v>Rahul Verma</v>
      </c>
      <c r="C60" s="1" t="str">
        <f>IFERROR(__xludf.DUMMYFUNCTION("""COMPUTED_VALUE"""),"Female")</f>
        <v>Female</v>
      </c>
      <c r="D60" s="1" t="str">
        <f>IFERROR(__xludf.DUMMYFUNCTION("""COMPUTED_VALUE"""),"10")</f>
        <v>10</v>
      </c>
      <c r="E60" s="1" t="str">
        <f>IFERROR(__xludf.DUMMYFUNCTION("""COMPUTED_VALUE"""),"A")</f>
        <v>A</v>
      </c>
      <c r="F60" s="1" t="str">
        <f>IFERROR(__xludf.DUMMYFUNCTION("""COMPUTED_VALUE"""),"Chandigarh")</f>
        <v>Chandigarh</v>
      </c>
      <c r="G60" s="1">
        <f>IFERROR(__xludf.DUMMYFUNCTION("""COMPUTED_VALUE"""),87.0)</f>
        <v>87</v>
      </c>
      <c r="H60" s="1">
        <f>IFERROR(__xludf.DUMMYFUNCTION("""COMPUTED_VALUE"""),51.0)</f>
        <v>51</v>
      </c>
      <c r="I60" s="1">
        <f>IFERROR(__xludf.DUMMYFUNCTION("""COMPUTED_VALUE"""),80.0)</f>
        <v>80</v>
      </c>
      <c r="J60" s="1">
        <f>IFERROR(__xludf.DUMMYFUNCTION("""COMPUTED_VALUE"""),63.0)</f>
        <v>63</v>
      </c>
      <c r="K60" s="1">
        <f>IFERROR(__xludf.DUMMYFUNCTION("""COMPUTED_VALUE"""),43.0)</f>
        <v>43</v>
      </c>
      <c r="L60" s="1">
        <f>IFERROR(__xludf.DUMMYFUNCTION("""COMPUTED_VALUE"""),324.0)</f>
        <v>324</v>
      </c>
      <c r="M60" s="1">
        <f>IFERROR(__xludf.DUMMYFUNCTION("""COMPUTED_VALUE"""),64.8)</f>
        <v>64.8</v>
      </c>
      <c r="N60" s="1">
        <f>IFERROR(__xludf.DUMMYFUNCTION("""COMPUTED_VALUE"""),84.0)</f>
        <v>84</v>
      </c>
      <c r="O60" s="1" t="str">
        <f>IFERROR(__xludf.DUMMYFUNCTION("""COMPUTED_VALUE"""),"Pass")</f>
        <v>Pass</v>
      </c>
    </row>
    <row r="61" ht="15.75" customHeight="1">
      <c r="A61" s="1" t="str">
        <f>IFERROR(__xludf.DUMMYFUNCTION("""COMPUTED_VALUE"""),"STD-1273")</f>
        <v>STD-1273</v>
      </c>
      <c r="B61" s="1" t="str">
        <f>IFERROR(__xludf.DUMMYFUNCTION("""COMPUTED_VALUE"""),"Tanvi Patel")</f>
        <v>Tanvi Patel</v>
      </c>
      <c r="C61" s="1" t="str">
        <f>IFERROR(__xludf.DUMMYFUNCTION("""COMPUTED_VALUE"""),"Male")</f>
        <v>Male</v>
      </c>
      <c r="D61" s="1" t="str">
        <f>IFERROR(__xludf.DUMMYFUNCTION("""COMPUTED_VALUE"""),"10")</f>
        <v>10</v>
      </c>
      <c r="E61" s="1" t="str">
        <f>IFERROR(__xludf.DUMMYFUNCTION("""COMPUTED_VALUE"""),"C")</f>
        <v>C</v>
      </c>
      <c r="F61" s="1" t="str">
        <f>IFERROR(__xludf.DUMMYFUNCTION("""COMPUTED_VALUE"""),"Lucknow")</f>
        <v>Lucknow</v>
      </c>
      <c r="G61" s="1">
        <f>IFERROR(__xludf.DUMMYFUNCTION("""COMPUTED_VALUE"""),96.0)</f>
        <v>96</v>
      </c>
      <c r="H61" s="1">
        <f>IFERROR(__xludf.DUMMYFUNCTION("""COMPUTED_VALUE"""),63.0)</f>
        <v>63</v>
      </c>
      <c r="I61" s="1">
        <f>IFERROR(__xludf.DUMMYFUNCTION("""COMPUTED_VALUE"""),76.0)</f>
        <v>76</v>
      </c>
      <c r="J61" s="1">
        <f>IFERROR(__xludf.DUMMYFUNCTION("""COMPUTED_VALUE"""),91.0)</f>
        <v>91</v>
      </c>
      <c r="K61" s="1">
        <f>IFERROR(__xludf.DUMMYFUNCTION("""COMPUTED_VALUE"""),42.0)</f>
        <v>42</v>
      </c>
      <c r="L61" s="1">
        <f>IFERROR(__xludf.DUMMYFUNCTION("""COMPUTED_VALUE"""),368.0)</f>
        <v>368</v>
      </c>
      <c r="M61" s="1">
        <f>IFERROR(__xludf.DUMMYFUNCTION("""COMPUTED_VALUE"""),73.6)</f>
        <v>73.6</v>
      </c>
      <c r="N61" s="1">
        <f>IFERROR(__xludf.DUMMYFUNCTION("""COMPUTED_VALUE"""),87.0)</f>
        <v>87</v>
      </c>
      <c r="O61" s="1" t="str">
        <f>IFERROR(__xludf.DUMMYFUNCTION("""COMPUTED_VALUE"""),"Pass")</f>
        <v>Pass</v>
      </c>
    </row>
    <row r="62" ht="15.75" customHeight="1">
      <c r="A62" s="1" t="str">
        <f>IFERROR(__xludf.DUMMYFUNCTION("""COMPUTED_VALUE"""),"STD-1282")</f>
        <v>STD-1282</v>
      </c>
      <c r="B62" s="1" t="str">
        <f>IFERROR(__xludf.DUMMYFUNCTION("""COMPUTED_VALUE"""),"Arjun Jain")</f>
        <v>Arjun Jain</v>
      </c>
      <c r="C62" s="1" t="str">
        <f>IFERROR(__xludf.DUMMYFUNCTION("""COMPUTED_VALUE"""),"Female")</f>
        <v>Female</v>
      </c>
      <c r="D62" s="1" t="str">
        <f>IFERROR(__xludf.DUMMYFUNCTION("""COMPUTED_VALUE"""),"10")</f>
        <v>10</v>
      </c>
      <c r="E62" s="1" t="str">
        <f>IFERROR(__xludf.DUMMYFUNCTION("""COMPUTED_VALUE"""),"A")</f>
        <v>A</v>
      </c>
      <c r="F62" s="1" t="str">
        <f>IFERROR(__xludf.DUMMYFUNCTION("""COMPUTED_VALUE"""),"Lucknow")</f>
        <v>Lucknow</v>
      </c>
      <c r="G62" s="1">
        <f>IFERROR(__xludf.DUMMYFUNCTION("""COMPUTED_VALUE"""),53.0)</f>
        <v>53</v>
      </c>
      <c r="H62" s="1">
        <f>IFERROR(__xludf.DUMMYFUNCTION("""COMPUTED_VALUE"""),86.0)</f>
        <v>86</v>
      </c>
      <c r="I62" s="1">
        <f>IFERROR(__xludf.DUMMYFUNCTION("""COMPUTED_VALUE"""),84.0)</f>
        <v>84</v>
      </c>
      <c r="J62" s="1">
        <f>IFERROR(__xludf.DUMMYFUNCTION("""COMPUTED_VALUE"""),54.0)</f>
        <v>54</v>
      </c>
      <c r="K62" s="1">
        <f>IFERROR(__xludf.DUMMYFUNCTION("""COMPUTED_VALUE"""),73.0)</f>
        <v>73</v>
      </c>
      <c r="L62" s="1">
        <f>IFERROR(__xludf.DUMMYFUNCTION("""COMPUTED_VALUE"""),350.0)</f>
        <v>350</v>
      </c>
      <c r="M62" s="1">
        <f>IFERROR(__xludf.DUMMYFUNCTION("""COMPUTED_VALUE"""),70.0)</f>
        <v>70</v>
      </c>
      <c r="N62" s="1">
        <f>IFERROR(__xludf.DUMMYFUNCTION("""COMPUTED_VALUE"""),72.0)</f>
        <v>72</v>
      </c>
      <c r="O62" s="1" t="str">
        <f>IFERROR(__xludf.DUMMYFUNCTION("""COMPUTED_VALUE"""),"Pass")</f>
        <v>Pass</v>
      </c>
    </row>
    <row r="63" ht="15.75" customHeight="1">
      <c r="A63" s="1" t="str">
        <f>IFERROR(__xludf.DUMMYFUNCTION("""COMPUTED_VALUE"""),"STD-1287")</f>
        <v>STD-1287</v>
      </c>
      <c r="B63" s="1" t="str">
        <f>IFERROR(__xludf.DUMMYFUNCTION("""COMPUTED_VALUE"""),"Simran Jain")</f>
        <v>Simran Jain</v>
      </c>
      <c r="C63" s="1" t="str">
        <f>IFERROR(__xludf.DUMMYFUNCTION("""COMPUTED_VALUE"""),"Female")</f>
        <v>Female</v>
      </c>
      <c r="D63" s="1" t="str">
        <f>IFERROR(__xludf.DUMMYFUNCTION("""COMPUTED_VALUE"""),"10")</f>
        <v>10</v>
      </c>
      <c r="E63" s="1" t="str">
        <f>IFERROR(__xludf.DUMMYFUNCTION("""COMPUTED_VALUE"""),"A")</f>
        <v>A</v>
      </c>
      <c r="F63" s="1" t="str">
        <f>IFERROR(__xludf.DUMMYFUNCTION("""COMPUTED_VALUE"""),"Patna")</f>
        <v>Patna</v>
      </c>
      <c r="G63" s="1">
        <f>IFERROR(__xludf.DUMMYFUNCTION("""COMPUTED_VALUE"""),48.0)</f>
        <v>48</v>
      </c>
      <c r="H63" s="1">
        <f>IFERROR(__xludf.DUMMYFUNCTION("""COMPUTED_VALUE"""),99.0)</f>
        <v>99</v>
      </c>
      <c r="I63" s="1">
        <f>IFERROR(__xludf.DUMMYFUNCTION("""COMPUTED_VALUE"""),78.0)</f>
        <v>78</v>
      </c>
      <c r="J63" s="1">
        <f>IFERROR(__xludf.DUMMYFUNCTION("""COMPUTED_VALUE"""),83.0)</f>
        <v>83</v>
      </c>
      <c r="K63" s="1">
        <f>IFERROR(__xludf.DUMMYFUNCTION("""COMPUTED_VALUE"""),52.0)</f>
        <v>52</v>
      </c>
      <c r="L63" s="1">
        <f>IFERROR(__xludf.DUMMYFUNCTION("""COMPUTED_VALUE"""),360.0)</f>
        <v>360</v>
      </c>
      <c r="M63" s="1">
        <f>IFERROR(__xludf.DUMMYFUNCTION("""COMPUTED_VALUE"""),72.0)</f>
        <v>72</v>
      </c>
      <c r="N63" s="1">
        <f>IFERROR(__xludf.DUMMYFUNCTION("""COMPUTED_VALUE"""),72.0)</f>
        <v>72</v>
      </c>
      <c r="O63" s="1" t="str">
        <f>IFERROR(__xludf.DUMMYFUNCTION("""COMPUTED_VALUE"""),"Pass")</f>
        <v>Pass</v>
      </c>
    </row>
    <row r="64" ht="15.75" customHeight="1">
      <c r="A64" s="1" t="str">
        <f>IFERROR(__xludf.DUMMYFUNCTION("""COMPUTED_VALUE"""),"STD-1294")</f>
        <v>STD-1294</v>
      </c>
      <c r="B64" s="1" t="str">
        <f>IFERROR(__xludf.DUMMYFUNCTION("""COMPUTED_VALUE"""),"Pooja Kulkarni")</f>
        <v>Pooja Kulkarni</v>
      </c>
      <c r="C64" s="1" t="str">
        <f>IFERROR(__xludf.DUMMYFUNCTION("""COMPUTED_VALUE"""),"Male")</f>
        <v>Male</v>
      </c>
      <c r="D64" s="1" t="str">
        <f>IFERROR(__xludf.DUMMYFUNCTION("""COMPUTED_VALUE"""),"10")</f>
        <v>10</v>
      </c>
      <c r="E64" s="1" t="str">
        <f>IFERROR(__xludf.DUMMYFUNCTION("""COMPUTED_VALUE"""),"A")</f>
        <v>A</v>
      </c>
      <c r="F64" s="1" t="str">
        <f>IFERROR(__xludf.DUMMYFUNCTION("""COMPUTED_VALUE"""),"Jaipur")</f>
        <v>Jaipur</v>
      </c>
      <c r="G64" s="1">
        <f>IFERROR(__xludf.DUMMYFUNCTION("""COMPUTED_VALUE"""),66.0)</f>
        <v>66</v>
      </c>
      <c r="H64" s="1">
        <f>IFERROR(__xludf.DUMMYFUNCTION("""COMPUTED_VALUE"""),55.0)</f>
        <v>55</v>
      </c>
      <c r="I64" s="1">
        <f>IFERROR(__xludf.DUMMYFUNCTION("""COMPUTED_VALUE"""),45.0)</f>
        <v>45</v>
      </c>
      <c r="J64" s="1">
        <f>IFERROR(__xludf.DUMMYFUNCTION("""COMPUTED_VALUE"""),91.0)</f>
        <v>91</v>
      </c>
      <c r="K64" s="1">
        <f>IFERROR(__xludf.DUMMYFUNCTION("""COMPUTED_VALUE"""),76.0)</f>
        <v>76</v>
      </c>
      <c r="L64" s="1">
        <f>IFERROR(__xludf.DUMMYFUNCTION("""COMPUTED_VALUE"""),333.0)</f>
        <v>333</v>
      </c>
      <c r="M64" s="1">
        <f>IFERROR(__xludf.DUMMYFUNCTION("""COMPUTED_VALUE"""),66.6)</f>
        <v>66.6</v>
      </c>
      <c r="N64" s="1">
        <f>IFERROR(__xludf.DUMMYFUNCTION("""COMPUTED_VALUE"""),79.0)</f>
        <v>79</v>
      </c>
      <c r="O64" s="1" t="str">
        <f>IFERROR(__xludf.DUMMYFUNCTION("""COMPUTED_VALUE"""),"Pass")</f>
        <v>Pass</v>
      </c>
    </row>
    <row r="65" ht="15.75" customHeight="1">
      <c r="A65" s="1" t="str">
        <f>IFERROR(__xludf.DUMMYFUNCTION("""COMPUTED_VALUE"""),"STD-1300")</f>
        <v>STD-1300</v>
      </c>
      <c r="B65" s="1" t="str">
        <f>IFERROR(__xludf.DUMMYFUNCTION("""COMPUTED_VALUE"""),"Rohan Kaur")</f>
        <v>Rohan Kaur</v>
      </c>
      <c r="C65" s="1" t="str">
        <f>IFERROR(__xludf.DUMMYFUNCTION("""COMPUTED_VALUE"""),"Female")</f>
        <v>Female</v>
      </c>
      <c r="D65" s="1" t="str">
        <f>IFERROR(__xludf.DUMMYFUNCTION("""COMPUTED_VALUE"""),"10")</f>
        <v>10</v>
      </c>
      <c r="E65" s="1" t="str">
        <f>IFERROR(__xludf.DUMMYFUNCTION("""COMPUTED_VALUE"""),"A")</f>
        <v>A</v>
      </c>
      <c r="F65" s="1" t="str">
        <f>IFERROR(__xludf.DUMMYFUNCTION("""COMPUTED_VALUE"""),"Kolkata")</f>
        <v>Kolkata</v>
      </c>
      <c r="G65" s="1">
        <f>IFERROR(__xludf.DUMMYFUNCTION("""COMPUTED_VALUE"""),52.0)</f>
        <v>52</v>
      </c>
      <c r="H65" s="1">
        <f>IFERROR(__xludf.DUMMYFUNCTION("""COMPUTED_VALUE"""),96.0)</f>
        <v>96</v>
      </c>
      <c r="I65" s="1">
        <f>IFERROR(__xludf.DUMMYFUNCTION("""COMPUTED_VALUE"""),47.0)</f>
        <v>47</v>
      </c>
      <c r="J65" s="1">
        <f>IFERROR(__xludf.DUMMYFUNCTION("""COMPUTED_VALUE"""),80.0)</f>
        <v>80</v>
      </c>
      <c r="K65" s="1">
        <f>IFERROR(__xludf.DUMMYFUNCTION("""COMPUTED_VALUE"""),64.0)</f>
        <v>64</v>
      </c>
      <c r="L65" s="1">
        <f>IFERROR(__xludf.DUMMYFUNCTION("""COMPUTED_VALUE"""),339.0)</f>
        <v>339</v>
      </c>
      <c r="M65" s="1">
        <f>IFERROR(__xludf.DUMMYFUNCTION("""COMPUTED_VALUE"""),67.8)</f>
        <v>67.8</v>
      </c>
      <c r="N65" s="1">
        <f>IFERROR(__xludf.DUMMYFUNCTION("""COMPUTED_VALUE"""),95.0)</f>
        <v>95</v>
      </c>
      <c r="O65" s="1" t="str">
        <f>IFERROR(__xludf.DUMMYFUNCTION("""COMPUTED_VALUE"""),"Pass")</f>
        <v>Pass</v>
      </c>
    </row>
    <row r="66" ht="15.75" customHeight="1">
      <c r="A66" s="1" t="str">
        <f>IFERROR(__xludf.DUMMYFUNCTION("""COMPUTED_VALUE"""),"STD-1302")</f>
        <v>STD-1302</v>
      </c>
      <c r="B66" s="1" t="str">
        <f>IFERROR(__xludf.DUMMYFUNCTION("""COMPUTED_VALUE"""),"Vivaan Nair")</f>
        <v>Vivaan Nair</v>
      </c>
      <c r="C66" s="1" t="str">
        <f>IFERROR(__xludf.DUMMYFUNCTION("""COMPUTED_VALUE"""),"Male")</f>
        <v>Male</v>
      </c>
      <c r="D66" s="1" t="str">
        <f>IFERROR(__xludf.DUMMYFUNCTION("""COMPUTED_VALUE"""),"10")</f>
        <v>10</v>
      </c>
      <c r="E66" s="1" t="str">
        <f>IFERROR(__xludf.DUMMYFUNCTION("""COMPUTED_VALUE"""),"C")</f>
        <v>C</v>
      </c>
      <c r="F66" s="1" t="str">
        <f>IFERROR(__xludf.DUMMYFUNCTION("""COMPUTED_VALUE"""),"Jaipur")</f>
        <v>Jaipur</v>
      </c>
      <c r="G66" s="1">
        <f>IFERROR(__xludf.DUMMYFUNCTION("""COMPUTED_VALUE"""),97.0)</f>
        <v>97</v>
      </c>
      <c r="H66" s="1">
        <f>IFERROR(__xludf.DUMMYFUNCTION("""COMPUTED_VALUE"""),52.0)</f>
        <v>52</v>
      </c>
      <c r="I66" s="1">
        <f>IFERROR(__xludf.DUMMYFUNCTION("""COMPUTED_VALUE"""),98.0)</f>
        <v>98</v>
      </c>
      <c r="J66" s="1">
        <f>IFERROR(__xludf.DUMMYFUNCTION("""COMPUTED_VALUE"""),78.0)</f>
        <v>78</v>
      </c>
      <c r="K66" s="1">
        <f>IFERROR(__xludf.DUMMYFUNCTION("""COMPUTED_VALUE"""),63.0)</f>
        <v>63</v>
      </c>
      <c r="L66" s="1">
        <f>IFERROR(__xludf.DUMMYFUNCTION("""COMPUTED_VALUE"""),388.0)</f>
        <v>388</v>
      </c>
      <c r="M66" s="1">
        <f>IFERROR(__xludf.DUMMYFUNCTION("""COMPUTED_VALUE"""),77.6)</f>
        <v>77.6</v>
      </c>
      <c r="N66" s="1">
        <f>IFERROR(__xludf.DUMMYFUNCTION("""COMPUTED_VALUE"""),70.0)</f>
        <v>70</v>
      </c>
      <c r="O66" s="1" t="str">
        <f>IFERROR(__xludf.DUMMYFUNCTION("""COMPUTED_VALUE"""),"Pass")</f>
        <v>Pass</v>
      </c>
    </row>
    <row r="67" ht="15.75" customHeight="1">
      <c r="A67" s="1" t="str">
        <f>IFERROR(__xludf.DUMMYFUNCTION("""COMPUTED_VALUE"""),"STD-1304")</f>
        <v>STD-1304</v>
      </c>
      <c r="B67" s="1" t="str">
        <f>IFERROR(__xludf.DUMMYFUNCTION("""COMPUTED_VALUE"""),"Rohan Das")</f>
        <v>Rohan Das</v>
      </c>
      <c r="C67" s="1" t="str">
        <f>IFERROR(__xludf.DUMMYFUNCTION("""COMPUTED_VALUE"""),"Female")</f>
        <v>Female</v>
      </c>
      <c r="D67" s="1" t="str">
        <f>IFERROR(__xludf.DUMMYFUNCTION("""COMPUTED_VALUE"""),"10")</f>
        <v>10</v>
      </c>
      <c r="E67" s="1" t="str">
        <f>IFERROR(__xludf.DUMMYFUNCTION("""COMPUTED_VALUE"""),"A")</f>
        <v>A</v>
      </c>
      <c r="F67" s="1" t="str">
        <f>IFERROR(__xludf.DUMMYFUNCTION("""COMPUTED_VALUE"""),"Jaipur")</f>
        <v>Jaipur</v>
      </c>
      <c r="G67" s="1">
        <f>IFERROR(__xludf.DUMMYFUNCTION("""COMPUTED_VALUE"""),53.0)</f>
        <v>53</v>
      </c>
      <c r="H67" s="1">
        <f>IFERROR(__xludf.DUMMYFUNCTION("""COMPUTED_VALUE"""),90.0)</f>
        <v>90</v>
      </c>
      <c r="I67" s="1">
        <f>IFERROR(__xludf.DUMMYFUNCTION("""COMPUTED_VALUE"""),91.0)</f>
        <v>91</v>
      </c>
      <c r="J67" s="1">
        <f>IFERROR(__xludf.DUMMYFUNCTION("""COMPUTED_VALUE"""),94.0)</f>
        <v>94</v>
      </c>
      <c r="K67" s="1">
        <f>IFERROR(__xludf.DUMMYFUNCTION("""COMPUTED_VALUE"""),80.0)</f>
        <v>80</v>
      </c>
      <c r="L67" s="1">
        <f>IFERROR(__xludf.DUMMYFUNCTION("""COMPUTED_VALUE"""),408.0)</f>
        <v>408</v>
      </c>
      <c r="M67" s="1">
        <f>IFERROR(__xludf.DUMMYFUNCTION("""COMPUTED_VALUE"""),81.6)</f>
        <v>81.6</v>
      </c>
      <c r="N67" s="1">
        <f>IFERROR(__xludf.DUMMYFUNCTION("""COMPUTED_VALUE"""),86.0)</f>
        <v>86</v>
      </c>
      <c r="O67" s="1" t="str">
        <f>IFERROR(__xludf.DUMMYFUNCTION("""COMPUTED_VALUE"""),"Pass")</f>
        <v>Pass</v>
      </c>
    </row>
    <row r="68" ht="15.75" customHeight="1">
      <c r="A68" s="1" t="str">
        <f>IFERROR(__xludf.DUMMYFUNCTION("""COMPUTED_VALUE"""),"STD-1310")</f>
        <v>STD-1310</v>
      </c>
      <c r="B68" s="1" t="str">
        <f>IFERROR(__xludf.DUMMYFUNCTION("""COMPUTED_VALUE"""),"Karan Das")</f>
        <v>Karan Das</v>
      </c>
      <c r="C68" s="1" t="str">
        <f>IFERROR(__xludf.DUMMYFUNCTION("""COMPUTED_VALUE"""),"Male")</f>
        <v>Male</v>
      </c>
      <c r="D68" s="1" t="str">
        <f>IFERROR(__xludf.DUMMYFUNCTION("""COMPUTED_VALUE"""),"10")</f>
        <v>10</v>
      </c>
      <c r="E68" s="1" t="str">
        <f>IFERROR(__xludf.DUMMYFUNCTION("""COMPUTED_VALUE"""),"A")</f>
        <v>A</v>
      </c>
      <c r="F68" s="1" t="str">
        <f>IFERROR(__xludf.DUMMYFUNCTION("""COMPUTED_VALUE"""),"Chandigarh")</f>
        <v>Chandigarh</v>
      </c>
      <c r="G68" s="1">
        <f>IFERROR(__xludf.DUMMYFUNCTION("""COMPUTED_VALUE"""),71.0)</f>
        <v>71</v>
      </c>
      <c r="H68" s="1">
        <f>IFERROR(__xludf.DUMMYFUNCTION("""COMPUTED_VALUE"""),97.0)</f>
        <v>97</v>
      </c>
      <c r="I68" s="1">
        <f>IFERROR(__xludf.DUMMYFUNCTION("""COMPUTED_VALUE"""),89.0)</f>
        <v>89</v>
      </c>
      <c r="J68" s="1">
        <f>IFERROR(__xludf.DUMMYFUNCTION("""COMPUTED_VALUE"""),60.0)</f>
        <v>60</v>
      </c>
      <c r="K68" s="1">
        <f>IFERROR(__xludf.DUMMYFUNCTION("""COMPUTED_VALUE"""),84.0)</f>
        <v>84</v>
      </c>
      <c r="L68" s="1">
        <f>IFERROR(__xludf.DUMMYFUNCTION("""COMPUTED_VALUE"""),401.0)</f>
        <v>401</v>
      </c>
      <c r="M68" s="1">
        <f>IFERROR(__xludf.DUMMYFUNCTION("""COMPUTED_VALUE"""),80.2)</f>
        <v>80.2</v>
      </c>
      <c r="N68" s="1">
        <f>IFERROR(__xludf.DUMMYFUNCTION("""COMPUTED_VALUE"""),68.0)</f>
        <v>68</v>
      </c>
      <c r="O68" s="1" t="str">
        <f>IFERROR(__xludf.DUMMYFUNCTION("""COMPUTED_VALUE"""),"Pass")</f>
        <v>Pass</v>
      </c>
    </row>
    <row r="69" ht="15.75" customHeight="1">
      <c r="A69" s="1" t="str">
        <f>IFERROR(__xludf.DUMMYFUNCTION("""COMPUTED_VALUE"""),"STD-1314")</f>
        <v>STD-1314</v>
      </c>
      <c r="B69" s="1" t="str">
        <f>IFERROR(__xludf.DUMMYFUNCTION("""COMPUTED_VALUE"""),"Sai Das")</f>
        <v>Sai Das</v>
      </c>
      <c r="C69" s="1" t="str">
        <f>IFERROR(__xludf.DUMMYFUNCTION("""COMPUTED_VALUE"""),"Female")</f>
        <v>Female</v>
      </c>
      <c r="D69" s="1" t="str">
        <f>IFERROR(__xludf.DUMMYFUNCTION("""COMPUTED_VALUE"""),"10")</f>
        <v>10</v>
      </c>
      <c r="E69" s="1" t="str">
        <f>IFERROR(__xludf.DUMMYFUNCTION("""COMPUTED_VALUE"""),"C")</f>
        <v>C</v>
      </c>
      <c r="F69" s="1" t="str">
        <f>IFERROR(__xludf.DUMMYFUNCTION("""COMPUTED_VALUE"""),"Bhopal")</f>
        <v>Bhopal</v>
      </c>
      <c r="G69" s="1">
        <f>IFERROR(__xludf.DUMMYFUNCTION("""COMPUTED_VALUE"""),80.0)</f>
        <v>80</v>
      </c>
      <c r="H69" s="1">
        <f>IFERROR(__xludf.DUMMYFUNCTION("""COMPUTED_VALUE"""),96.0)</f>
        <v>96</v>
      </c>
      <c r="I69" s="1">
        <f>IFERROR(__xludf.DUMMYFUNCTION("""COMPUTED_VALUE"""),49.0)</f>
        <v>49</v>
      </c>
      <c r="J69" s="1">
        <f>IFERROR(__xludf.DUMMYFUNCTION("""COMPUTED_VALUE"""),98.0)</f>
        <v>98</v>
      </c>
      <c r="K69" s="1">
        <f>IFERROR(__xludf.DUMMYFUNCTION("""COMPUTED_VALUE"""),97.0)</f>
        <v>97</v>
      </c>
      <c r="L69" s="1">
        <f>IFERROR(__xludf.DUMMYFUNCTION("""COMPUTED_VALUE"""),420.0)</f>
        <v>420</v>
      </c>
      <c r="M69" s="1">
        <f>IFERROR(__xludf.DUMMYFUNCTION("""COMPUTED_VALUE"""),84.0)</f>
        <v>84</v>
      </c>
      <c r="N69" s="1">
        <f>IFERROR(__xludf.DUMMYFUNCTION("""COMPUTED_VALUE"""),85.0)</f>
        <v>85</v>
      </c>
      <c r="O69" s="1" t="str">
        <f>IFERROR(__xludf.DUMMYFUNCTION("""COMPUTED_VALUE"""),"Pass")</f>
        <v>Pass</v>
      </c>
    </row>
    <row r="70" ht="15.75" customHeight="1">
      <c r="A70" s="1" t="str">
        <f>IFERROR(__xludf.DUMMYFUNCTION("""COMPUTED_VALUE"""),"STD-1318")</f>
        <v>STD-1318</v>
      </c>
      <c r="B70" s="1" t="str">
        <f>IFERROR(__xludf.DUMMYFUNCTION("""COMPUTED_VALUE"""),"Vivaan Yadav")</f>
        <v>Vivaan Yadav</v>
      </c>
      <c r="C70" s="1" t="str">
        <f>IFERROR(__xludf.DUMMYFUNCTION("""COMPUTED_VALUE"""),"Female")</f>
        <v>Female</v>
      </c>
      <c r="D70" s="1" t="str">
        <f>IFERROR(__xludf.DUMMYFUNCTION("""COMPUTED_VALUE"""),"10")</f>
        <v>10</v>
      </c>
      <c r="E70" s="1" t="str">
        <f>IFERROR(__xludf.DUMMYFUNCTION("""COMPUTED_VALUE"""),"A")</f>
        <v>A</v>
      </c>
      <c r="F70" s="1" t="str">
        <f>IFERROR(__xludf.DUMMYFUNCTION("""COMPUTED_VALUE"""),"Chandigarh")</f>
        <v>Chandigarh</v>
      </c>
      <c r="G70" s="1">
        <f>IFERROR(__xludf.DUMMYFUNCTION("""COMPUTED_VALUE"""),71.0)</f>
        <v>71</v>
      </c>
      <c r="H70" s="1">
        <f>IFERROR(__xludf.DUMMYFUNCTION("""COMPUTED_VALUE"""),71.0)</f>
        <v>71</v>
      </c>
      <c r="I70" s="1">
        <f>IFERROR(__xludf.DUMMYFUNCTION("""COMPUTED_VALUE"""),83.0)</f>
        <v>83</v>
      </c>
      <c r="J70" s="1">
        <f>IFERROR(__xludf.DUMMYFUNCTION("""COMPUTED_VALUE"""),61.0)</f>
        <v>61</v>
      </c>
      <c r="K70" s="1">
        <f>IFERROR(__xludf.DUMMYFUNCTION("""COMPUTED_VALUE"""),52.0)</f>
        <v>52</v>
      </c>
      <c r="L70" s="1">
        <f>IFERROR(__xludf.DUMMYFUNCTION("""COMPUTED_VALUE"""),338.0)</f>
        <v>338</v>
      </c>
      <c r="M70" s="1">
        <f>IFERROR(__xludf.DUMMYFUNCTION("""COMPUTED_VALUE"""),67.6)</f>
        <v>67.6</v>
      </c>
      <c r="N70" s="1">
        <f>IFERROR(__xludf.DUMMYFUNCTION("""COMPUTED_VALUE"""),82.0)</f>
        <v>82</v>
      </c>
      <c r="O70" s="1" t="str">
        <f>IFERROR(__xludf.DUMMYFUNCTION("""COMPUTED_VALUE"""),"Pass")</f>
        <v>Pass</v>
      </c>
    </row>
    <row r="71" ht="15.75" customHeight="1">
      <c r="A71" s="1" t="str">
        <f>IFERROR(__xludf.DUMMYFUNCTION("""COMPUTED_VALUE"""),"STD-1319")</f>
        <v>STD-1319</v>
      </c>
      <c r="B71" s="1" t="str">
        <f>IFERROR(__xludf.DUMMYFUNCTION("""COMPUTED_VALUE"""),"Ritika Choudhary")</f>
        <v>Ritika Choudhary</v>
      </c>
      <c r="C71" s="1" t="str">
        <f>IFERROR(__xludf.DUMMYFUNCTION("""COMPUTED_VALUE"""),"Female")</f>
        <v>Female</v>
      </c>
      <c r="D71" s="1" t="str">
        <f>IFERROR(__xludf.DUMMYFUNCTION("""COMPUTED_VALUE"""),"10")</f>
        <v>10</v>
      </c>
      <c r="E71" s="1" t="str">
        <f>IFERROR(__xludf.DUMMYFUNCTION("""COMPUTED_VALUE"""),"C")</f>
        <v>C</v>
      </c>
      <c r="F71" s="1" t="str">
        <f>IFERROR(__xludf.DUMMYFUNCTION("""COMPUTED_VALUE"""),"Chandigarh")</f>
        <v>Chandigarh</v>
      </c>
      <c r="G71" s="1">
        <f>IFERROR(__xludf.DUMMYFUNCTION("""COMPUTED_VALUE"""),43.0)</f>
        <v>43</v>
      </c>
      <c r="H71" s="1">
        <f>IFERROR(__xludf.DUMMYFUNCTION("""COMPUTED_VALUE"""),91.0)</f>
        <v>91</v>
      </c>
      <c r="I71" s="1">
        <f>IFERROR(__xludf.DUMMYFUNCTION("""COMPUTED_VALUE"""),70.0)</f>
        <v>70</v>
      </c>
      <c r="J71" s="1">
        <f>IFERROR(__xludf.DUMMYFUNCTION("""COMPUTED_VALUE"""),69.0)</f>
        <v>69</v>
      </c>
      <c r="K71" s="1">
        <f>IFERROR(__xludf.DUMMYFUNCTION("""COMPUTED_VALUE"""),93.0)</f>
        <v>93</v>
      </c>
      <c r="L71" s="1">
        <f>IFERROR(__xludf.DUMMYFUNCTION("""COMPUTED_VALUE"""),366.0)</f>
        <v>366</v>
      </c>
      <c r="M71" s="1">
        <f>IFERROR(__xludf.DUMMYFUNCTION("""COMPUTED_VALUE"""),73.2)</f>
        <v>73.2</v>
      </c>
      <c r="N71" s="1">
        <f>IFERROR(__xludf.DUMMYFUNCTION("""COMPUTED_VALUE"""),90.0)</f>
        <v>90</v>
      </c>
      <c r="O71" s="1" t="str">
        <f>IFERROR(__xludf.DUMMYFUNCTION("""COMPUTED_VALUE"""),"Pass")</f>
        <v>Pass</v>
      </c>
    </row>
    <row r="72" ht="15.75" customHeight="1">
      <c r="A72" s="1" t="str">
        <f>IFERROR(__xludf.DUMMYFUNCTION("""COMPUTED_VALUE"""),"STD-1331")</f>
        <v>STD-1331</v>
      </c>
      <c r="B72" s="1" t="str">
        <f>IFERROR(__xludf.DUMMYFUNCTION("""COMPUTED_VALUE"""),"Arjun Verma")</f>
        <v>Arjun Verma</v>
      </c>
      <c r="C72" s="1" t="str">
        <f>IFERROR(__xludf.DUMMYFUNCTION("""COMPUTED_VALUE"""),"Female")</f>
        <v>Female</v>
      </c>
      <c r="D72" s="1" t="str">
        <f>IFERROR(__xludf.DUMMYFUNCTION("""COMPUTED_VALUE"""),"10")</f>
        <v>10</v>
      </c>
      <c r="E72" s="1" t="str">
        <f>IFERROR(__xludf.DUMMYFUNCTION("""COMPUTED_VALUE"""),"C")</f>
        <v>C</v>
      </c>
      <c r="F72" s="1" t="str">
        <f>IFERROR(__xludf.DUMMYFUNCTION("""COMPUTED_VALUE"""),"Lucknow")</f>
        <v>Lucknow</v>
      </c>
      <c r="G72" s="1">
        <f>IFERROR(__xludf.DUMMYFUNCTION("""COMPUTED_VALUE"""),72.0)</f>
        <v>72</v>
      </c>
      <c r="H72" s="1">
        <f>IFERROR(__xludf.DUMMYFUNCTION("""COMPUTED_VALUE"""),58.0)</f>
        <v>58</v>
      </c>
      <c r="I72" s="1">
        <f>IFERROR(__xludf.DUMMYFUNCTION("""COMPUTED_VALUE"""),62.0)</f>
        <v>62</v>
      </c>
      <c r="J72" s="1">
        <f>IFERROR(__xludf.DUMMYFUNCTION("""COMPUTED_VALUE"""),44.0)</f>
        <v>44</v>
      </c>
      <c r="K72" s="1">
        <f>IFERROR(__xludf.DUMMYFUNCTION("""COMPUTED_VALUE"""),57.0)</f>
        <v>57</v>
      </c>
      <c r="L72" s="1">
        <f>IFERROR(__xludf.DUMMYFUNCTION("""COMPUTED_VALUE"""),293.0)</f>
        <v>293</v>
      </c>
      <c r="M72" s="1">
        <f>IFERROR(__xludf.DUMMYFUNCTION("""COMPUTED_VALUE"""),58.6)</f>
        <v>58.6</v>
      </c>
      <c r="N72" s="1">
        <f>IFERROR(__xludf.DUMMYFUNCTION("""COMPUTED_VALUE"""),80.0)</f>
        <v>80</v>
      </c>
      <c r="O72" s="1" t="str">
        <f>IFERROR(__xludf.DUMMYFUNCTION("""COMPUTED_VALUE"""),"Pass")</f>
        <v>Pass</v>
      </c>
    </row>
    <row r="73" ht="15.75" customHeight="1">
      <c r="A73" s="1" t="str">
        <f>IFERROR(__xludf.DUMMYFUNCTION("""COMPUTED_VALUE"""),"STD-1333")</f>
        <v>STD-1333</v>
      </c>
      <c r="B73" s="1" t="str">
        <f>IFERROR(__xludf.DUMMYFUNCTION("""COMPUTED_VALUE"""),"Kavya Gupta")</f>
        <v>Kavya Gupta</v>
      </c>
      <c r="C73" s="1" t="str">
        <f>IFERROR(__xludf.DUMMYFUNCTION("""COMPUTED_VALUE"""),"Female")</f>
        <v>Female</v>
      </c>
      <c r="D73" s="1" t="str">
        <f>IFERROR(__xludf.DUMMYFUNCTION("""COMPUTED_VALUE"""),"10")</f>
        <v>10</v>
      </c>
      <c r="E73" s="1" t="str">
        <f>IFERROR(__xludf.DUMMYFUNCTION("""COMPUTED_VALUE"""),"C")</f>
        <v>C</v>
      </c>
      <c r="F73" s="1" t="str">
        <f>IFERROR(__xludf.DUMMYFUNCTION("""COMPUTED_VALUE"""),"Mumbai")</f>
        <v>Mumbai</v>
      </c>
      <c r="G73" s="1">
        <f>IFERROR(__xludf.DUMMYFUNCTION("""COMPUTED_VALUE"""),45.0)</f>
        <v>45</v>
      </c>
      <c r="H73" s="1">
        <f>IFERROR(__xludf.DUMMYFUNCTION("""COMPUTED_VALUE"""),47.0)</f>
        <v>47</v>
      </c>
      <c r="I73" s="1">
        <f>IFERROR(__xludf.DUMMYFUNCTION("""COMPUTED_VALUE"""),93.0)</f>
        <v>93</v>
      </c>
      <c r="J73" s="1">
        <f>IFERROR(__xludf.DUMMYFUNCTION("""COMPUTED_VALUE"""),50.0)</f>
        <v>50</v>
      </c>
      <c r="K73" s="1">
        <f>IFERROR(__xludf.DUMMYFUNCTION("""COMPUTED_VALUE"""),82.0)</f>
        <v>82</v>
      </c>
      <c r="L73" s="1">
        <f>IFERROR(__xludf.DUMMYFUNCTION("""COMPUTED_VALUE"""),317.0)</f>
        <v>317</v>
      </c>
      <c r="M73" s="1">
        <f>IFERROR(__xludf.DUMMYFUNCTION("""COMPUTED_VALUE"""),63.4)</f>
        <v>63.4</v>
      </c>
      <c r="N73" s="1">
        <f>IFERROR(__xludf.DUMMYFUNCTION("""COMPUTED_VALUE"""),99.0)</f>
        <v>99</v>
      </c>
      <c r="O73" s="1" t="str">
        <f>IFERROR(__xludf.DUMMYFUNCTION("""COMPUTED_VALUE"""),"Pass")</f>
        <v>Pass</v>
      </c>
    </row>
    <row r="74" ht="15.75" customHeight="1">
      <c r="A74" s="1" t="str">
        <f>IFERROR(__xludf.DUMMYFUNCTION("""COMPUTED_VALUE"""),"STD-1334")</f>
        <v>STD-1334</v>
      </c>
      <c r="B74" s="1" t="str">
        <f>IFERROR(__xludf.DUMMYFUNCTION("""COMPUTED_VALUE"""),"Shreya Choudhary")</f>
        <v>Shreya Choudhary</v>
      </c>
      <c r="C74" s="1" t="str">
        <f>IFERROR(__xludf.DUMMYFUNCTION("""COMPUTED_VALUE"""),"Male")</f>
        <v>Male</v>
      </c>
      <c r="D74" s="1" t="str">
        <f>IFERROR(__xludf.DUMMYFUNCTION("""COMPUTED_VALUE"""),"10")</f>
        <v>10</v>
      </c>
      <c r="E74" s="1" t="str">
        <f>IFERROR(__xludf.DUMMYFUNCTION("""COMPUTED_VALUE"""),"C")</f>
        <v>C</v>
      </c>
      <c r="F74" s="1" t="str">
        <f>IFERROR(__xludf.DUMMYFUNCTION("""COMPUTED_VALUE"""),"Bhopal")</f>
        <v>Bhopal</v>
      </c>
      <c r="G74" s="1">
        <f>IFERROR(__xludf.DUMMYFUNCTION("""COMPUTED_VALUE"""),84.0)</f>
        <v>84</v>
      </c>
      <c r="H74" s="1">
        <f>IFERROR(__xludf.DUMMYFUNCTION("""COMPUTED_VALUE"""),85.0)</f>
        <v>85</v>
      </c>
      <c r="I74" s="1">
        <f>IFERROR(__xludf.DUMMYFUNCTION("""COMPUTED_VALUE"""),48.0)</f>
        <v>48</v>
      </c>
      <c r="J74" s="1">
        <f>IFERROR(__xludf.DUMMYFUNCTION("""COMPUTED_VALUE"""),72.0)</f>
        <v>72</v>
      </c>
      <c r="K74" s="1">
        <f>IFERROR(__xludf.DUMMYFUNCTION("""COMPUTED_VALUE"""),90.0)</f>
        <v>90</v>
      </c>
      <c r="L74" s="1">
        <f>IFERROR(__xludf.DUMMYFUNCTION("""COMPUTED_VALUE"""),379.0)</f>
        <v>379</v>
      </c>
      <c r="M74" s="1">
        <f>IFERROR(__xludf.DUMMYFUNCTION("""COMPUTED_VALUE"""),75.8)</f>
        <v>75.8</v>
      </c>
      <c r="N74" s="1">
        <f>IFERROR(__xludf.DUMMYFUNCTION("""COMPUTED_VALUE"""),81.0)</f>
        <v>81</v>
      </c>
      <c r="O74" s="1" t="str">
        <f>IFERROR(__xludf.DUMMYFUNCTION("""COMPUTED_VALUE"""),"Pass")</f>
        <v>Pass</v>
      </c>
    </row>
    <row r="75" ht="15.75" customHeight="1">
      <c r="A75" s="1" t="str">
        <f>IFERROR(__xludf.DUMMYFUNCTION("""COMPUTED_VALUE"""),"STD-1335")</f>
        <v>STD-1335</v>
      </c>
      <c r="B75" s="1" t="str">
        <f>IFERROR(__xludf.DUMMYFUNCTION("""COMPUTED_VALUE"""),"Shreya Iyer")</f>
        <v>Shreya Iyer</v>
      </c>
      <c r="C75" s="1" t="str">
        <f>IFERROR(__xludf.DUMMYFUNCTION("""COMPUTED_VALUE"""),"Female")</f>
        <v>Female</v>
      </c>
      <c r="D75" s="1" t="str">
        <f>IFERROR(__xludf.DUMMYFUNCTION("""COMPUTED_VALUE"""),"10")</f>
        <v>10</v>
      </c>
      <c r="E75" s="1" t="str">
        <f>IFERROR(__xludf.DUMMYFUNCTION("""COMPUTED_VALUE"""),"C")</f>
        <v>C</v>
      </c>
      <c r="F75" s="1" t="str">
        <f>IFERROR(__xludf.DUMMYFUNCTION("""COMPUTED_VALUE"""),"Jaipur")</f>
        <v>Jaipur</v>
      </c>
      <c r="G75" s="1">
        <f>IFERROR(__xludf.DUMMYFUNCTION("""COMPUTED_VALUE"""),71.0)</f>
        <v>71</v>
      </c>
      <c r="H75" s="1">
        <f>IFERROR(__xludf.DUMMYFUNCTION("""COMPUTED_VALUE"""),42.0)</f>
        <v>42</v>
      </c>
      <c r="I75" s="1">
        <f>IFERROR(__xludf.DUMMYFUNCTION("""COMPUTED_VALUE"""),85.0)</f>
        <v>85</v>
      </c>
      <c r="J75" s="1">
        <f>IFERROR(__xludf.DUMMYFUNCTION("""COMPUTED_VALUE"""),81.0)</f>
        <v>81</v>
      </c>
      <c r="K75" s="1">
        <f>IFERROR(__xludf.DUMMYFUNCTION("""COMPUTED_VALUE"""),66.0)</f>
        <v>66</v>
      </c>
      <c r="L75" s="1">
        <f>IFERROR(__xludf.DUMMYFUNCTION("""COMPUTED_VALUE"""),345.0)</f>
        <v>345</v>
      </c>
      <c r="M75" s="1">
        <f>IFERROR(__xludf.DUMMYFUNCTION("""COMPUTED_VALUE"""),69.0)</f>
        <v>69</v>
      </c>
      <c r="N75" s="1">
        <f>IFERROR(__xludf.DUMMYFUNCTION("""COMPUTED_VALUE"""),100.0)</f>
        <v>100</v>
      </c>
      <c r="O75" s="1" t="str">
        <f>IFERROR(__xludf.DUMMYFUNCTION("""COMPUTED_VALUE"""),"Pass")</f>
        <v>Pass</v>
      </c>
    </row>
    <row r="76" ht="15.75" customHeight="1">
      <c r="A76" s="1" t="str">
        <f>IFERROR(__xludf.DUMMYFUNCTION("""COMPUTED_VALUE"""),"STD-1337")</f>
        <v>STD-1337</v>
      </c>
      <c r="B76" s="1" t="str">
        <f>IFERROR(__xludf.DUMMYFUNCTION("""COMPUTED_VALUE"""),"Shreya Singh")</f>
        <v>Shreya Singh</v>
      </c>
      <c r="C76" s="1" t="str">
        <f>IFERROR(__xludf.DUMMYFUNCTION("""COMPUTED_VALUE"""),"Female")</f>
        <v>Female</v>
      </c>
      <c r="D76" s="1" t="str">
        <f>IFERROR(__xludf.DUMMYFUNCTION("""COMPUTED_VALUE"""),"10")</f>
        <v>10</v>
      </c>
      <c r="E76" s="1" t="str">
        <f>IFERROR(__xludf.DUMMYFUNCTION("""COMPUTED_VALUE"""),"B")</f>
        <v>B</v>
      </c>
      <c r="F76" s="1" t="str">
        <f>IFERROR(__xludf.DUMMYFUNCTION("""COMPUTED_VALUE"""),"Chandigarh")</f>
        <v>Chandigarh</v>
      </c>
      <c r="G76" s="1">
        <f>IFERROR(__xludf.DUMMYFUNCTION("""COMPUTED_VALUE"""),77.0)</f>
        <v>77</v>
      </c>
      <c r="H76" s="1">
        <f>IFERROR(__xludf.DUMMYFUNCTION("""COMPUTED_VALUE"""),55.0)</f>
        <v>55</v>
      </c>
      <c r="I76" s="1">
        <f>IFERROR(__xludf.DUMMYFUNCTION("""COMPUTED_VALUE"""),78.0)</f>
        <v>78</v>
      </c>
      <c r="J76" s="1">
        <f>IFERROR(__xludf.DUMMYFUNCTION("""COMPUTED_VALUE"""),74.0)</f>
        <v>74</v>
      </c>
      <c r="K76" s="1">
        <f>IFERROR(__xludf.DUMMYFUNCTION("""COMPUTED_VALUE"""),90.0)</f>
        <v>90</v>
      </c>
      <c r="L76" s="1">
        <f>IFERROR(__xludf.DUMMYFUNCTION("""COMPUTED_VALUE"""),374.0)</f>
        <v>374</v>
      </c>
      <c r="M76" s="1">
        <f>IFERROR(__xludf.DUMMYFUNCTION("""COMPUTED_VALUE"""),74.8)</f>
        <v>74.8</v>
      </c>
      <c r="N76" s="1">
        <f>IFERROR(__xludf.DUMMYFUNCTION("""COMPUTED_VALUE"""),62.0)</f>
        <v>62</v>
      </c>
      <c r="O76" s="1" t="str">
        <f>IFERROR(__xludf.DUMMYFUNCTION("""COMPUTED_VALUE"""),"Pass")</f>
        <v>Pass</v>
      </c>
    </row>
    <row r="77" ht="15.75" customHeight="1">
      <c r="A77" s="1" t="str">
        <f>IFERROR(__xludf.DUMMYFUNCTION("""COMPUTED_VALUE"""),"STD-1340")</f>
        <v>STD-1340</v>
      </c>
      <c r="B77" s="1" t="str">
        <f>IFERROR(__xludf.DUMMYFUNCTION("""COMPUTED_VALUE"""),"Vivaan Patel")</f>
        <v>Vivaan Patel</v>
      </c>
      <c r="C77" s="1" t="str">
        <f>IFERROR(__xludf.DUMMYFUNCTION("""COMPUTED_VALUE"""),"Female")</f>
        <v>Female</v>
      </c>
      <c r="D77" s="1" t="str">
        <f>IFERROR(__xludf.DUMMYFUNCTION("""COMPUTED_VALUE"""),"10")</f>
        <v>10</v>
      </c>
      <c r="E77" s="1" t="str">
        <f>IFERROR(__xludf.DUMMYFUNCTION("""COMPUTED_VALUE"""),"C")</f>
        <v>C</v>
      </c>
      <c r="F77" s="1" t="str">
        <f>IFERROR(__xludf.DUMMYFUNCTION("""COMPUTED_VALUE"""),"Mumbai")</f>
        <v>Mumbai</v>
      </c>
      <c r="G77" s="1">
        <f>IFERROR(__xludf.DUMMYFUNCTION("""COMPUTED_VALUE"""),82.0)</f>
        <v>82</v>
      </c>
      <c r="H77" s="1">
        <f>IFERROR(__xludf.DUMMYFUNCTION("""COMPUTED_VALUE"""),44.0)</f>
        <v>44</v>
      </c>
      <c r="I77" s="1">
        <f>IFERROR(__xludf.DUMMYFUNCTION("""COMPUTED_VALUE"""),50.0)</f>
        <v>50</v>
      </c>
      <c r="J77" s="1">
        <f>IFERROR(__xludf.DUMMYFUNCTION("""COMPUTED_VALUE"""),48.0)</f>
        <v>48</v>
      </c>
      <c r="K77" s="1">
        <f>IFERROR(__xludf.DUMMYFUNCTION("""COMPUTED_VALUE"""),92.0)</f>
        <v>92</v>
      </c>
      <c r="L77" s="1">
        <f>IFERROR(__xludf.DUMMYFUNCTION("""COMPUTED_VALUE"""),316.0)</f>
        <v>316</v>
      </c>
      <c r="M77" s="1">
        <f>IFERROR(__xludf.DUMMYFUNCTION("""COMPUTED_VALUE"""),63.2)</f>
        <v>63.2</v>
      </c>
      <c r="N77" s="1">
        <f>IFERROR(__xludf.DUMMYFUNCTION("""COMPUTED_VALUE"""),89.0)</f>
        <v>89</v>
      </c>
      <c r="O77" s="1" t="str">
        <f>IFERROR(__xludf.DUMMYFUNCTION("""COMPUTED_VALUE"""),"Pass")</f>
        <v>Pass</v>
      </c>
    </row>
    <row r="78" ht="15.75" customHeight="1">
      <c r="A78" s="1" t="str">
        <f>IFERROR(__xludf.DUMMYFUNCTION("""COMPUTED_VALUE"""),"STD-1341")</f>
        <v>STD-1341</v>
      </c>
      <c r="B78" s="1" t="str">
        <f>IFERROR(__xludf.DUMMYFUNCTION("""COMPUTED_VALUE"""),"Priya Choudhary")</f>
        <v>Priya Choudhary</v>
      </c>
      <c r="C78" s="1" t="str">
        <f>IFERROR(__xludf.DUMMYFUNCTION("""COMPUTED_VALUE"""),"Male")</f>
        <v>Male</v>
      </c>
      <c r="D78" s="1" t="str">
        <f>IFERROR(__xludf.DUMMYFUNCTION("""COMPUTED_VALUE"""),"10")</f>
        <v>10</v>
      </c>
      <c r="E78" s="1" t="str">
        <f>IFERROR(__xludf.DUMMYFUNCTION("""COMPUTED_VALUE"""),"A")</f>
        <v>A</v>
      </c>
      <c r="F78" s="1" t="str">
        <f>IFERROR(__xludf.DUMMYFUNCTION("""COMPUTED_VALUE"""),"Delhi")</f>
        <v>Delhi</v>
      </c>
      <c r="G78" s="1">
        <f>IFERROR(__xludf.DUMMYFUNCTION("""COMPUTED_VALUE"""),67.0)</f>
        <v>67</v>
      </c>
      <c r="H78" s="1">
        <f>IFERROR(__xludf.DUMMYFUNCTION("""COMPUTED_VALUE"""),85.0)</f>
        <v>85</v>
      </c>
      <c r="I78" s="1">
        <f>IFERROR(__xludf.DUMMYFUNCTION("""COMPUTED_VALUE"""),96.0)</f>
        <v>96</v>
      </c>
      <c r="J78" s="1">
        <f>IFERROR(__xludf.DUMMYFUNCTION("""COMPUTED_VALUE"""),69.0)</f>
        <v>69</v>
      </c>
      <c r="K78" s="1">
        <f>IFERROR(__xludf.DUMMYFUNCTION("""COMPUTED_VALUE"""),59.0)</f>
        <v>59</v>
      </c>
      <c r="L78" s="1">
        <f>IFERROR(__xludf.DUMMYFUNCTION("""COMPUTED_VALUE"""),376.0)</f>
        <v>376</v>
      </c>
      <c r="M78" s="1">
        <f>IFERROR(__xludf.DUMMYFUNCTION("""COMPUTED_VALUE"""),75.2)</f>
        <v>75.2</v>
      </c>
      <c r="N78" s="1">
        <f>IFERROR(__xludf.DUMMYFUNCTION("""COMPUTED_VALUE"""),100.0)</f>
        <v>100</v>
      </c>
      <c r="O78" s="1" t="str">
        <f>IFERROR(__xludf.DUMMYFUNCTION("""COMPUTED_VALUE"""),"Pass")</f>
        <v>Pass</v>
      </c>
    </row>
    <row r="79" ht="15.75" customHeight="1">
      <c r="A79" s="1" t="str">
        <f>IFERROR(__xludf.DUMMYFUNCTION("""COMPUTED_VALUE"""),"STD-1343")</f>
        <v>STD-1343</v>
      </c>
      <c r="B79" s="1" t="str">
        <f>IFERROR(__xludf.DUMMYFUNCTION("""COMPUTED_VALUE"""),"Simran Yadav")</f>
        <v>Simran Yadav</v>
      </c>
      <c r="C79" s="1" t="str">
        <f>IFERROR(__xludf.DUMMYFUNCTION("""COMPUTED_VALUE"""),"Female")</f>
        <v>Female</v>
      </c>
      <c r="D79" s="1" t="str">
        <f>IFERROR(__xludf.DUMMYFUNCTION("""COMPUTED_VALUE"""),"10")</f>
        <v>10</v>
      </c>
      <c r="E79" s="1" t="str">
        <f>IFERROR(__xludf.DUMMYFUNCTION("""COMPUTED_VALUE"""),"B")</f>
        <v>B</v>
      </c>
      <c r="F79" s="1" t="str">
        <f>IFERROR(__xludf.DUMMYFUNCTION("""COMPUTED_VALUE"""),"Mumbai")</f>
        <v>Mumbai</v>
      </c>
      <c r="G79" s="1">
        <f>IFERROR(__xludf.DUMMYFUNCTION("""COMPUTED_VALUE"""),79.0)</f>
        <v>79</v>
      </c>
      <c r="H79" s="1">
        <f>IFERROR(__xludf.DUMMYFUNCTION("""COMPUTED_VALUE"""),52.0)</f>
        <v>52</v>
      </c>
      <c r="I79" s="1">
        <f>IFERROR(__xludf.DUMMYFUNCTION("""COMPUTED_VALUE"""),100.0)</f>
        <v>100</v>
      </c>
      <c r="J79" s="1">
        <f>IFERROR(__xludf.DUMMYFUNCTION("""COMPUTED_VALUE"""),73.0)</f>
        <v>73</v>
      </c>
      <c r="K79" s="1">
        <f>IFERROR(__xludf.DUMMYFUNCTION("""COMPUTED_VALUE"""),49.0)</f>
        <v>49</v>
      </c>
      <c r="L79" s="1">
        <f>IFERROR(__xludf.DUMMYFUNCTION("""COMPUTED_VALUE"""),353.0)</f>
        <v>353</v>
      </c>
      <c r="M79" s="1">
        <f>IFERROR(__xludf.DUMMYFUNCTION("""COMPUTED_VALUE"""),70.6)</f>
        <v>70.6</v>
      </c>
      <c r="N79" s="1">
        <f>IFERROR(__xludf.DUMMYFUNCTION("""COMPUTED_VALUE"""),89.0)</f>
        <v>89</v>
      </c>
      <c r="O79" s="1" t="str">
        <f>IFERROR(__xludf.DUMMYFUNCTION("""COMPUTED_VALUE"""),"Pass")</f>
        <v>Pass</v>
      </c>
    </row>
    <row r="80" ht="15.75" customHeight="1">
      <c r="A80" s="1" t="str">
        <f>IFERROR(__xludf.DUMMYFUNCTION("""COMPUTED_VALUE"""),"STD-1345")</f>
        <v>STD-1345</v>
      </c>
      <c r="B80" s="1" t="str">
        <f>IFERROR(__xludf.DUMMYFUNCTION("""COMPUTED_VALUE"""),"Vivaan Gupta")</f>
        <v>Vivaan Gupta</v>
      </c>
      <c r="C80" s="1" t="str">
        <f>IFERROR(__xludf.DUMMYFUNCTION("""COMPUTED_VALUE"""),"Female")</f>
        <v>Female</v>
      </c>
      <c r="D80" s="1" t="str">
        <f>IFERROR(__xludf.DUMMYFUNCTION("""COMPUTED_VALUE"""),"10")</f>
        <v>10</v>
      </c>
      <c r="E80" s="1" t="str">
        <f>IFERROR(__xludf.DUMMYFUNCTION("""COMPUTED_VALUE"""),"B")</f>
        <v>B</v>
      </c>
      <c r="F80" s="1" t="str">
        <f>IFERROR(__xludf.DUMMYFUNCTION("""COMPUTED_VALUE"""),"Bhopal")</f>
        <v>Bhopal</v>
      </c>
      <c r="G80" s="1">
        <f>IFERROR(__xludf.DUMMYFUNCTION("""COMPUTED_VALUE"""),93.0)</f>
        <v>93</v>
      </c>
      <c r="H80" s="1">
        <f>IFERROR(__xludf.DUMMYFUNCTION("""COMPUTED_VALUE"""),45.0)</f>
        <v>45</v>
      </c>
      <c r="I80" s="1">
        <f>IFERROR(__xludf.DUMMYFUNCTION("""COMPUTED_VALUE"""),88.0)</f>
        <v>88</v>
      </c>
      <c r="J80" s="1">
        <f>IFERROR(__xludf.DUMMYFUNCTION("""COMPUTED_VALUE"""),77.0)</f>
        <v>77</v>
      </c>
      <c r="K80" s="1">
        <f>IFERROR(__xludf.DUMMYFUNCTION("""COMPUTED_VALUE"""),59.0)</f>
        <v>59</v>
      </c>
      <c r="L80" s="1">
        <f>IFERROR(__xludf.DUMMYFUNCTION("""COMPUTED_VALUE"""),362.0)</f>
        <v>362</v>
      </c>
      <c r="M80" s="1">
        <f>IFERROR(__xludf.DUMMYFUNCTION("""COMPUTED_VALUE"""),72.4)</f>
        <v>72.4</v>
      </c>
      <c r="N80" s="1">
        <f>IFERROR(__xludf.DUMMYFUNCTION("""COMPUTED_VALUE"""),75.0)</f>
        <v>75</v>
      </c>
      <c r="O80" s="1" t="str">
        <f>IFERROR(__xludf.DUMMYFUNCTION("""COMPUTED_VALUE"""),"Pass")</f>
        <v>Pass</v>
      </c>
    </row>
    <row r="81" ht="15.75" customHeight="1">
      <c r="A81" s="1" t="str">
        <f>IFERROR(__xludf.DUMMYFUNCTION("""COMPUTED_VALUE"""),"STD-1346")</f>
        <v>STD-1346</v>
      </c>
      <c r="B81" s="1" t="str">
        <f>IFERROR(__xludf.DUMMYFUNCTION("""COMPUTED_VALUE"""),"Sneha Kaur")</f>
        <v>Sneha Kaur</v>
      </c>
      <c r="C81" s="1" t="str">
        <f>IFERROR(__xludf.DUMMYFUNCTION("""COMPUTED_VALUE"""),"Female")</f>
        <v>Female</v>
      </c>
      <c r="D81" s="1" t="str">
        <f>IFERROR(__xludf.DUMMYFUNCTION("""COMPUTED_VALUE"""),"10")</f>
        <v>10</v>
      </c>
      <c r="E81" s="1" t="str">
        <f>IFERROR(__xludf.DUMMYFUNCTION("""COMPUTED_VALUE"""),"A")</f>
        <v>A</v>
      </c>
      <c r="F81" s="1" t="str">
        <f>IFERROR(__xludf.DUMMYFUNCTION("""COMPUTED_VALUE"""),"Bhopal")</f>
        <v>Bhopal</v>
      </c>
      <c r="G81" s="1">
        <f>IFERROR(__xludf.DUMMYFUNCTION("""COMPUTED_VALUE"""),50.0)</f>
        <v>50</v>
      </c>
      <c r="H81" s="1">
        <f>IFERROR(__xludf.DUMMYFUNCTION("""COMPUTED_VALUE"""),95.0)</f>
        <v>95</v>
      </c>
      <c r="I81" s="1">
        <f>IFERROR(__xludf.DUMMYFUNCTION("""COMPUTED_VALUE"""),42.0)</f>
        <v>42</v>
      </c>
      <c r="J81" s="1">
        <f>IFERROR(__xludf.DUMMYFUNCTION("""COMPUTED_VALUE"""),96.0)</f>
        <v>96</v>
      </c>
      <c r="K81" s="1">
        <f>IFERROR(__xludf.DUMMYFUNCTION("""COMPUTED_VALUE"""),43.0)</f>
        <v>43</v>
      </c>
      <c r="L81" s="1">
        <f>IFERROR(__xludf.DUMMYFUNCTION("""COMPUTED_VALUE"""),326.0)</f>
        <v>326</v>
      </c>
      <c r="M81" s="1">
        <f>IFERROR(__xludf.DUMMYFUNCTION("""COMPUTED_VALUE"""),65.2)</f>
        <v>65.2</v>
      </c>
      <c r="N81" s="1">
        <f>IFERROR(__xludf.DUMMYFUNCTION("""COMPUTED_VALUE"""),88.0)</f>
        <v>88</v>
      </c>
      <c r="O81" s="1" t="str">
        <f>IFERROR(__xludf.DUMMYFUNCTION("""COMPUTED_VALUE"""),"Pass")</f>
        <v>Pass</v>
      </c>
    </row>
    <row r="82" ht="15.75" customHeight="1">
      <c r="A82" s="1" t="str">
        <f>IFERROR(__xludf.DUMMYFUNCTION("""COMPUTED_VALUE"""),"STD-1349")</f>
        <v>STD-1349</v>
      </c>
      <c r="B82" s="1" t="str">
        <f>IFERROR(__xludf.DUMMYFUNCTION("""COMPUTED_VALUE"""),"Sneha Verma")</f>
        <v>Sneha Verma</v>
      </c>
      <c r="C82" s="1" t="str">
        <f>IFERROR(__xludf.DUMMYFUNCTION("""COMPUTED_VALUE"""),"Female")</f>
        <v>Female</v>
      </c>
      <c r="D82" s="1" t="str">
        <f>IFERROR(__xludf.DUMMYFUNCTION("""COMPUTED_VALUE"""),"10")</f>
        <v>10</v>
      </c>
      <c r="E82" s="1" t="str">
        <f>IFERROR(__xludf.DUMMYFUNCTION("""COMPUTED_VALUE"""),"C")</f>
        <v>C</v>
      </c>
      <c r="F82" s="1" t="str">
        <f>IFERROR(__xludf.DUMMYFUNCTION("""COMPUTED_VALUE"""),"Lucknow")</f>
        <v>Lucknow</v>
      </c>
      <c r="G82" s="1">
        <f>IFERROR(__xludf.DUMMYFUNCTION("""COMPUTED_VALUE"""),87.0)</f>
        <v>87</v>
      </c>
      <c r="H82" s="1">
        <f>IFERROR(__xludf.DUMMYFUNCTION("""COMPUTED_VALUE"""),70.0)</f>
        <v>70</v>
      </c>
      <c r="I82" s="1">
        <f>IFERROR(__xludf.DUMMYFUNCTION("""COMPUTED_VALUE"""),67.0)</f>
        <v>67</v>
      </c>
      <c r="J82" s="1">
        <f>IFERROR(__xludf.DUMMYFUNCTION("""COMPUTED_VALUE"""),84.0)</f>
        <v>84</v>
      </c>
      <c r="K82" s="1">
        <f>IFERROR(__xludf.DUMMYFUNCTION("""COMPUTED_VALUE"""),42.0)</f>
        <v>42</v>
      </c>
      <c r="L82" s="1">
        <f>IFERROR(__xludf.DUMMYFUNCTION("""COMPUTED_VALUE"""),350.0)</f>
        <v>350</v>
      </c>
      <c r="M82" s="1">
        <f>IFERROR(__xludf.DUMMYFUNCTION("""COMPUTED_VALUE"""),70.0)</f>
        <v>70</v>
      </c>
      <c r="N82" s="1">
        <f>IFERROR(__xludf.DUMMYFUNCTION("""COMPUTED_VALUE"""),65.0)</f>
        <v>65</v>
      </c>
      <c r="O82" s="1" t="str">
        <f>IFERROR(__xludf.DUMMYFUNCTION("""COMPUTED_VALUE"""),"Pass")</f>
        <v>Pass</v>
      </c>
    </row>
    <row r="83" ht="15.75" customHeight="1">
      <c r="A83" s="1" t="str">
        <f>IFERROR(__xludf.DUMMYFUNCTION("""COMPUTED_VALUE"""),"STD-1351")</f>
        <v>STD-1351</v>
      </c>
      <c r="B83" s="1" t="str">
        <f>IFERROR(__xludf.DUMMYFUNCTION("""COMPUTED_VALUE"""),"Kavya Gupta")</f>
        <v>Kavya Gupta</v>
      </c>
      <c r="C83" s="1" t="str">
        <f>IFERROR(__xludf.DUMMYFUNCTION("""COMPUTED_VALUE"""),"Female")</f>
        <v>Female</v>
      </c>
      <c r="D83" s="1" t="str">
        <f>IFERROR(__xludf.DUMMYFUNCTION("""COMPUTED_VALUE"""),"10")</f>
        <v>10</v>
      </c>
      <c r="E83" s="1" t="str">
        <f>IFERROR(__xludf.DUMMYFUNCTION("""COMPUTED_VALUE"""),"C")</f>
        <v>C</v>
      </c>
      <c r="F83" s="1" t="str">
        <f>IFERROR(__xludf.DUMMYFUNCTION("""COMPUTED_VALUE"""),"Delhi")</f>
        <v>Delhi</v>
      </c>
      <c r="G83" s="1">
        <f>IFERROR(__xludf.DUMMYFUNCTION("""COMPUTED_VALUE"""),50.0)</f>
        <v>50</v>
      </c>
      <c r="H83" s="1">
        <f>IFERROR(__xludf.DUMMYFUNCTION("""COMPUTED_VALUE"""),40.0)</f>
        <v>40</v>
      </c>
      <c r="I83" s="1">
        <f>IFERROR(__xludf.DUMMYFUNCTION("""COMPUTED_VALUE"""),50.0)</f>
        <v>50</v>
      </c>
      <c r="J83" s="1">
        <f>IFERROR(__xludf.DUMMYFUNCTION("""COMPUTED_VALUE"""),98.0)</f>
        <v>98</v>
      </c>
      <c r="K83" s="1">
        <f>IFERROR(__xludf.DUMMYFUNCTION("""COMPUTED_VALUE"""),52.0)</f>
        <v>52</v>
      </c>
      <c r="L83" s="1">
        <f>IFERROR(__xludf.DUMMYFUNCTION("""COMPUTED_VALUE"""),290.0)</f>
        <v>290</v>
      </c>
      <c r="M83" s="1">
        <f>IFERROR(__xludf.DUMMYFUNCTION("""COMPUTED_VALUE"""),58.0)</f>
        <v>58</v>
      </c>
      <c r="N83" s="1">
        <f>IFERROR(__xludf.DUMMYFUNCTION("""COMPUTED_VALUE"""),71.0)</f>
        <v>71</v>
      </c>
      <c r="O83" s="1" t="str">
        <f>IFERROR(__xludf.DUMMYFUNCTION("""COMPUTED_VALUE"""),"Pass")</f>
        <v>Pass</v>
      </c>
    </row>
    <row r="84" ht="15.75" customHeight="1">
      <c r="A84" s="1" t="str">
        <f>IFERROR(__xludf.DUMMYFUNCTION("""COMPUTED_VALUE"""),"STD-1360")</f>
        <v>STD-1360</v>
      </c>
      <c r="B84" s="1" t="str">
        <f>IFERROR(__xludf.DUMMYFUNCTION("""COMPUTED_VALUE"""),"Arjun Yadav")</f>
        <v>Arjun Yadav</v>
      </c>
      <c r="C84" s="1" t="str">
        <f>IFERROR(__xludf.DUMMYFUNCTION("""COMPUTED_VALUE"""),"Female")</f>
        <v>Female</v>
      </c>
      <c r="D84" s="1" t="str">
        <f>IFERROR(__xludf.DUMMYFUNCTION("""COMPUTED_VALUE"""),"10")</f>
        <v>10</v>
      </c>
      <c r="E84" s="1" t="str">
        <f>IFERROR(__xludf.DUMMYFUNCTION("""COMPUTED_VALUE"""),"A")</f>
        <v>A</v>
      </c>
      <c r="F84" s="1" t="str">
        <f>IFERROR(__xludf.DUMMYFUNCTION("""COMPUTED_VALUE"""),"Chandigarh")</f>
        <v>Chandigarh</v>
      </c>
      <c r="G84" s="1">
        <f>IFERROR(__xludf.DUMMYFUNCTION("""COMPUTED_VALUE"""),57.0)</f>
        <v>57</v>
      </c>
      <c r="H84" s="1">
        <f>IFERROR(__xludf.DUMMYFUNCTION("""COMPUTED_VALUE"""),67.0)</f>
        <v>67</v>
      </c>
      <c r="I84" s="1">
        <f>IFERROR(__xludf.DUMMYFUNCTION("""COMPUTED_VALUE"""),95.0)</f>
        <v>95</v>
      </c>
      <c r="J84" s="1">
        <f>IFERROR(__xludf.DUMMYFUNCTION("""COMPUTED_VALUE"""),71.0)</f>
        <v>71</v>
      </c>
      <c r="K84" s="1">
        <f>IFERROR(__xludf.DUMMYFUNCTION("""COMPUTED_VALUE"""),42.0)</f>
        <v>42</v>
      </c>
      <c r="L84" s="1">
        <f>IFERROR(__xludf.DUMMYFUNCTION("""COMPUTED_VALUE"""),332.0)</f>
        <v>332</v>
      </c>
      <c r="M84" s="1">
        <f>IFERROR(__xludf.DUMMYFUNCTION("""COMPUTED_VALUE"""),66.4)</f>
        <v>66.4</v>
      </c>
      <c r="N84" s="1">
        <f>IFERROR(__xludf.DUMMYFUNCTION("""COMPUTED_VALUE"""),94.0)</f>
        <v>94</v>
      </c>
      <c r="O84" s="1" t="str">
        <f>IFERROR(__xludf.DUMMYFUNCTION("""COMPUTED_VALUE"""),"Pass")</f>
        <v>Pass</v>
      </c>
    </row>
    <row r="85" ht="15.75" customHeight="1">
      <c r="A85" s="1" t="str">
        <f>IFERROR(__xludf.DUMMYFUNCTION("""COMPUTED_VALUE"""),"STD-1362")</f>
        <v>STD-1362</v>
      </c>
      <c r="B85" s="1" t="str">
        <f>IFERROR(__xludf.DUMMYFUNCTION("""COMPUTED_VALUE"""),"Ritika Choudhary")</f>
        <v>Ritika Choudhary</v>
      </c>
      <c r="C85" s="1" t="str">
        <f>IFERROR(__xludf.DUMMYFUNCTION("""COMPUTED_VALUE"""),"Female")</f>
        <v>Female</v>
      </c>
      <c r="D85" s="1" t="str">
        <f>IFERROR(__xludf.DUMMYFUNCTION("""COMPUTED_VALUE"""),"10")</f>
        <v>10</v>
      </c>
      <c r="E85" s="1" t="str">
        <f>IFERROR(__xludf.DUMMYFUNCTION("""COMPUTED_VALUE"""),"B")</f>
        <v>B</v>
      </c>
      <c r="F85" s="1" t="str">
        <f>IFERROR(__xludf.DUMMYFUNCTION("""COMPUTED_VALUE"""),"Lucknow")</f>
        <v>Lucknow</v>
      </c>
      <c r="G85" s="1">
        <f>IFERROR(__xludf.DUMMYFUNCTION("""COMPUTED_VALUE"""),61.0)</f>
        <v>61</v>
      </c>
      <c r="H85" s="1">
        <f>IFERROR(__xludf.DUMMYFUNCTION("""COMPUTED_VALUE"""),69.0)</f>
        <v>69</v>
      </c>
      <c r="I85" s="1">
        <f>IFERROR(__xludf.DUMMYFUNCTION("""COMPUTED_VALUE"""),65.0)</f>
        <v>65</v>
      </c>
      <c r="J85" s="1">
        <f>IFERROR(__xludf.DUMMYFUNCTION("""COMPUTED_VALUE"""),46.0)</f>
        <v>46</v>
      </c>
      <c r="K85" s="1">
        <f>IFERROR(__xludf.DUMMYFUNCTION("""COMPUTED_VALUE"""),41.0)</f>
        <v>41</v>
      </c>
      <c r="L85" s="1">
        <f>IFERROR(__xludf.DUMMYFUNCTION("""COMPUTED_VALUE"""),282.0)</f>
        <v>282</v>
      </c>
      <c r="M85" s="1">
        <f>IFERROR(__xludf.DUMMYFUNCTION("""COMPUTED_VALUE"""),56.4)</f>
        <v>56.4</v>
      </c>
      <c r="N85" s="1">
        <f>IFERROR(__xludf.DUMMYFUNCTION("""COMPUTED_VALUE"""),73.0)</f>
        <v>73</v>
      </c>
      <c r="O85" s="1" t="str">
        <f>IFERROR(__xludf.DUMMYFUNCTION("""COMPUTED_VALUE"""),"Pass")</f>
        <v>Pass</v>
      </c>
    </row>
    <row r="86" ht="15.75" customHeight="1">
      <c r="A86" s="1" t="str">
        <f>IFERROR(__xludf.DUMMYFUNCTION("""COMPUTED_VALUE"""),"STD-1373")</f>
        <v>STD-1373</v>
      </c>
      <c r="B86" s="1" t="str">
        <f>IFERROR(__xludf.DUMMYFUNCTION("""COMPUTED_VALUE"""),"Tanvi Jain")</f>
        <v>Tanvi Jain</v>
      </c>
      <c r="C86" s="1" t="str">
        <f>IFERROR(__xludf.DUMMYFUNCTION("""COMPUTED_VALUE"""),"Male")</f>
        <v>Male</v>
      </c>
      <c r="D86" s="1" t="str">
        <f>IFERROR(__xludf.DUMMYFUNCTION("""COMPUTED_VALUE"""),"10")</f>
        <v>10</v>
      </c>
      <c r="E86" s="1" t="str">
        <f>IFERROR(__xludf.DUMMYFUNCTION("""COMPUTED_VALUE"""),"B")</f>
        <v>B</v>
      </c>
      <c r="F86" s="1" t="str">
        <f>IFERROR(__xludf.DUMMYFUNCTION("""COMPUTED_VALUE"""),"Kolkata")</f>
        <v>Kolkata</v>
      </c>
      <c r="G86" s="1">
        <f>IFERROR(__xludf.DUMMYFUNCTION("""COMPUTED_VALUE"""),72.0)</f>
        <v>72</v>
      </c>
      <c r="H86" s="1">
        <f>IFERROR(__xludf.DUMMYFUNCTION("""COMPUTED_VALUE"""),67.0)</f>
        <v>67</v>
      </c>
      <c r="I86" s="1">
        <f>IFERROR(__xludf.DUMMYFUNCTION("""COMPUTED_VALUE"""),76.0)</f>
        <v>76</v>
      </c>
      <c r="J86" s="1">
        <f>IFERROR(__xludf.DUMMYFUNCTION("""COMPUTED_VALUE"""),88.0)</f>
        <v>88</v>
      </c>
      <c r="K86" s="1">
        <f>IFERROR(__xludf.DUMMYFUNCTION("""COMPUTED_VALUE"""),75.0)</f>
        <v>75</v>
      </c>
      <c r="L86" s="1">
        <f>IFERROR(__xludf.DUMMYFUNCTION("""COMPUTED_VALUE"""),378.0)</f>
        <v>378</v>
      </c>
      <c r="M86" s="1">
        <f>IFERROR(__xludf.DUMMYFUNCTION("""COMPUTED_VALUE"""),75.6)</f>
        <v>75.6</v>
      </c>
      <c r="N86" s="1">
        <f>IFERROR(__xludf.DUMMYFUNCTION("""COMPUTED_VALUE"""),97.0)</f>
        <v>97</v>
      </c>
      <c r="O86" s="1" t="str">
        <f>IFERROR(__xludf.DUMMYFUNCTION("""COMPUTED_VALUE"""),"Pass")</f>
        <v>Pass</v>
      </c>
    </row>
    <row r="87" ht="15.75" customHeight="1">
      <c r="A87" s="1" t="str">
        <f>IFERROR(__xludf.DUMMYFUNCTION("""COMPUTED_VALUE"""),"STD-1378")</f>
        <v>STD-1378</v>
      </c>
      <c r="B87" s="1" t="str">
        <f>IFERROR(__xludf.DUMMYFUNCTION("""COMPUTED_VALUE"""),"Ritika Patel")</f>
        <v>Ritika Patel</v>
      </c>
      <c r="C87" s="1" t="str">
        <f>IFERROR(__xludf.DUMMYFUNCTION("""COMPUTED_VALUE"""),"Male")</f>
        <v>Male</v>
      </c>
      <c r="D87" s="1" t="str">
        <f>IFERROR(__xludf.DUMMYFUNCTION("""COMPUTED_VALUE"""),"10")</f>
        <v>10</v>
      </c>
      <c r="E87" s="1" t="str">
        <f>IFERROR(__xludf.DUMMYFUNCTION("""COMPUTED_VALUE"""),"A")</f>
        <v>A</v>
      </c>
      <c r="F87" s="1" t="str">
        <f>IFERROR(__xludf.DUMMYFUNCTION("""COMPUTED_VALUE"""),"Lucknow")</f>
        <v>Lucknow</v>
      </c>
      <c r="G87" s="1">
        <f>IFERROR(__xludf.DUMMYFUNCTION("""COMPUTED_VALUE"""),97.0)</f>
        <v>97</v>
      </c>
      <c r="H87" s="1">
        <f>IFERROR(__xludf.DUMMYFUNCTION("""COMPUTED_VALUE"""),61.0)</f>
        <v>61</v>
      </c>
      <c r="I87" s="1">
        <f>IFERROR(__xludf.DUMMYFUNCTION("""COMPUTED_VALUE"""),80.0)</f>
        <v>80</v>
      </c>
      <c r="J87" s="1">
        <f>IFERROR(__xludf.DUMMYFUNCTION("""COMPUTED_VALUE"""),78.0)</f>
        <v>78</v>
      </c>
      <c r="K87" s="1">
        <f>IFERROR(__xludf.DUMMYFUNCTION("""COMPUTED_VALUE"""),93.0)</f>
        <v>93</v>
      </c>
      <c r="L87" s="1">
        <f>IFERROR(__xludf.DUMMYFUNCTION("""COMPUTED_VALUE"""),409.0)</f>
        <v>409</v>
      </c>
      <c r="M87" s="1">
        <f>IFERROR(__xludf.DUMMYFUNCTION("""COMPUTED_VALUE"""),81.8)</f>
        <v>81.8</v>
      </c>
      <c r="N87" s="1">
        <f>IFERROR(__xludf.DUMMYFUNCTION("""COMPUTED_VALUE"""),93.0)</f>
        <v>93</v>
      </c>
      <c r="O87" s="1" t="str">
        <f>IFERROR(__xludf.DUMMYFUNCTION("""COMPUTED_VALUE"""),"Pass")</f>
        <v>Pass</v>
      </c>
    </row>
    <row r="88" ht="15.75" customHeight="1">
      <c r="A88" s="1" t="str">
        <f>IFERROR(__xludf.DUMMYFUNCTION("""COMPUTED_VALUE"""),"STD-1379")</f>
        <v>STD-1379</v>
      </c>
      <c r="B88" s="1" t="str">
        <f>IFERROR(__xludf.DUMMYFUNCTION("""COMPUTED_VALUE"""),"Kavya Patel")</f>
        <v>Kavya Patel</v>
      </c>
      <c r="C88" s="1" t="str">
        <f>IFERROR(__xludf.DUMMYFUNCTION("""COMPUTED_VALUE"""),"Male")</f>
        <v>Male</v>
      </c>
      <c r="D88" s="1" t="str">
        <f>IFERROR(__xludf.DUMMYFUNCTION("""COMPUTED_VALUE"""),"10")</f>
        <v>10</v>
      </c>
      <c r="E88" s="1" t="str">
        <f>IFERROR(__xludf.DUMMYFUNCTION("""COMPUTED_VALUE"""),"A")</f>
        <v>A</v>
      </c>
      <c r="F88" s="1" t="str">
        <f>IFERROR(__xludf.DUMMYFUNCTION("""COMPUTED_VALUE"""),"Kolkata")</f>
        <v>Kolkata</v>
      </c>
      <c r="G88" s="1">
        <f>IFERROR(__xludf.DUMMYFUNCTION("""COMPUTED_VALUE"""),52.0)</f>
        <v>52</v>
      </c>
      <c r="H88" s="1">
        <f>IFERROR(__xludf.DUMMYFUNCTION("""COMPUTED_VALUE"""),64.0)</f>
        <v>64</v>
      </c>
      <c r="I88" s="1">
        <f>IFERROR(__xludf.DUMMYFUNCTION("""COMPUTED_VALUE"""),79.0)</f>
        <v>79</v>
      </c>
      <c r="J88" s="1">
        <f>IFERROR(__xludf.DUMMYFUNCTION("""COMPUTED_VALUE"""),74.0)</f>
        <v>74</v>
      </c>
      <c r="K88" s="1">
        <f>IFERROR(__xludf.DUMMYFUNCTION("""COMPUTED_VALUE"""),46.0)</f>
        <v>46</v>
      </c>
      <c r="L88" s="1">
        <f>IFERROR(__xludf.DUMMYFUNCTION("""COMPUTED_VALUE"""),315.0)</f>
        <v>315</v>
      </c>
      <c r="M88" s="1">
        <f>IFERROR(__xludf.DUMMYFUNCTION("""COMPUTED_VALUE"""),63.0)</f>
        <v>63</v>
      </c>
      <c r="N88" s="1">
        <f>IFERROR(__xludf.DUMMYFUNCTION("""COMPUTED_VALUE"""),88.0)</f>
        <v>88</v>
      </c>
      <c r="O88" s="1" t="str">
        <f>IFERROR(__xludf.DUMMYFUNCTION("""COMPUTED_VALUE"""),"Pass")</f>
        <v>Pass</v>
      </c>
    </row>
    <row r="89" ht="15.75" customHeight="1">
      <c r="A89" s="1" t="str">
        <f>IFERROR(__xludf.DUMMYFUNCTION("""COMPUTED_VALUE"""),"STD-1382")</f>
        <v>STD-1382</v>
      </c>
      <c r="B89" s="1" t="str">
        <f>IFERROR(__xludf.DUMMYFUNCTION("""COMPUTED_VALUE"""),"Sneha Yadav")</f>
        <v>Sneha Yadav</v>
      </c>
      <c r="C89" s="1" t="str">
        <f>IFERROR(__xludf.DUMMYFUNCTION("""COMPUTED_VALUE"""),"Male")</f>
        <v>Male</v>
      </c>
      <c r="D89" s="1" t="str">
        <f>IFERROR(__xludf.DUMMYFUNCTION("""COMPUTED_VALUE"""),"10")</f>
        <v>10</v>
      </c>
      <c r="E89" s="1" t="str">
        <f>IFERROR(__xludf.DUMMYFUNCTION("""COMPUTED_VALUE"""),"C")</f>
        <v>C</v>
      </c>
      <c r="F89" s="1" t="str">
        <f>IFERROR(__xludf.DUMMYFUNCTION("""COMPUTED_VALUE"""),"Lucknow")</f>
        <v>Lucknow</v>
      </c>
      <c r="G89" s="1">
        <f>IFERROR(__xludf.DUMMYFUNCTION("""COMPUTED_VALUE"""),46.0)</f>
        <v>46</v>
      </c>
      <c r="H89" s="1">
        <f>IFERROR(__xludf.DUMMYFUNCTION("""COMPUTED_VALUE"""),83.0)</f>
        <v>83</v>
      </c>
      <c r="I89" s="1">
        <f>IFERROR(__xludf.DUMMYFUNCTION("""COMPUTED_VALUE"""),54.0)</f>
        <v>54</v>
      </c>
      <c r="J89" s="1">
        <f>IFERROR(__xludf.DUMMYFUNCTION("""COMPUTED_VALUE"""),57.0)</f>
        <v>57</v>
      </c>
      <c r="K89" s="1">
        <f>IFERROR(__xludf.DUMMYFUNCTION("""COMPUTED_VALUE"""),77.0)</f>
        <v>77</v>
      </c>
      <c r="L89" s="1">
        <f>IFERROR(__xludf.DUMMYFUNCTION("""COMPUTED_VALUE"""),317.0)</f>
        <v>317</v>
      </c>
      <c r="M89" s="1">
        <f>IFERROR(__xludf.DUMMYFUNCTION("""COMPUTED_VALUE"""),63.4)</f>
        <v>63.4</v>
      </c>
      <c r="N89" s="1">
        <f>IFERROR(__xludf.DUMMYFUNCTION("""COMPUTED_VALUE"""),85.0)</f>
        <v>85</v>
      </c>
      <c r="O89" s="1" t="str">
        <f>IFERROR(__xludf.DUMMYFUNCTION("""COMPUTED_VALUE"""),"Pass")</f>
        <v>Pass</v>
      </c>
    </row>
    <row r="90" ht="15.75" customHeight="1">
      <c r="A90" s="1" t="str">
        <f>IFERROR(__xludf.DUMMYFUNCTION("""COMPUTED_VALUE"""),"STD-1391")</f>
        <v>STD-1391</v>
      </c>
      <c r="B90" s="1" t="str">
        <f>IFERROR(__xludf.DUMMYFUNCTION("""COMPUTED_VALUE"""),"Sneha Jain")</f>
        <v>Sneha Jain</v>
      </c>
      <c r="C90" s="1" t="str">
        <f>IFERROR(__xludf.DUMMYFUNCTION("""COMPUTED_VALUE"""),"Male")</f>
        <v>Male</v>
      </c>
      <c r="D90" s="1" t="str">
        <f>IFERROR(__xludf.DUMMYFUNCTION("""COMPUTED_VALUE"""),"10")</f>
        <v>10</v>
      </c>
      <c r="E90" s="1" t="str">
        <f>IFERROR(__xludf.DUMMYFUNCTION("""COMPUTED_VALUE"""),"C")</f>
        <v>C</v>
      </c>
      <c r="F90" s="1" t="str">
        <f>IFERROR(__xludf.DUMMYFUNCTION("""COMPUTED_VALUE"""),"Kolkata")</f>
        <v>Kolkata</v>
      </c>
      <c r="G90" s="1">
        <f>IFERROR(__xludf.DUMMYFUNCTION("""COMPUTED_VALUE"""),56.0)</f>
        <v>56</v>
      </c>
      <c r="H90" s="1">
        <f>IFERROR(__xludf.DUMMYFUNCTION("""COMPUTED_VALUE"""),62.0)</f>
        <v>62</v>
      </c>
      <c r="I90" s="1">
        <f>IFERROR(__xludf.DUMMYFUNCTION("""COMPUTED_VALUE"""),72.0)</f>
        <v>72</v>
      </c>
      <c r="J90" s="1">
        <f>IFERROR(__xludf.DUMMYFUNCTION("""COMPUTED_VALUE"""),71.0)</f>
        <v>71</v>
      </c>
      <c r="K90" s="1">
        <f>IFERROR(__xludf.DUMMYFUNCTION("""COMPUTED_VALUE"""),45.0)</f>
        <v>45</v>
      </c>
      <c r="L90" s="1">
        <f>IFERROR(__xludf.DUMMYFUNCTION("""COMPUTED_VALUE"""),306.0)</f>
        <v>306</v>
      </c>
      <c r="M90" s="1">
        <f>IFERROR(__xludf.DUMMYFUNCTION("""COMPUTED_VALUE"""),61.2)</f>
        <v>61.2</v>
      </c>
      <c r="N90" s="1">
        <f>IFERROR(__xludf.DUMMYFUNCTION("""COMPUTED_VALUE"""),63.0)</f>
        <v>63</v>
      </c>
      <c r="O90" s="1" t="str">
        <f>IFERROR(__xludf.DUMMYFUNCTION("""COMPUTED_VALUE"""),"Pass")</f>
        <v>Pass</v>
      </c>
    </row>
    <row r="91" ht="15.75" customHeight="1">
      <c r="A91" s="1" t="str">
        <f>IFERROR(__xludf.DUMMYFUNCTION("""COMPUTED_VALUE"""),"STD-1393")</f>
        <v>STD-1393</v>
      </c>
      <c r="B91" s="1" t="str">
        <f>IFERROR(__xludf.DUMMYFUNCTION("""COMPUTED_VALUE"""),"Sai Yadav")</f>
        <v>Sai Yadav</v>
      </c>
      <c r="C91" s="1" t="str">
        <f>IFERROR(__xludf.DUMMYFUNCTION("""COMPUTED_VALUE"""),"Female")</f>
        <v>Female</v>
      </c>
      <c r="D91" s="1" t="str">
        <f>IFERROR(__xludf.DUMMYFUNCTION("""COMPUTED_VALUE"""),"10")</f>
        <v>10</v>
      </c>
      <c r="E91" s="1" t="str">
        <f>IFERROR(__xludf.DUMMYFUNCTION("""COMPUTED_VALUE"""),"A")</f>
        <v>A</v>
      </c>
      <c r="F91" s="1" t="str">
        <f>IFERROR(__xludf.DUMMYFUNCTION("""COMPUTED_VALUE"""),"Jaipur")</f>
        <v>Jaipur</v>
      </c>
      <c r="G91" s="1">
        <f>IFERROR(__xludf.DUMMYFUNCTION("""COMPUTED_VALUE"""),48.0)</f>
        <v>48</v>
      </c>
      <c r="H91" s="1">
        <f>IFERROR(__xludf.DUMMYFUNCTION("""COMPUTED_VALUE"""),57.0)</f>
        <v>57</v>
      </c>
      <c r="I91" s="1">
        <f>IFERROR(__xludf.DUMMYFUNCTION("""COMPUTED_VALUE"""),94.0)</f>
        <v>94</v>
      </c>
      <c r="J91" s="1">
        <f>IFERROR(__xludf.DUMMYFUNCTION("""COMPUTED_VALUE"""),60.0)</f>
        <v>60</v>
      </c>
      <c r="K91" s="1">
        <f>IFERROR(__xludf.DUMMYFUNCTION("""COMPUTED_VALUE"""),86.0)</f>
        <v>86</v>
      </c>
      <c r="L91" s="1">
        <f>IFERROR(__xludf.DUMMYFUNCTION("""COMPUTED_VALUE"""),345.0)</f>
        <v>345</v>
      </c>
      <c r="M91" s="1">
        <f>IFERROR(__xludf.DUMMYFUNCTION("""COMPUTED_VALUE"""),69.0)</f>
        <v>69</v>
      </c>
      <c r="N91" s="1">
        <f>IFERROR(__xludf.DUMMYFUNCTION("""COMPUTED_VALUE"""),99.0)</f>
        <v>99</v>
      </c>
      <c r="O91" s="1" t="str">
        <f>IFERROR(__xludf.DUMMYFUNCTION("""COMPUTED_VALUE"""),"Pass")</f>
        <v>Pass</v>
      </c>
    </row>
    <row r="92" ht="15.75" customHeight="1">
      <c r="A92" s="1" t="str">
        <f>IFERROR(__xludf.DUMMYFUNCTION("""COMPUTED_VALUE"""),"STD-1399")</f>
        <v>STD-1399</v>
      </c>
      <c r="B92" s="1" t="str">
        <f>IFERROR(__xludf.DUMMYFUNCTION("""COMPUTED_VALUE"""),"Rahul Das")</f>
        <v>Rahul Das</v>
      </c>
      <c r="C92" s="1" t="str">
        <f>IFERROR(__xludf.DUMMYFUNCTION("""COMPUTED_VALUE"""),"Male")</f>
        <v>Male</v>
      </c>
      <c r="D92" s="1" t="str">
        <f>IFERROR(__xludf.DUMMYFUNCTION("""COMPUTED_VALUE"""),"10")</f>
        <v>10</v>
      </c>
      <c r="E92" s="1" t="str">
        <f>IFERROR(__xludf.DUMMYFUNCTION("""COMPUTED_VALUE"""),"B")</f>
        <v>B</v>
      </c>
      <c r="F92" s="1" t="str">
        <f>IFERROR(__xludf.DUMMYFUNCTION("""COMPUTED_VALUE"""),"Kolkata")</f>
        <v>Kolkata</v>
      </c>
      <c r="G92" s="1">
        <f>IFERROR(__xludf.DUMMYFUNCTION("""COMPUTED_VALUE"""),59.0)</f>
        <v>59</v>
      </c>
      <c r="H92" s="1">
        <f>IFERROR(__xludf.DUMMYFUNCTION("""COMPUTED_VALUE"""),53.0)</f>
        <v>53</v>
      </c>
      <c r="I92" s="1">
        <f>IFERROR(__xludf.DUMMYFUNCTION("""COMPUTED_VALUE"""),97.0)</f>
        <v>97</v>
      </c>
      <c r="J92" s="1">
        <f>IFERROR(__xludf.DUMMYFUNCTION("""COMPUTED_VALUE"""),48.0)</f>
        <v>48</v>
      </c>
      <c r="K92" s="1">
        <f>IFERROR(__xludf.DUMMYFUNCTION("""COMPUTED_VALUE"""),96.0)</f>
        <v>96</v>
      </c>
      <c r="L92" s="1">
        <f>IFERROR(__xludf.DUMMYFUNCTION("""COMPUTED_VALUE"""),353.0)</f>
        <v>353</v>
      </c>
      <c r="M92" s="1">
        <f>IFERROR(__xludf.DUMMYFUNCTION("""COMPUTED_VALUE"""),70.6)</f>
        <v>70.6</v>
      </c>
      <c r="N92" s="1">
        <f>IFERROR(__xludf.DUMMYFUNCTION("""COMPUTED_VALUE"""),85.0)</f>
        <v>85</v>
      </c>
      <c r="O92" s="1" t="str">
        <f>IFERROR(__xludf.DUMMYFUNCTION("""COMPUTED_VALUE"""),"Pass")</f>
        <v>Pass</v>
      </c>
    </row>
    <row r="93" ht="15.75" customHeight="1">
      <c r="A93" s="1" t="str">
        <f>IFERROR(__xludf.DUMMYFUNCTION("""COMPUTED_VALUE"""),"STD-1418")</f>
        <v>STD-1418</v>
      </c>
      <c r="B93" s="1" t="str">
        <f>IFERROR(__xludf.DUMMYFUNCTION("""COMPUTED_VALUE"""),"Ishita Kulkarni")</f>
        <v>Ishita Kulkarni</v>
      </c>
      <c r="C93" s="1" t="str">
        <f>IFERROR(__xludf.DUMMYFUNCTION("""COMPUTED_VALUE"""),"Male")</f>
        <v>Male</v>
      </c>
      <c r="D93" s="1" t="str">
        <f>IFERROR(__xludf.DUMMYFUNCTION("""COMPUTED_VALUE"""),"10")</f>
        <v>10</v>
      </c>
      <c r="E93" s="1" t="str">
        <f>IFERROR(__xludf.DUMMYFUNCTION("""COMPUTED_VALUE"""),"B")</f>
        <v>B</v>
      </c>
      <c r="F93" s="1" t="str">
        <f>IFERROR(__xludf.DUMMYFUNCTION("""COMPUTED_VALUE"""),"Bhopal")</f>
        <v>Bhopal</v>
      </c>
      <c r="G93" s="1">
        <f>IFERROR(__xludf.DUMMYFUNCTION("""COMPUTED_VALUE"""),41.0)</f>
        <v>41</v>
      </c>
      <c r="H93" s="1">
        <f>IFERROR(__xludf.DUMMYFUNCTION("""COMPUTED_VALUE"""),61.0)</f>
        <v>61</v>
      </c>
      <c r="I93" s="1">
        <f>IFERROR(__xludf.DUMMYFUNCTION("""COMPUTED_VALUE"""),75.0)</f>
        <v>75</v>
      </c>
      <c r="J93" s="1">
        <f>IFERROR(__xludf.DUMMYFUNCTION("""COMPUTED_VALUE"""),74.0)</f>
        <v>74</v>
      </c>
      <c r="K93" s="1">
        <f>IFERROR(__xludf.DUMMYFUNCTION("""COMPUTED_VALUE"""),74.0)</f>
        <v>74</v>
      </c>
      <c r="L93" s="1">
        <f>IFERROR(__xludf.DUMMYFUNCTION("""COMPUTED_VALUE"""),325.0)</f>
        <v>325</v>
      </c>
      <c r="M93" s="1">
        <f>IFERROR(__xludf.DUMMYFUNCTION("""COMPUTED_VALUE"""),65.0)</f>
        <v>65</v>
      </c>
      <c r="N93" s="1">
        <f>IFERROR(__xludf.DUMMYFUNCTION("""COMPUTED_VALUE"""),84.0)</f>
        <v>84</v>
      </c>
      <c r="O93" s="1" t="str">
        <f>IFERROR(__xludf.DUMMYFUNCTION("""COMPUTED_VALUE"""),"Pass")</f>
        <v>Pass</v>
      </c>
    </row>
    <row r="94" ht="15.75" customHeight="1">
      <c r="A94" s="1" t="str">
        <f>IFERROR(__xludf.DUMMYFUNCTION("""COMPUTED_VALUE"""),"STD-1428")</f>
        <v>STD-1428</v>
      </c>
      <c r="B94" s="1" t="str">
        <f>IFERROR(__xludf.DUMMYFUNCTION("""COMPUTED_VALUE"""),"Meera Kulkarni")</f>
        <v>Meera Kulkarni</v>
      </c>
      <c r="C94" s="1" t="str">
        <f>IFERROR(__xludf.DUMMYFUNCTION("""COMPUTED_VALUE"""),"Male")</f>
        <v>Male</v>
      </c>
      <c r="D94" s="1" t="str">
        <f>IFERROR(__xludf.DUMMYFUNCTION("""COMPUTED_VALUE"""),"10")</f>
        <v>10</v>
      </c>
      <c r="E94" s="1" t="str">
        <f>IFERROR(__xludf.DUMMYFUNCTION("""COMPUTED_VALUE"""),"C")</f>
        <v>C</v>
      </c>
      <c r="F94" s="1" t="str">
        <f>IFERROR(__xludf.DUMMYFUNCTION("""COMPUTED_VALUE"""),"Lucknow")</f>
        <v>Lucknow</v>
      </c>
      <c r="G94" s="1">
        <f>IFERROR(__xludf.DUMMYFUNCTION("""COMPUTED_VALUE"""),83.0)</f>
        <v>83</v>
      </c>
      <c r="H94" s="1">
        <f>IFERROR(__xludf.DUMMYFUNCTION("""COMPUTED_VALUE"""),86.0)</f>
        <v>86</v>
      </c>
      <c r="I94" s="1">
        <f>IFERROR(__xludf.DUMMYFUNCTION("""COMPUTED_VALUE"""),51.0)</f>
        <v>51</v>
      </c>
      <c r="J94" s="1">
        <f>IFERROR(__xludf.DUMMYFUNCTION("""COMPUTED_VALUE"""),84.0)</f>
        <v>84</v>
      </c>
      <c r="K94" s="1">
        <f>IFERROR(__xludf.DUMMYFUNCTION("""COMPUTED_VALUE"""),85.0)</f>
        <v>85</v>
      </c>
      <c r="L94" s="1">
        <f>IFERROR(__xludf.DUMMYFUNCTION("""COMPUTED_VALUE"""),389.0)</f>
        <v>389</v>
      </c>
      <c r="M94" s="1">
        <f>IFERROR(__xludf.DUMMYFUNCTION("""COMPUTED_VALUE"""),77.8)</f>
        <v>77.8</v>
      </c>
      <c r="N94" s="1">
        <f>IFERROR(__xludf.DUMMYFUNCTION("""COMPUTED_VALUE"""),61.0)</f>
        <v>61</v>
      </c>
      <c r="O94" s="1" t="str">
        <f>IFERROR(__xludf.DUMMYFUNCTION("""COMPUTED_VALUE"""),"Pass")</f>
        <v>Pass</v>
      </c>
    </row>
    <row r="95" ht="15.75" customHeight="1">
      <c r="A95" s="1" t="str">
        <f>IFERROR(__xludf.DUMMYFUNCTION("""COMPUTED_VALUE"""),"STD-1434")</f>
        <v>STD-1434</v>
      </c>
      <c r="B95" s="1" t="str">
        <f>IFERROR(__xludf.DUMMYFUNCTION("""COMPUTED_VALUE"""),"Sai Iyer")</f>
        <v>Sai Iyer</v>
      </c>
      <c r="C95" s="1" t="str">
        <f>IFERROR(__xludf.DUMMYFUNCTION("""COMPUTED_VALUE"""),"Female")</f>
        <v>Female</v>
      </c>
      <c r="D95" s="1" t="str">
        <f>IFERROR(__xludf.DUMMYFUNCTION("""COMPUTED_VALUE"""),"10")</f>
        <v>10</v>
      </c>
      <c r="E95" s="1" t="str">
        <f>IFERROR(__xludf.DUMMYFUNCTION("""COMPUTED_VALUE"""),"B")</f>
        <v>B</v>
      </c>
      <c r="F95" s="1" t="str">
        <f>IFERROR(__xludf.DUMMYFUNCTION("""COMPUTED_VALUE"""),"Patna")</f>
        <v>Patna</v>
      </c>
      <c r="G95" s="1">
        <f>IFERROR(__xludf.DUMMYFUNCTION("""COMPUTED_VALUE"""),63.0)</f>
        <v>63</v>
      </c>
      <c r="H95" s="1">
        <f>IFERROR(__xludf.DUMMYFUNCTION("""COMPUTED_VALUE"""),75.0)</f>
        <v>75</v>
      </c>
      <c r="I95" s="1">
        <f>IFERROR(__xludf.DUMMYFUNCTION("""COMPUTED_VALUE"""),77.0)</f>
        <v>77</v>
      </c>
      <c r="J95" s="1">
        <f>IFERROR(__xludf.DUMMYFUNCTION("""COMPUTED_VALUE"""),67.0)</f>
        <v>67</v>
      </c>
      <c r="K95" s="1">
        <f>IFERROR(__xludf.DUMMYFUNCTION("""COMPUTED_VALUE"""),47.0)</f>
        <v>47</v>
      </c>
      <c r="L95" s="1">
        <f>IFERROR(__xludf.DUMMYFUNCTION("""COMPUTED_VALUE"""),329.0)</f>
        <v>329</v>
      </c>
      <c r="M95" s="1">
        <f>IFERROR(__xludf.DUMMYFUNCTION("""COMPUTED_VALUE"""),65.8)</f>
        <v>65.8</v>
      </c>
      <c r="N95" s="1">
        <f>IFERROR(__xludf.DUMMYFUNCTION("""COMPUTED_VALUE"""),95.0)</f>
        <v>95</v>
      </c>
      <c r="O95" s="1" t="str">
        <f>IFERROR(__xludf.DUMMYFUNCTION("""COMPUTED_VALUE"""),"Pass")</f>
        <v>Pass</v>
      </c>
    </row>
    <row r="96" ht="15.75" customHeight="1">
      <c r="A96" s="1" t="str">
        <f>IFERROR(__xludf.DUMMYFUNCTION("""COMPUTED_VALUE"""),"STD-1435")</f>
        <v>STD-1435</v>
      </c>
      <c r="B96" s="1" t="str">
        <f>IFERROR(__xludf.DUMMYFUNCTION("""COMPUTED_VALUE"""),"Sneha Singh")</f>
        <v>Sneha Singh</v>
      </c>
      <c r="C96" s="1" t="str">
        <f>IFERROR(__xludf.DUMMYFUNCTION("""COMPUTED_VALUE"""),"Female")</f>
        <v>Female</v>
      </c>
      <c r="D96" s="1" t="str">
        <f>IFERROR(__xludf.DUMMYFUNCTION("""COMPUTED_VALUE"""),"10")</f>
        <v>10</v>
      </c>
      <c r="E96" s="1" t="str">
        <f>IFERROR(__xludf.DUMMYFUNCTION("""COMPUTED_VALUE"""),"B")</f>
        <v>B</v>
      </c>
      <c r="F96" s="1" t="str">
        <f>IFERROR(__xludf.DUMMYFUNCTION("""COMPUTED_VALUE"""),"Delhi")</f>
        <v>Delhi</v>
      </c>
      <c r="G96" s="1">
        <f>IFERROR(__xludf.DUMMYFUNCTION("""COMPUTED_VALUE"""),69.0)</f>
        <v>69</v>
      </c>
      <c r="H96" s="1">
        <f>IFERROR(__xludf.DUMMYFUNCTION("""COMPUTED_VALUE"""),59.0)</f>
        <v>59</v>
      </c>
      <c r="I96" s="1">
        <f>IFERROR(__xludf.DUMMYFUNCTION("""COMPUTED_VALUE"""),48.0)</f>
        <v>48</v>
      </c>
      <c r="J96" s="1">
        <f>IFERROR(__xludf.DUMMYFUNCTION("""COMPUTED_VALUE"""),97.0)</f>
        <v>97</v>
      </c>
      <c r="K96" s="1">
        <f>IFERROR(__xludf.DUMMYFUNCTION("""COMPUTED_VALUE"""),67.0)</f>
        <v>67</v>
      </c>
      <c r="L96" s="1">
        <f>IFERROR(__xludf.DUMMYFUNCTION("""COMPUTED_VALUE"""),340.0)</f>
        <v>340</v>
      </c>
      <c r="M96" s="1">
        <f>IFERROR(__xludf.DUMMYFUNCTION("""COMPUTED_VALUE"""),68.0)</f>
        <v>68</v>
      </c>
      <c r="N96" s="1">
        <f>IFERROR(__xludf.DUMMYFUNCTION("""COMPUTED_VALUE"""),96.0)</f>
        <v>96</v>
      </c>
      <c r="O96" s="1" t="str">
        <f>IFERROR(__xludf.DUMMYFUNCTION("""COMPUTED_VALUE"""),"Pass")</f>
        <v>Pass</v>
      </c>
    </row>
    <row r="97" ht="15.75" customHeight="1">
      <c r="A97" s="1" t="str">
        <f>IFERROR(__xludf.DUMMYFUNCTION("""COMPUTED_VALUE"""),"STD-1438")</f>
        <v>STD-1438</v>
      </c>
      <c r="B97" s="1" t="str">
        <f>IFERROR(__xludf.DUMMYFUNCTION("""COMPUTED_VALUE"""),"Simran Sharma")</f>
        <v>Simran Sharma</v>
      </c>
      <c r="C97" s="1" t="str">
        <f>IFERROR(__xludf.DUMMYFUNCTION("""COMPUTED_VALUE"""),"Female")</f>
        <v>Female</v>
      </c>
      <c r="D97" s="1" t="str">
        <f>IFERROR(__xludf.DUMMYFUNCTION("""COMPUTED_VALUE"""),"10")</f>
        <v>10</v>
      </c>
      <c r="E97" s="1" t="str">
        <f>IFERROR(__xludf.DUMMYFUNCTION("""COMPUTED_VALUE"""),"C")</f>
        <v>C</v>
      </c>
      <c r="F97" s="1" t="str">
        <f>IFERROR(__xludf.DUMMYFUNCTION("""COMPUTED_VALUE"""),"Bhopal")</f>
        <v>Bhopal</v>
      </c>
      <c r="G97" s="1">
        <f>IFERROR(__xludf.DUMMYFUNCTION("""COMPUTED_VALUE"""),58.0)</f>
        <v>58</v>
      </c>
      <c r="H97" s="1">
        <f>IFERROR(__xludf.DUMMYFUNCTION("""COMPUTED_VALUE"""),74.0)</f>
        <v>74</v>
      </c>
      <c r="I97" s="1">
        <f>IFERROR(__xludf.DUMMYFUNCTION("""COMPUTED_VALUE"""),85.0)</f>
        <v>85</v>
      </c>
      <c r="J97" s="1">
        <f>IFERROR(__xludf.DUMMYFUNCTION("""COMPUTED_VALUE"""),91.0)</f>
        <v>91</v>
      </c>
      <c r="K97" s="1">
        <f>IFERROR(__xludf.DUMMYFUNCTION("""COMPUTED_VALUE"""),69.0)</f>
        <v>69</v>
      </c>
      <c r="L97" s="1">
        <f>IFERROR(__xludf.DUMMYFUNCTION("""COMPUTED_VALUE"""),377.0)</f>
        <v>377</v>
      </c>
      <c r="M97" s="1">
        <f>IFERROR(__xludf.DUMMYFUNCTION("""COMPUTED_VALUE"""),75.4)</f>
        <v>75.4</v>
      </c>
      <c r="N97" s="1">
        <f>IFERROR(__xludf.DUMMYFUNCTION("""COMPUTED_VALUE"""),88.0)</f>
        <v>88</v>
      </c>
      <c r="O97" s="1" t="str">
        <f>IFERROR(__xludf.DUMMYFUNCTION("""COMPUTED_VALUE"""),"Pass")</f>
        <v>Pass</v>
      </c>
    </row>
    <row r="98" ht="15.75" customHeight="1">
      <c r="A98" s="1" t="str">
        <f>IFERROR(__xludf.DUMMYFUNCTION("""COMPUTED_VALUE"""),"STD-1444")</f>
        <v>STD-1444</v>
      </c>
      <c r="B98" s="1" t="str">
        <f>IFERROR(__xludf.DUMMYFUNCTION("""COMPUTED_VALUE"""),"Simran Singh")</f>
        <v>Simran Singh</v>
      </c>
      <c r="C98" s="1" t="str">
        <f>IFERROR(__xludf.DUMMYFUNCTION("""COMPUTED_VALUE"""),"Male")</f>
        <v>Male</v>
      </c>
      <c r="D98" s="1" t="str">
        <f>IFERROR(__xludf.DUMMYFUNCTION("""COMPUTED_VALUE"""),"10")</f>
        <v>10</v>
      </c>
      <c r="E98" s="1" t="str">
        <f>IFERROR(__xludf.DUMMYFUNCTION("""COMPUTED_VALUE"""),"A")</f>
        <v>A</v>
      </c>
      <c r="F98" s="1" t="str">
        <f>IFERROR(__xludf.DUMMYFUNCTION("""COMPUTED_VALUE"""),"Lucknow")</f>
        <v>Lucknow</v>
      </c>
      <c r="G98" s="1">
        <f>IFERROR(__xludf.DUMMYFUNCTION("""COMPUTED_VALUE"""),54.0)</f>
        <v>54</v>
      </c>
      <c r="H98" s="1">
        <f>IFERROR(__xludf.DUMMYFUNCTION("""COMPUTED_VALUE"""),61.0)</f>
        <v>61</v>
      </c>
      <c r="I98" s="1">
        <f>IFERROR(__xludf.DUMMYFUNCTION("""COMPUTED_VALUE"""),64.0)</f>
        <v>64</v>
      </c>
      <c r="J98" s="1">
        <f>IFERROR(__xludf.DUMMYFUNCTION("""COMPUTED_VALUE"""),61.0)</f>
        <v>61</v>
      </c>
      <c r="K98" s="1">
        <f>IFERROR(__xludf.DUMMYFUNCTION("""COMPUTED_VALUE"""),42.0)</f>
        <v>42</v>
      </c>
      <c r="L98" s="1">
        <f>IFERROR(__xludf.DUMMYFUNCTION("""COMPUTED_VALUE"""),282.0)</f>
        <v>282</v>
      </c>
      <c r="M98" s="1">
        <f>IFERROR(__xludf.DUMMYFUNCTION("""COMPUTED_VALUE"""),56.4)</f>
        <v>56.4</v>
      </c>
      <c r="N98" s="1">
        <f>IFERROR(__xludf.DUMMYFUNCTION("""COMPUTED_VALUE"""),64.0)</f>
        <v>64</v>
      </c>
      <c r="O98" s="1" t="str">
        <f>IFERROR(__xludf.DUMMYFUNCTION("""COMPUTED_VALUE"""),"Pass")</f>
        <v>Pass</v>
      </c>
    </row>
    <row r="99" ht="15.75" customHeight="1">
      <c r="A99" s="1" t="str">
        <f>IFERROR(__xludf.DUMMYFUNCTION("""COMPUTED_VALUE"""),"STD-1451")</f>
        <v>STD-1451</v>
      </c>
      <c r="B99" s="1" t="str">
        <f>IFERROR(__xludf.DUMMYFUNCTION("""COMPUTED_VALUE"""),"Tanvi Das")</f>
        <v>Tanvi Das</v>
      </c>
      <c r="C99" s="1" t="str">
        <f>IFERROR(__xludf.DUMMYFUNCTION("""COMPUTED_VALUE"""),"Female")</f>
        <v>Female</v>
      </c>
      <c r="D99" s="1" t="str">
        <f>IFERROR(__xludf.DUMMYFUNCTION("""COMPUTED_VALUE"""),"10")</f>
        <v>10</v>
      </c>
      <c r="E99" s="1" t="str">
        <f>IFERROR(__xludf.DUMMYFUNCTION("""COMPUTED_VALUE"""),"A")</f>
        <v>A</v>
      </c>
      <c r="F99" s="1" t="str">
        <f>IFERROR(__xludf.DUMMYFUNCTION("""COMPUTED_VALUE"""),"Chandigarh")</f>
        <v>Chandigarh</v>
      </c>
      <c r="G99" s="1">
        <f>IFERROR(__xludf.DUMMYFUNCTION("""COMPUTED_VALUE"""),83.0)</f>
        <v>83</v>
      </c>
      <c r="H99" s="1">
        <f>IFERROR(__xludf.DUMMYFUNCTION("""COMPUTED_VALUE"""),64.0)</f>
        <v>64</v>
      </c>
      <c r="I99" s="1">
        <f>IFERROR(__xludf.DUMMYFUNCTION("""COMPUTED_VALUE"""),40.0)</f>
        <v>40</v>
      </c>
      <c r="J99" s="1">
        <f>IFERROR(__xludf.DUMMYFUNCTION("""COMPUTED_VALUE"""),76.0)</f>
        <v>76</v>
      </c>
      <c r="K99" s="1">
        <f>IFERROR(__xludf.DUMMYFUNCTION("""COMPUTED_VALUE"""),75.0)</f>
        <v>75</v>
      </c>
      <c r="L99" s="1">
        <f>IFERROR(__xludf.DUMMYFUNCTION("""COMPUTED_VALUE"""),338.0)</f>
        <v>338</v>
      </c>
      <c r="M99" s="1">
        <f>IFERROR(__xludf.DUMMYFUNCTION("""COMPUTED_VALUE"""),67.6)</f>
        <v>67.6</v>
      </c>
      <c r="N99" s="1">
        <f>IFERROR(__xludf.DUMMYFUNCTION("""COMPUTED_VALUE"""),69.0)</f>
        <v>69</v>
      </c>
      <c r="O99" s="1" t="str">
        <f>IFERROR(__xludf.DUMMYFUNCTION("""COMPUTED_VALUE"""),"Pass")</f>
        <v>Pass</v>
      </c>
    </row>
    <row r="100" ht="15.75" customHeight="1">
      <c r="A100" s="1" t="str">
        <f>IFERROR(__xludf.DUMMYFUNCTION("""COMPUTED_VALUE"""),"STD-1452")</f>
        <v>STD-1452</v>
      </c>
      <c r="B100" s="1" t="str">
        <f>IFERROR(__xludf.DUMMYFUNCTION("""COMPUTED_VALUE"""),"Karan Gupta")</f>
        <v>Karan Gupta</v>
      </c>
      <c r="C100" s="1" t="str">
        <f>IFERROR(__xludf.DUMMYFUNCTION("""COMPUTED_VALUE"""),"Male")</f>
        <v>Male</v>
      </c>
      <c r="D100" s="1" t="str">
        <f>IFERROR(__xludf.DUMMYFUNCTION("""COMPUTED_VALUE"""),"10")</f>
        <v>10</v>
      </c>
      <c r="E100" s="1" t="str">
        <f>IFERROR(__xludf.DUMMYFUNCTION("""COMPUTED_VALUE"""),"C")</f>
        <v>C</v>
      </c>
      <c r="F100" s="1" t="str">
        <f>IFERROR(__xludf.DUMMYFUNCTION("""COMPUTED_VALUE"""),"Jaipur")</f>
        <v>Jaipur</v>
      </c>
      <c r="G100" s="1">
        <f>IFERROR(__xludf.DUMMYFUNCTION("""COMPUTED_VALUE"""),83.0)</f>
        <v>83</v>
      </c>
      <c r="H100" s="1">
        <f>IFERROR(__xludf.DUMMYFUNCTION("""COMPUTED_VALUE"""),85.0)</f>
        <v>85</v>
      </c>
      <c r="I100" s="1">
        <f>IFERROR(__xludf.DUMMYFUNCTION("""COMPUTED_VALUE"""),60.0)</f>
        <v>60</v>
      </c>
      <c r="J100" s="1">
        <f>IFERROR(__xludf.DUMMYFUNCTION("""COMPUTED_VALUE"""),58.0)</f>
        <v>58</v>
      </c>
      <c r="K100" s="1">
        <f>IFERROR(__xludf.DUMMYFUNCTION("""COMPUTED_VALUE"""),82.0)</f>
        <v>82</v>
      </c>
      <c r="L100" s="1">
        <f>IFERROR(__xludf.DUMMYFUNCTION("""COMPUTED_VALUE"""),368.0)</f>
        <v>368</v>
      </c>
      <c r="M100" s="1">
        <f>IFERROR(__xludf.DUMMYFUNCTION("""COMPUTED_VALUE"""),73.6)</f>
        <v>73.6</v>
      </c>
      <c r="N100" s="1">
        <f>IFERROR(__xludf.DUMMYFUNCTION("""COMPUTED_VALUE"""),87.0)</f>
        <v>87</v>
      </c>
      <c r="O100" s="1" t="str">
        <f>IFERROR(__xludf.DUMMYFUNCTION("""COMPUTED_VALUE"""),"Pass")</f>
        <v>Pass</v>
      </c>
    </row>
    <row r="101" ht="15.75" customHeight="1">
      <c r="A101" s="1" t="str">
        <f>IFERROR(__xludf.DUMMYFUNCTION("""COMPUTED_VALUE"""),"STD-1454")</f>
        <v>STD-1454</v>
      </c>
      <c r="B101" s="1" t="str">
        <f>IFERROR(__xludf.DUMMYFUNCTION("""COMPUTED_VALUE"""),"Karan Banerjee")</f>
        <v>Karan Banerjee</v>
      </c>
      <c r="C101" s="1" t="str">
        <f>IFERROR(__xludf.DUMMYFUNCTION("""COMPUTED_VALUE"""),"Female")</f>
        <v>Female</v>
      </c>
      <c r="D101" s="1" t="str">
        <f>IFERROR(__xludf.DUMMYFUNCTION("""COMPUTED_VALUE"""),"10")</f>
        <v>10</v>
      </c>
      <c r="E101" s="1" t="str">
        <f>IFERROR(__xludf.DUMMYFUNCTION("""COMPUTED_VALUE"""),"C")</f>
        <v>C</v>
      </c>
      <c r="F101" s="1" t="str">
        <f>IFERROR(__xludf.DUMMYFUNCTION("""COMPUTED_VALUE"""),"Lucknow")</f>
        <v>Lucknow</v>
      </c>
      <c r="G101" s="1">
        <f>IFERROR(__xludf.DUMMYFUNCTION("""COMPUTED_VALUE"""),84.0)</f>
        <v>84</v>
      </c>
      <c r="H101" s="1">
        <f>IFERROR(__xludf.DUMMYFUNCTION("""COMPUTED_VALUE"""),49.0)</f>
        <v>49</v>
      </c>
      <c r="I101" s="1">
        <f>IFERROR(__xludf.DUMMYFUNCTION("""COMPUTED_VALUE"""),60.0)</f>
        <v>60</v>
      </c>
      <c r="J101" s="1">
        <f>IFERROR(__xludf.DUMMYFUNCTION("""COMPUTED_VALUE"""),68.0)</f>
        <v>68</v>
      </c>
      <c r="K101" s="1">
        <f>IFERROR(__xludf.DUMMYFUNCTION("""COMPUTED_VALUE"""),45.0)</f>
        <v>45</v>
      </c>
      <c r="L101" s="1">
        <f>IFERROR(__xludf.DUMMYFUNCTION("""COMPUTED_VALUE"""),306.0)</f>
        <v>306</v>
      </c>
      <c r="M101" s="1">
        <f>IFERROR(__xludf.DUMMYFUNCTION("""COMPUTED_VALUE"""),61.2)</f>
        <v>61.2</v>
      </c>
      <c r="N101" s="1">
        <f>IFERROR(__xludf.DUMMYFUNCTION("""COMPUTED_VALUE"""),77.0)</f>
        <v>77</v>
      </c>
      <c r="O101" s="1" t="str">
        <f>IFERROR(__xludf.DUMMYFUNCTION("""COMPUTED_VALUE"""),"Pass")</f>
        <v>Pass</v>
      </c>
    </row>
    <row r="102" ht="15.75" customHeight="1">
      <c r="A102" s="1" t="str">
        <f>IFERROR(__xludf.DUMMYFUNCTION("""COMPUTED_VALUE"""),"STD-1458")</f>
        <v>STD-1458</v>
      </c>
      <c r="B102" s="1" t="str">
        <f>IFERROR(__xludf.DUMMYFUNCTION("""COMPUTED_VALUE"""),"Aditya Choudhary")</f>
        <v>Aditya Choudhary</v>
      </c>
      <c r="C102" s="1" t="str">
        <f>IFERROR(__xludf.DUMMYFUNCTION("""COMPUTED_VALUE"""),"Female")</f>
        <v>Female</v>
      </c>
      <c r="D102" s="1" t="str">
        <f>IFERROR(__xludf.DUMMYFUNCTION("""COMPUTED_VALUE"""),"10")</f>
        <v>10</v>
      </c>
      <c r="E102" s="1" t="str">
        <f>IFERROR(__xludf.DUMMYFUNCTION("""COMPUTED_VALUE"""),"C")</f>
        <v>C</v>
      </c>
      <c r="F102" s="1" t="str">
        <f>IFERROR(__xludf.DUMMYFUNCTION("""COMPUTED_VALUE"""),"Bhopal")</f>
        <v>Bhopal</v>
      </c>
      <c r="G102" s="1">
        <f>IFERROR(__xludf.DUMMYFUNCTION("""COMPUTED_VALUE"""),49.0)</f>
        <v>49</v>
      </c>
      <c r="H102" s="1">
        <f>IFERROR(__xludf.DUMMYFUNCTION("""COMPUTED_VALUE"""),83.0)</f>
        <v>83</v>
      </c>
      <c r="I102" s="1">
        <f>IFERROR(__xludf.DUMMYFUNCTION("""COMPUTED_VALUE"""),68.0)</f>
        <v>68</v>
      </c>
      <c r="J102" s="1">
        <f>IFERROR(__xludf.DUMMYFUNCTION("""COMPUTED_VALUE"""),69.0)</f>
        <v>69</v>
      </c>
      <c r="K102" s="1">
        <f>IFERROR(__xludf.DUMMYFUNCTION("""COMPUTED_VALUE"""),93.0)</f>
        <v>93</v>
      </c>
      <c r="L102" s="1">
        <f>IFERROR(__xludf.DUMMYFUNCTION("""COMPUTED_VALUE"""),362.0)</f>
        <v>362</v>
      </c>
      <c r="M102" s="1">
        <f>IFERROR(__xludf.DUMMYFUNCTION("""COMPUTED_VALUE"""),72.4)</f>
        <v>72.4</v>
      </c>
      <c r="N102" s="1">
        <f>IFERROR(__xludf.DUMMYFUNCTION("""COMPUTED_VALUE"""),72.0)</f>
        <v>72</v>
      </c>
      <c r="O102" s="1" t="str">
        <f>IFERROR(__xludf.DUMMYFUNCTION("""COMPUTED_VALUE"""),"Pass")</f>
        <v>Pass</v>
      </c>
    </row>
    <row r="103" ht="15.75" customHeight="1">
      <c r="A103" s="1" t="str">
        <f>IFERROR(__xludf.DUMMYFUNCTION("""COMPUTED_VALUE"""),"STD-1460")</f>
        <v>STD-1460</v>
      </c>
      <c r="B103" s="1" t="str">
        <f>IFERROR(__xludf.DUMMYFUNCTION("""COMPUTED_VALUE"""),"Pooja Iyer")</f>
        <v>Pooja Iyer</v>
      </c>
      <c r="C103" s="1" t="str">
        <f>IFERROR(__xludf.DUMMYFUNCTION("""COMPUTED_VALUE"""),"Female")</f>
        <v>Female</v>
      </c>
      <c r="D103" s="1" t="str">
        <f>IFERROR(__xludf.DUMMYFUNCTION("""COMPUTED_VALUE"""),"10")</f>
        <v>10</v>
      </c>
      <c r="E103" s="1" t="str">
        <f>IFERROR(__xludf.DUMMYFUNCTION("""COMPUTED_VALUE"""),"B")</f>
        <v>B</v>
      </c>
      <c r="F103" s="1" t="str">
        <f>IFERROR(__xludf.DUMMYFUNCTION("""COMPUTED_VALUE"""),"Mumbai")</f>
        <v>Mumbai</v>
      </c>
      <c r="G103" s="1">
        <f>IFERROR(__xludf.DUMMYFUNCTION("""COMPUTED_VALUE"""),47.0)</f>
        <v>47</v>
      </c>
      <c r="H103" s="1">
        <f>IFERROR(__xludf.DUMMYFUNCTION("""COMPUTED_VALUE"""),75.0)</f>
        <v>75</v>
      </c>
      <c r="I103" s="1">
        <f>IFERROR(__xludf.DUMMYFUNCTION("""COMPUTED_VALUE"""),40.0)</f>
        <v>40</v>
      </c>
      <c r="J103" s="1">
        <f>IFERROR(__xludf.DUMMYFUNCTION("""COMPUTED_VALUE"""),65.0)</f>
        <v>65</v>
      </c>
      <c r="K103" s="1">
        <f>IFERROR(__xludf.DUMMYFUNCTION("""COMPUTED_VALUE"""),76.0)</f>
        <v>76</v>
      </c>
      <c r="L103" s="1">
        <f>IFERROR(__xludf.DUMMYFUNCTION("""COMPUTED_VALUE"""),303.0)</f>
        <v>303</v>
      </c>
      <c r="M103" s="1">
        <f>IFERROR(__xludf.DUMMYFUNCTION("""COMPUTED_VALUE"""),60.6)</f>
        <v>60.6</v>
      </c>
      <c r="N103" s="1">
        <f>IFERROR(__xludf.DUMMYFUNCTION("""COMPUTED_VALUE"""),84.0)</f>
        <v>84</v>
      </c>
      <c r="O103" s="1" t="str">
        <f>IFERROR(__xludf.DUMMYFUNCTION("""COMPUTED_VALUE"""),"Pass")</f>
        <v>Pass</v>
      </c>
    </row>
    <row r="104" ht="15.75" customHeight="1">
      <c r="A104" s="1" t="str">
        <f>IFERROR(__xludf.DUMMYFUNCTION("""COMPUTED_VALUE"""),"STD-1463")</f>
        <v>STD-1463</v>
      </c>
      <c r="B104" s="1" t="str">
        <f>IFERROR(__xludf.DUMMYFUNCTION("""COMPUTED_VALUE"""),"Ananya Patel")</f>
        <v>Ananya Patel</v>
      </c>
      <c r="C104" s="1" t="str">
        <f>IFERROR(__xludf.DUMMYFUNCTION("""COMPUTED_VALUE"""),"Male")</f>
        <v>Male</v>
      </c>
      <c r="D104" s="1" t="str">
        <f>IFERROR(__xludf.DUMMYFUNCTION("""COMPUTED_VALUE"""),"10")</f>
        <v>10</v>
      </c>
      <c r="E104" s="1" t="str">
        <f>IFERROR(__xludf.DUMMYFUNCTION("""COMPUTED_VALUE"""),"A")</f>
        <v>A</v>
      </c>
      <c r="F104" s="1" t="str">
        <f>IFERROR(__xludf.DUMMYFUNCTION("""COMPUTED_VALUE"""),"Jaipur")</f>
        <v>Jaipur</v>
      </c>
      <c r="G104" s="1">
        <f>IFERROR(__xludf.DUMMYFUNCTION("""COMPUTED_VALUE"""),65.0)</f>
        <v>65</v>
      </c>
      <c r="H104" s="1">
        <f>IFERROR(__xludf.DUMMYFUNCTION("""COMPUTED_VALUE"""),73.0)</f>
        <v>73</v>
      </c>
      <c r="I104" s="1">
        <f>IFERROR(__xludf.DUMMYFUNCTION("""COMPUTED_VALUE"""),96.0)</f>
        <v>96</v>
      </c>
      <c r="J104" s="1">
        <f>IFERROR(__xludf.DUMMYFUNCTION("""COMPUTED_VALUE"""),57.0)</f>
        <v>57</v>
      </c>
      <c r="K104" s="1">
        <f>IFERROR(__xludf.DUMMYFUNCTION("""COMPUTED_VALUE"""),56.0)</f>
        <v>56</v>
      </c>
      <c r="L104" s="1">
        <f>IFERROR(__xludf.DUMMYFUNCTION("""COMPUTED_VALUE"""),347.0)</f>
        <v>347</v>
      </c>
      <c r="M104" s="1">
        <f>IFERROR(__xludf.DUMMYFUNCTION("""COMPUTED_VALUE"""),69.4)</f>
        <v>69.4</v>
      </c>
      <c r="N104" s="1">
        <f>IFERROR(__xludf.DUMMYFUNCTION("""COMPUTED_VALUE"""),89.0)</f>
        <v>89</v>
      </c>
      <c r="O104" s="1" t="str">
        <f>IFERROR(__xludf.DUMMYFUNCTION("""COMPUTED_VALUE"""),"Pass")</f>
        <v>Pass</v>
      </c>
    </row>
    <row r="105" ht="15.75" customHeight="1">
      <c r="A105" s="1" t="str">
        <f>IFERROR(__xludf.DUMMYFUNCTION("""COMPUTED_VALUE"""),"STD-1468")</f>
        <v>STD-1468</v>
      </c>
      <c r="B105" s="1" t="str">
        <f>IFERROR(__xludf.DUMMYFUNCTION("""COMPUTED_VALUE"""),"Ritika Sharma")</f>
        <v>Ritika Sharma</v>
      </c>
      <c r="C105" s="1" t="str">
        <f>IFERROR(__xludf.DUMMYFUNCTION("""COMPUTED_VALUE"""),"Male")</f>
        <v>Male</v>
      </c>
      <c r="D105" s="1" t="str">
        <f>IFERROR(__xludf.DUMMYFUNCTION("""COMPUTED_VALUE"""),"10")</f>
        <v>10</v>
      </c>
      <c r="E105" s="1" t="str">
        <f>IFERROR(__xludf.DUMMYFUNCTION("""COMPUTED_VALUE"""),"B")</f>
        <v>B</v>
      </c>
      <c r="F105" s="1" t="str">
        <f>IFERROR(__xludf.DUMMYFUNCTION("""COMPUTED_VALUE"""),"Bhopal")</f>
        <v>Bhopal</v>
      </c>
      <c r="G105" s="1">
        <f>IFERROR(__xludf.DUMMYFUNCTION("""COMPUTED_VALUE"""),52.0)</f>
        <v>52</v>
      </c>
      <c r="H105" s="1">
        <f>IFERROR(__xludf.DUMMYFUNCTION("""COMPUTED_VALUE"""),96.0)</f>
        <v>96</v>
      </c>
      <c r="I105" s="1">
        <f>IFERROR(__xludf.DUMMYFUNCTION("""COMPUTED_VALUE"""),58.0)</f>
        <v>58</v>
      </c>
      <c r="J105" s="1">
        <f>IFERROR(__xludf.DUMMYFUNCTION("""COMPUTED_VALUE"""),79.0)</f>
        <v>79</v>
      </c>
      <c r="K105" s="1">
        <f>IFERROR(__xludf.DUMMYFUNCTION("""COMPUTED_VALUE"""),99.0)</f>
        <v>99</v>
      </c>
      <c r="L105" s="1">
        <f>IFERROR(__xludf.DUMMYFUNCTION("""COMPUTED_VALUE"""),384.0)</f>
        <v>384</v>
      </c>
      <c r="M105" s="1">
        <f>IFERROR(__xludf.DUMMYFUNCTION("""COMPUTED_VALUE"""),76.8)</f>
        <v>76.8</v>
      </c>
      <c r="N105" s="1">
        <f>IFERROR(__xludf.DUMMYFUNCTION("""COMPUTED_VALUE"""),85.0)</f>
        <v>85</v>
      </c>
      <c r="O105" s="1" t="str">
        <f>IFERROR(__xludf.DUMMYFUNCTION("""COMPUTED_VALUE"""),"Pass")</f>
        <v>Pass</v>
      </c>
    </row>
    <row r="106" ht="15.75" customHeight="1">
      <c r="A106" s="1" t="str">
        <f>IFERROR(__xludf.DUMMYFUNCTION("""COMPUTED_VALUE"""),"STD-1478")</f>
        <v>STD-1478</v>
      </c>
      <c r="B106" s="1" t="str">
        <f>IFERROR(__xludf.DUMMYFUNCTION("""COMPUTED_VALUE"""),"Vivaan Nair")</f>
        <v>Vivaan Nair</v>
      </c>
      <c r="C106" s="1" t="str">
        <f>IFERROR(__xludf.DUMMYFUNCTION("""COMPUTED_VALUE"""),"Male")</f>
        <v>Male</v>
      </c>
      <c r="D106" s="1" t="str">
        <f>IFERROR(__xludf.DUMMYFUNCTION("""COMPUTED_VALUE"""),"10")</f>
        <v>10</v>
      </c>
      <c r="E106" s="1" t="str">
        <f>IFERROR(__xludf.DUMMYFUNCTION("""COMPUTED_VALUE"""),"A")</f>
        <v>A</v>
      </c>
      <c r="F106" s="1" t="str">
        <f>IFERROR(__xludf.DUMMYFUNCTION("""COMPUTED_VALUE"""),"Chandigarh")</f>
        <v>Chandigarh</v>
      </c>
      <c r="G106" s="1">
        <f>IFERROR(__xludf.DUMMYFUNCTION("""COMPUTED_VALUE"""),60.0)</f>
        <v>60</v>
      </c>
      <c r="H106" s="1">
        <f>IFERROR(__xludf.DUMMYFUNCTION("""COMPUTED_VALUE"""),65.0)</f>
        <v>65</v>
      </c>
      <c r="I106" s="1">
        <f>IFERROR(__xludf.DUMMYFUNCTION("""COMPUTED_VALUE"""),59.0)</f>
        <v>59</v>
      </c>
      <c r="J106" s="1">
        <f>IFERROR(__xludf.DUMMYFUNCTION("""COMPUTED_VALUE"""),78.0)</f>
        <v>78</v>
      </c>
      <c r="K106" s="1">
        <f>IFERROR(__xludf.DUMMYFUNCTION("""COMPUTED_VALUE"""),48.0)</f>
        <v>48</v>
      </c>
      <c r="L106" s="1">
        <f>IFERROR(__xludf.DUMMYFUNCTION("""COMPUTED_VALUE"""),310.0)</f>
        <v>310</v>
      </c>
      <c r="M106" s="1">
        <f>IFERROR(__xludf.DUMMYFUNCTION("""COMPUTED_VALUE"""),62.0)</f>
        <v>62</v>
      </c>
      <c r="N106" s="1">
        <f>IFERROR(__xludf.DUMMYFUNCTION("""COMPUTED_VALUE"""),94.0)</f>
        <v>94</v>
      </c>
      <c r="O106" s="1" t="str">
        <f>IFERROR(__xludf.DUMMYFUNCTION("""COMPUTED_VALUE"""),"Pass")</f>
        <v>Pass</v>
      </c>
    </row>
    <row r="107" ht="15.75" customHeight="1">
      <c r="A107" s="1" t="str">
        <f>IFERROR(__xludf.DUMMYFUNCTION("""COMPUTED_VALUE"""),"STD-1487")</f>
        <v>STD-1487</v>
      </c>
      <c r="B107" s="1" t="str">
        <f>IFERROR(__xludf.DUMMYFUNCTION("""COMPUTED_VALUE"""),"Simran Choudhary")</f>
        <v>Simran Choudhary</v>
      </c>
      <c r="C107" s="1" t="str">
        <f>IFERROR(__xludf.DUMMYFUNCTION("""COMPUTED_VALUE"""),"Female")</f>
        <v>Female</v>
      </c>
      <c r="D107" s="1" t="str">
        <f>IFERROR(__xludf.DUMMYFUNCTION("""COMPUTED_VALUE"""),"10")</f>
        <v>10</v>
      </c>
      <c r="E107" s="1" t="str">
        <f>IFERROR(__xludf.DUMMYFUNCTION("""COMPUTED_VALUE"""),"A")</f>
        <v>A</v>
      </c>
      <c r="F107" s="1" t="str">
        <f>IFERROR(__xludf.DUMMYFUNCTION("""COMPUTED_VALUE"""),"Bhopal")</f>
        <v>Bhopal</v>
      </c>
      <c r="G107" s="1">
        <f>IFERROR(__xludf.DUMMYFUNCTION("""COMPUTED_VALUE"""),59.0)</f>
        <v>59</v>
      </c>
      <c r="H107" s="1">
        <f>IFERROR(__xludf.DUMMYFUNCTION("""COMPUTED_VALUE"""),77.0)</f>
        <v>77</v>
      </c>
      <c r="I107" s="1">
        <f>IFERROR(__xludf.DUMMYFUNCTION("""COMPUTED_VALUE"""),97.0)</f>
        <v>97</v>
      </c>
      <c r="J107" s="1">
        <f>IFERROR(__xludf.DUMMYFUNCTION("""COMPUTED_VALUE"""),68.0)</f>
        <v>68</v>
      </c>
      <c r="K107" s="1">
        <f>IFERROR(__xludf.DUMMYFUNCTION("""COMPUTED_VALUE"""),100.0)</f>
        <v>100</v>
      </c>
      <c r="L107" s="1">
        <f>IFERROR(__xludf.DUMMYFUNCTION("""COMPUTED_VALUE"""),401.0)</f>
        <v>401</v>
      </c>
      <c r="M107" s="1">
        <f>IFERROR(__xludf.DUMMYFUNCTION("""COMPUTED_VALUE"""),80.2)</f>
        <v>80.2</v>
      </c>
      <c r="N107" s="1">
        <f>IFERROR(__xludf.DUMMYFUNCTION("""COMPUTED_VALUE"""),72.0)</f>
        <v>72</v>
      </c>
      <c r="O107" s="1" t="str">
        <f>IFERROR(__xludf.DUMMYFUNCTION("""COMPUTED_VALUE"""),"Pass")</f>
        <v>Pass</v>
      </c>
    </row>
    <row r="108" ht="15.75" customHeight="1">
      <c r="A108" s="1" t="str">
        <f>IFERROR(__xludf.DUMMYFUNCTION("""COMPUTED_VALUE"""),"STD-1489")</f>
        <v>STD-1489</v>
      </c>
      <c r="B108" s="1" t="str">
        <f>IFERROR(__xludf.DUMMYFUNCTION("""COMPUTED_VALUE"""),"Sneha Kaur")</f>
        <v>Sneha Kaur</v>
      </c>
      <c r="C108" s="1" t="str">
        <f>IFERROR(__xludf.DUMMYFUNCTION("""COMPUTED_VALUE"""),"Female")</f>
        <v>Female</v>
      </c>
      <c r="D108" s="1" t="str">
        <f>IFERROR(__xludf.DUMMYFUNCTION("""COMPUTED_VALUE"""),"10")</f>
        <v>10</v>
      </c>
      <c r="E108" s="1" t="str">
        <f>IFERROR(__xludf.DUMMYFUNCTION("""COMPUTED_VALUE"""),"B")</f>
        <v>B</v>
      </c>
      <c r="F108" s="1" t="str">
        <f>IFERROR(__xludf.DUMMYFUNCTION("""COMPUTED_VALUE"""),"Mumbai")</f>
        <v>Mumbai</v>
      </c>
      <c r="G108" s="1">
        <f>IFERROR(__xludf.DUMMYFUNCTION("""COMPUTED_VALUE"""),92.0)</f>
        <v>92</v>
      </c>
      <c r="H108" s="1">
        <f>IFERROR(__xludf.DUMMYFUNCTION("""COMPUTED_VALUE"""),73.0)</f>
        <v>73</v>
      </c>
      <c r="I108" s="1">
        <f>IFERROR(__xludf.DUMMYFUNCTION("""COMPUTED_VALUE"""),82.0)</f>
        <v>82</v>
      </c>
      <c r="J108" s="1">
        <f>IFERROR(__xludf.DUMMYFUNCTION("""COMPUTED_VALUE"""),45.0)</f>
        <v>45</v>
      </c>
      <c r="K108" s="1">
        <f>IFERROR(__xludf.DUMMYFUNCTION("""COMPUTED_VALUE"""),69.0)</f>
        <v>69</v>
      </c>
      <c r="L108" s="1">
        <f>IFERROR(__xludf.DUMMYFUNCTION("""COMPUTED_VALUE"""),361.0)</f>
        <v>361</v>
      </c>
      <c r="M108" s="1">
        <f>IFERROR(__xludf.DUMMYFUNCTION("""COMPUTED_VALUE"""),72.2)</f>
        <v>72.2</v>
      </c>
      <c r="N108" s="1">
        <f>IFERROR(__xludf.DUMMYFUNCTION("""COMPUTED_VALUE"""),62.0)</f>
        <v>62</v>
      </c>
      <c r="O108" s="1" t="str">
        <f>IFERROR(__xludf.DUMMYFUNCTION("""COMPUTED_VALUE"""),"Pass")</f>
        <v>Pass</v>
      </c>
    </row>
    <row r="109" ht="15.75" customHeight="1">
      <c r="A109" s="1" t="str">
        <f>IFERROR(__xludf.DUMMYFUNCTION("""COMPUTED_VALUE"""),"STD-1491")</f>
        <v>STD-1491</v>
      </c>
      <c r="B109" s="1" t="str">
        <f>IFERROR(__xludf.DUMMYFUNCTION("""COMPUTED_VALUE"""),"Tanvi Choudhary")</f>
        <v>Tanvi Choudhary</v>
      </c>
      <c r="C109" s="1" t="str">
        <f>IFERROR(__xludf.DUMMYFUNCTION("""COMPUTED_VALUE"""),"Female")</f>
        <v>Female</v>
      </c>
      <c r="D109" s="1" t="str">
        <f>IFERROR(__xludf.DUMMYFUNCTION("""COMPUTED_VALUE"""),"10")</f>
        <v>10</v>
      </c>
      <c r="E109" s="1" t="str">
        <f>IFERROR(__xludf.DUMMYFUNCTION("""COMPUTED_VALUE"""),"B")</f>
        <v>B</v>
      </c>
      <c r="F109" s="1" t="str">
        <f>IFERROR(__xludf.DUMMYFUNCTION("""COMPUTED_VALUE"""),"Delhi")</f>
        <v>Delhi</v>
      </c>
      <c r="G109" s="1">
        <f>IFERROR(__xludf.DUMMYFUNCTION("""COMPUTED_VALUE"""),86.0)</f>
        <v>86</v>
      </c>
      <c r="H109" s="1">
        <f>IFERROR(__xludf.DUMMYFUNCTION("""COMPUTED_VALUE"""),44.0)</f>
        <v>44</v>
      </c>
      <c r="I109" s="1">
        <f>IFERROR(__xludf.DUMMYFUNCTION("""COMPUTED_VALUE"""),72.0)</f>
        <v>72</v>
      </c>
      <c r="J109" s="1">
        <f>IFERROR(__xludf.DUMMYFUNCTION("""COMPUTED_VALUE"""),69.0)</f>
        <v>69</v>
      </c>
      <c r="K109" s="1">
        <f>IFERROR(__xludf.DUMMYFUNCTION("""COMPUTED_VALUE"""),93.0)</f>
        <v>93</v>
      </c>
      <c r="L109" s="1">
        <f>IFERROR(__xludf.DUMMYFUNCTION("""COMPUTED_VALUE"""),364.0)</f>
        <v>364</v>
      </c>
      <c r="M109" s="1">
        <f>IFERROR(__xludf.DUMMYFUNCTION("""COMPUTED_VALUE"""),72.8)</f>
        <v>72.8</v>
      </c>
      <c r="N109" s="1">
        <f>IFERROR(__xludf.DUMMYFUNCTION("""COMPUTED_VALUE"""),68.0)</f>
        <v>68</v>
      </c>
      <c r="O109" s="1" t="str">
        <f>IFERROR(__xludf.DUMMYFUNCTION("""COMPUTED_VALUE"""),"Pass")</f>
        <v>Pass</v>
      </c>
    </row>
    <row r="110" ht="15.75" customHeight="1">
      <c r="A110" s="1" t="str">
        <f>IFERROR(__xludf.DUMMYFUNCTION("""COMPUTED_VALUE"""),"STD-1493")</f>
        <v>STD-1493</v>
      </c>
      <c r="B110" s="1" t="str">
        <f>IFERROR(__xludf.DUMMYFUNCTION("""COMPUTED_VALUE"""),"Simran Das")</f>
        <v>Simran Das</v>
      </c>
      <c r="C110" s="1" t="str">
        <f>IFERROR(__xludf.DUMMYFUNCTION("""COMPUTED_VALUE"""),"Male")</f>
        <v>Male</v>
      </c>
      <c r="D110" s="1" t="str">
        <f>IFERROR(__xludf.DUMMYFUNCTION("""COMPUTED_VALUE"""),"10")</f>
        <v>10</v>
      </c>
      <c r="E110" s="1" t="str">
        <f>IFERROR(__xludf.DUMMYFUNCTION("""COMPUTED_VALUE"""),"B")</f>
        <v>B</v>
      </c>
      <c r="F110" s="1" t="str">
        <f>IFERROR(__xludf.DUMMYFUNCTION("""COMPUTED_VALUE"""),"Mumbai")</f>
        <v>Mumbai</v>
      </c>
      <c r="G110" s="1">
        <f>IFERROR(__xludf.DUMMYFUNCTION("""COMPUTED_VALUE"""),53.0)</f>
        <v>53</v>
      </c>
      <c r="H110" s="1">
        <f>IFERROR(__xludf.DUMMYFUNCTION("""COMPUTED_VALUE"""),56.0)</f>
        <v>56</v>
      </c>
      <c r="I110" s="1">
        <f>IFERROR(__xludf.DUMMYFUNCTION("""COMPUTED_VALUE"""),55.0)</f>
        <v>55</v>
      </c>
      <c r="J110" s="1">
        <f>IFERROR(__xludf.DUMMYFUNCTION("""COMPUTED_VALUE"""),46.0)</f>
        <v>46</v>
      </c>
      <c r="K110" s="1">
        <f>IFERROR(__xludf.DUMMYFUNCTION("""COMPUTED_VALUE"""),52.0)</f>
        <v>52</v>
      </c>
      <c r="L110" s="1">
        <f>IFERROR(__xludf.DUMMYFUNCTION("""COMPUTED_VALUE"""),262.0)</f>
        <v>262</v>
      </c>
      <c r="M110" s="1">
        <f>IFERROR(__xludf.DUMMYFUNCTION("""COMPUTED_VALUE"""),52.4)</f>
        <v>52.4</v>
      </c>
      <c r="N110" s="1">
        <f>IFERROR(__xludf.DUMMYFUNCTION("""COMPUTED_VALUE"""),70.0)</f>
        <v>70</v>
      </c>
      <c r="O110" s="1" t="str">
        <f>IFERROR(__xludf.DUMMYFUNCTION("""COMPUTED_VALUE"""),"Pass")</f>
        <v>Pass</v>
      </c>
    </row>
    <row r="111" ht="15.75" customHeight="1">
      <c r="A111" s="1" t="str">
        <f>IFERROR(__xludf.DUMMYFUNCTION("""COMPUTED_VALUE"""),"STD-1499")</f>
        <v>STD-1499</v>
      </c>
      <c r="B111" s="1" t="str">
        <f>IFERROR(__xludf.DUMMYFUNCTION("""COMPUTED_VALUE"""),"Kavya Iyer")</f>
        <v>Kavya Iyer</v>
      </c>
      <c r="C111" s="1" t="str">
        <f>IFERROR(__xludf.DUMMYFUNCTION("""COMPUTED_VALUE"""),"Female")</f>
        <v>Female</v>
      </c>
      <c r="D111" s="1" t="str">
        <f>IFERROR(__xludf.DUMMYFUNCTION("""COMPUTED_VALUE"""),"10")</f>
        <v>10</v>
      </c>
      <c r="E111" s="1" t="str">
        <f>IFERROR(__xludf.DUMMYFUNCTION("""COMPUTED_VALUE"""),"A")</f>
        <v>A</v>
      </c>
      <c r="F111" s="1" t="str">
        <f>IFERROR(__xludf.DUMMYFUNCTION("""COMPUTED_VALUE"""),"Kolkata")</f>
        <v>Kolkata</v>
      </c>
      <c r="G111" s="1">
        <f>IFERROR(__xludf.DUMMYFUNCTION("""COMPUTED_VALUE"""),84.0)</f>
        <v>84</v>
      </c>
      <c r="H111" s="1">
        <f>IFERROR(__xludf.DUMMYFUNCTION("""COMPUTED_VALUE"""),76.0)</f>
        <v>76</v>
      </c>
      <c r="I111" s="1">
        <f>IFERROR(__xludf.DUMMYFUNCTION("""COMPUTED_VALUE"""),62.0)</f>
        <v>62</v>
      </c>
      <c r="J111" s="1">
        <f>IFERROR(__xludf.DUMMYFUNCTION("""COMPUTED_VALUE"""),60.0)</f>
        <v>60</v>
      </c>
      <c r="K111" s="1">
        <f>IFERROR(__xludf.DUMMYFUNCTION("""COMPUTED_VALUE"""),64.0)</f>
        <v>64</v>
      </c>
      <c r="L111" s="1">
        <f>IFERROR(__xludf.DUMMYFUNCTION("""COMPUTED_VALUE"""),346.0)</f>
        <v>346</v>
      </c>
      <c r="M111" s="1">
        <f>IFERROR(__xludf.DUMMYFUNCTION("""COMPUTED_VALUE"""),69.2)</f>
        <v>69.2</v>
      </c>
      <c r="N111" s="1">
        <f>IFERROR(__xludf.DUMMYFUNCTION("""COMPUTED_VALUE"""),64.0)</f>
        <v>64</v>
      </c>
      <c r="O111" s="1" t="str">
        <f>IFERROR(__xludf.DUMMYFUNCTION("""COMPUTED_VALUE"""),"Pass")</f>
        <v>Pass</v>
      </c>
    </row>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6" width="14.43"/>
  </cols>
  <sheetData>
    <row r="1">
      <c r="A1" s="2" t="str">
        <f t="array" ref="A1">'Questions Answers'!A16</f>
        <v>15. Find average marks in English for Male students.</v>
      </c>
      <c r="B1" s="2"/>
      <c r="C1" s="2"/>
      <c r="D1" s="2"/>
    </row>
    <row r="2" ht="15.0" customHeight="1">
      <c r="A2" s="2"/>
      <c r="B2" s="2"/>
      <c r="C2" s="2"/>
      <c r="D2" s="2"/>
    </row>
    <row r="3">
      <c r="A3" s="1" t="str">
        <f>IFERROR(__xludf.DUMMYFUNCTION("QUERY(Student_Data!A1:O1000, ""SELECT C, AVG(I) WHERE C = 'Male' GROUP BY C LABEL C 'Gender', AVG(I) 'Average English Marks'"")"),"Gender")</f>
        <v>Gender</v>
      </c>
      <c r="B3" s="1" t="str">
        <f>IFERROR(__xludf.DUMMYFUNCTION("""COMPUTED_VALUE"""),"Average English Marks")</f>
        <v>Average English Marks</v>
      </c>
    </row>
    <row r="4">
      <c r="A4" s="1" t="str">
        <f>IFERROR(__xludf.DUMMYFUNCTION("""COMPUTED_VALUE"""),"Male")</f>
        <v>Male</v>
      </c>
      <c r="B4" s="1">
        <f>IFERROR(__xludf.DUMMYFUNCTION("""COMPUTED_VALUE"""),70.036)</f>
        <v>70.036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6" width="14.43"/>
  </cols>
  <sheetData>
    <row r="1">
      <c r="A1" s="2" t="str">
        <f t="array" ref="A1">'Questions Answers'!A17</f>
        <v>16. Calculate average percentage of students from Jaipur.</v>
      </c>
      <c r="B1" s="2"/>
      <c r="C1" s="2"/>
      <c r="D1" s="2"/>
    </row>
    <row r="2" ht="15.0" customHeight="1">
      <c r="A2" s="2"/>
      <c r="B2" s="2"/>
      <c r="C2" s="2"/>
      <c r="D2" s="2"/>
    </row>
    <row r="3">
      <c r="A3" s="1" t="str">
        <f>IFERROR(__xludf.DUMMYFUNCTION("QUERY(Student_Data!A1:O1000, ""SELECT F, AVG(M) WHERE F = 'Jaipur' GROUP BY F LABEL F 'City', AVG(M) 'Average Percentage'"")"),"City")</f>
        <v>City</v>
      </c>
      <c r="B3" s="1" t="str">
        <f>IFERROR(__xludf.DUMMYFUNCTION("""COMPUTED_VALUE"""),"Average Percentage")</f>
        <v>Average Percentage</v>
      </c>
    </row>
    <row r="4">
      <c r="A4" s="1" t="str">
        <f>IFERROR(__xludf.DUMMYFUNCTION("""COMPUTED_VALUE"""),"Jaipur")</f>
        <v>Jaipur</v>
      </c>
      <c r="B4" s="1">
        <f>IFERROR(__xludf.DUMMYFUNCTION("""COMPUTED_VALUE"""),71.3121212121212)</f>
        <v>71.31212121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6" width="14.43"/>
  </cols>
  <sheetData>
    <row r="1">
      <c r="A1" s="2" t="str">
        <f t="array" ref="A1">'Questions Answers'!A18</f>
        <v>17. Find average attendance of students who passed.</v>
      </c>
      <c r="B1" s="2"/>
      <c r="C1" s="2"/>
      <c r="D1" s="2"/>
    </row>
    <row r="2" ht="15.0" customHeight="1">
      <c r="A2" s="2"/>
      <c r="B2" s="2"/>
      <c r="C2" s="2"/>
      <c r="D2" s="2"/>
    </row>
    <row r="3">
      <c r="A3" s="1" t="str">
        <f>IFERROR(__xludf.DUMMYFUNCTION("QUERY(Student_Data!A1:O1000, ""SELECT O, AVG(N) WHERE O = 'Pass' GROUP BY O LABEL O 'Status', AVG(N) 'Average Attendance'"")"),"Status")</f>
        <v>Status</v>
      </c>
      <c r="B3" s="1" t="str">
        <f>IFERROR(__xludf.DUMMYFUNCTION("""COMPUTED_VALUE"""),"Average Attendance")</f>
        <v>Average Attendance</v>
      </c>
    </row>
    <row r="4">
      <c r="A4" s="1" t="str">
        <f>IFERROR(__xludf.DUMMYFUNCTION("""COMPUTED_VALUE"""),"Pass")</f>
        <v>Pass</v>
      </c>
      <c r="B4" s="1">
        <f>IFERROR(__xludf.DUMMYFUNCTION("""COMPUTED_VALUE"""),80.54909819639279)</f>
        <v>80.5490982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6" width="14.43"/>
  </cols>
  <sheetData>
    <row r="1">
      <c r="A1" s="2" t="str">
        <f>'Questions Answers'!A19</f>
        <v>18. Categorize students as “Topper” if percentage is above 85, otherwise “Average”.</v>
      </c>
      <c r="B1" s="2"/>
      <c r="C1" s="2"/>
      <c r="D1" s="2"/>
      <c r="E1" s="2"/>
    </row>
    <row r="3">
      <c r="A3" s="1" t="s">
        <v>0</v>
      </c>
      <c r="B3" s="1" t="s">
        <v>1</v>
      </c>
      <c r="C3" s="1" t="s">
        <v>12</v>
      </c>
      <c r="D3" s="1" t="s">
        <v>811</v>
      </c>
    </row>
    <row r="4">
      <c r="A4" s="1" t="s">
        <v>15</v>
      </c>
      <c r="B4" s="1" t="s">
        <v>16</v>
      </c>
      <c r="C4" s="1">
        <v>69.4</v>
      </c>
      <c r="D4" s="1" t="s">
        <v>812</v>
      </c>
    </row>
    <row r="5">
      <c r="A5" s="1" t="s">
        <v>22</v>
      </c>
      <c r="B5" s="1" t="s">
        <v>23</v>
      </c>
      <c r="C5" s="1">
        <v>75.8</v>
      </c>
      <c r="D5" s="1" t="s">
        <v>812</v>
      </c>
    </row>
    <row r="6">
      <c r="A6" s="1" t="s">
        <v>27</v>
      </c>
      <c r="B6" s="1" t="s">
        <v>28</v>
      </c>
      <c r="C6" s="1">
        <v>60.0</v>
      </c>
      <c r="D6" s="1" t="s">
        <v>812</v>
      </c>
    </row>
    <row r="7">
      <c r="A7" s="1" t="s">
        <v>30</v>
      </c>
      <c r="B7" s="1" t="s">
        <v>31</v>
      </c>
      <c r="C7" s="1">
        <v>74.4</v>
      </c>
      <c r="D7" s="1" t="s">
        <v>812</v>
      </c>
    </row>
    <row r="8">
      <c r="A8" s="1" t="s">
        <v>33</v>
      </c>
      <c r="B8" s="1" t="s">
        <v>34</v>
      </c>
      <c r="C8" s="1">
        <v>68.8</v>
      </c>
      <c r="D8" s="1" t="s">
        <v>812</v>
      </c>
    </row>
    <row r="9">
      <c r="A9" s="1" t="s">
        <v>35</v>
      </c>
      <c r="B9" s="1" t="s">
        <v>36</v>
      </c>
      <c r="C9" s="1">
        <v>69.6</v>
      </c>
      <c r="D9" s="1" t="s">
        <v>812</v>
      </c>
    </row>
    <row r="10">
      <c r="A10" s="1" t="s">
        <v>38</v>
      </c>
      <c r="B10" s="1" t="s">
        <v>39</v>
      </c>
      <c r="C10" s="1">
        <v>72.8</v>
      </c>
      <c r="D10" s="1" t="s">
        <v>812</v>
      </c>
    </row>
    <row r="11">
      <c r="A11" s="1" t="s">
        <v>42</v>
      </c>
      <c r="B11" s="1" t="s">
        <v>43</v>
      </c>
      <c r="C11" s="1">
        <v>63.2</v>
      </c>
      <c r="D11" s="1" t="s">
        <v>812</v>
      </c>
    </row>
    <row r="12">
      <c r="A12" s="1" t="s">
        <v>45</v>
      </c>
      <c r="B12" s="1" t="s">
        <v>46</v>
      </c>
      <c r="C12" s="1">
        <v>62.4</v>
      </c>
      <c r="D12" s="1" t="s">
        <v>812</v>
      </c>
    </row>
    <row r="13">
      <c r="A13" s="1" t="s">
        <v>48</v>
      </c>
      <c r="B13" s="1" t="s">
        <v>49</v>
      </c>
      <c r="C13" s="1">
        <v>70.6</v>
      </c>
      <c r="D13" s="1" t="s">
        <v>812</v>
      </c>
    </row>
    <row r="14">
      <c r="A14" s="1" t="s">
        <v>50</v>
      </c>
      <c r="B14" s="1" t="s">
        <v>51</v>
      </c>
      <c r="C14" s="1">
        <v>55.6</v>
      </c>
      <c r="D14" s="1" t="s">
        <v>812</v>
      </c>
    </row>
    <row r="15">
      <c r="A15" s="1" t="s">
        <v>52</v>
      </c>
      <c r="B15" s="1" t="s">
        <v>53</v>
      </c>
      <c r="C15" s="1">
        <v>61.8</v>
      </c>
      <c r="D15" s="1" t="s">
        <v>812</v>
      </c>
    </row>
    <row r="16">
      <c r="A16" s="1" t="s">
        <v>56</v>
      </c>
      <c r="B16" s="1" t="s">
        <v>57</v>
      </c>
      <c r="C16" s="1">
        <v>59.4</v>
      </c>
      <c r="D16" s="1" t="s">
        <v>812</v>
      </c>
    </row>
    <row r="17">
      <c r="A17" s="1" t="s">
        <v>58</v>
      </c>
      <c r="B17" s="1" t="s">
        <v>59</v>
      </c>
      <c r="C17" s="1">
        <v>67.8</v>
      </c>
      <c r="D17" s="1" t="s">
        <v>812</v>
      </c>
    </row>
    <row r="18">
      <c r="A18" s="1" t="s">
        <v>60</v>
      </c>
      <c r="B18" s="1" t="s">
        <v>61</v>
      </c>
      <c r="C18" s="1">
        <v>69.0</v>
      </c>
      <c r="D18" s="1" t="s">
        <v>812</v>
      </c>
    </row>
    <row r="19">
      <c r="A19" s="1" t="s">
        <v>63</v>
      </c>
      <c r="B19" s="1" t="s">
        <v>64</v>
      </c>
      <c r="C19" s="1">
        <v>61.0</v>
      </c>
      <c r="D19" s="1" t="s">
        <v>812</v>
      </c>
    </row>
    <row r="20">
      <c r="A20" s="1" t="s">
        <v>65</v>
      </c>
      <c r="B20" s="1" t="s">
        <v>66</v>
      </c>
      <c r="C20" s="1">
        <v>73.0</v>
      </c>
      <c r="D20" s="1" t="s">
        <v>812</v>
      </c>
    </row>
    <row r="21" ht="15.75" customHeight="1">
      <c r="A21" s="1" t="s">
        <v>67</v>
      </c>
      <c r="B21" s="1" t="s">
        <v>68</v>
      </c>
      <c r="C21" s="1">
        <v>75.8</v>
      </c>
      <c r="D21" s="1" t="s">
        <v>812</v>
      </c>
    </row>
    <row r="22" ht="15.75" customHeight="1">
      <c r="A22" s="1" t="s">
        <v>69</v>
      </c>
      <c r="B22" s="1" t="s">
        <v>70</v>
      </c>
      <c r="C22" s="1">
        <v>80.6</v>
      </c>
      <c r="D22" s="1" t="s">
        <v>812</v>
      </c>
    </row>
    <row r="23" ht="15.75" customHeight="1">
      <c r="A23" s="1" t="s">
        <v>71</v>
      </c>
      <c r="B23" s="1" t="s">
        <v>72</v>
      </c>
      <c r="C23" s="1">
        <v>72.8</v>
      </c>
      <c r="D23" s="1" t="s">
        <v>812</v>
      </c>
    </row>
    <row r="24" ht="15.75" customHeight="1">
      <c r="A24" s="1" t="s">
        <v>73</v>
      </c>
      <c r="B24" s="1" t="s">
        <v>74</v>
      </c>
      <c r="C24" s="1">
        <v>63.0</v>
      </c>
      <c r="D24" s="1" t="s">
        <v>812</v>
      </c>
    </row>
    <row r="25" ht="15.75" customHeight="1">
      <c r="A25" s="1" t="s">
        <v>75</v>
      </c>
      <c r="B25" s="1" t="s">
        <v>76</v>
      </c>
      <c r="C25" s="1">
        <v>67.6</v>
      </c>
      <c r="D25" s="1" t="s">
        <v>812</v>
      </c>
    </row>
    <row r="26" ht="15.75" customHeight="1">
      <c r="A26" s="1" t="s">
        <v>78</v>
      </c>
      <c r="B26" s="1" t="s">
        <v>79</v>
      </c>
      <c r="C26" s="1">
        <v>78.0</v>
      </c>
      <c r="D26" s="1" t="s">
        <v>812</v>
      </c>
    </row>
    <row r="27" ht="15.75" customHeight="1">
      <c r="A27" s="1" t="s">
        <v>80</v>
      </c>
      <c r="B27" s="1" t="s">
        <v>81</v>
      </c>
      <c r="C27" s="1">
        <v>72.8</v>
      </c>
      <c r="D27" s="1" t="s">
        <v>812</v>
      </c>
    </row>
    <row r="28" ht="15.75" customHeight="1">
      <c r="A28" s="1" t="s">
        <v>82</v>
      </c>
      <c r="B28" s="1" t="s">
        <v>83</v>
      </c>
      <c r="C28" s="1">
        <v>64.8</v>
      </c>
      <c r="D28" s="1" t="s">
        <v>812</v>
      </c>
    </row>
    <row r="29" ht="15.75" customHeight="1">
      <c r="A29" s="1" t="s">
        <v>84</v>
      </c>
      <c r="B29" s="1" t="s">
        <v>85</v>
      </c>
      <c r="C29" s="1">
        <v>68.6</v>
      </c>
      <c r="D29" s="1" t="s">
        <v>812</v>
      </c>
    </row>
    <row r="30" ht="15.75" customHeight="1">
      <c r="A30" s="1" t="s">
        <v>86</v>
      </c>
      <c r="B30" s="1" t="s">
        <v>87</v>
      </c>
      <c r="C30" s="1">
        <v>71.2</v>
      </c>
      <c r="D30" s="1" t="s">
        <v>812</v>
      </c>
    </row>
    <row r="31" ht="15.75" customHeight="1">
      <c r="A31" s="1" t="s">
        <v>88</v>
      </c>
      <c r="B31" s="1" t="s">
        <v>89</v>
      </c>
      <c r="C31" s="1">
        <v>77.8</v>
      </c>
      <c r="D31" s="1" t="s">
        <v>812</v>
      </c>
    </row>
    <row r="32" ht="15.75" customHeight="1">
      <c r="A32" s="1" t="s">
        <v>90</v>
      </c>
      <c r="B32" s="1" t="s">
        <v>91</v>
      </c>
      <c r="C32" s="1">
        <v>79.8</v>
      </c>
      <c r="D32" s="1" t="s">
        <v>812</v>
      </c>
    </row>
    <row r="33" ht="15.75" customHeight="1">
      <c r="A33" s="1" t="s">
        <v>92</v>
      </c>
      <c r="B33" s="1" t="s">
        <v>93</v>
      </c>
      <c r="C33" s="1">
        <v>68.2</v>
      </c>
      <c r="D33" s="1" t="s">
        <v>812</v>
      </c>
    </row>
    <row r="34" ht="15.75" customHeight="1">
      <c r="A34" s="1" t="s">
        <v>94</v>
      </c>
      <c r="B34" s="1" t="s">
        <v>79</v>
      </c>
      <c r="C34" s="1">
        <v>64.4</v>
      </c>
      <c r="D34" s="1" t="s">
        <v>812</v>
      </c>
    </row>
    <row r="35" ht="15.75" customHeight="1">
      <c r="A35" s="1" t="s">
        <v>95</v>
      </c>
      <c r="B35" s="1" t="s">
        <v>96</v>
      </c>
      <c r="C35" s="1">
        <v>74.6</v>
      </c>
      <c r="D35" s="1" t="s">
        <v>812</v>
      </c>
    </row>
    <row r="36" ht="15.75" customHeight="1">
      <c r="A36" s="1" t="s">
        <v>97</v>
      </c>
      <c r="B36" s="1" t="s">
        <v>83</v>
      </c>
      <c r="C36" s="1">
        <v>68.6</v>
      </c>
      <c r="D36" s="1" t="s">
        <v>812</v>
      </c>
    </row>
    <row r="37" ht="15.75" customHeight="1">
      <c r="A37" s="1" t="s">
        <v>98</v>
      </c>
      <c r="B37" s="1" t="s">
        <v>99</v>
      </c>
      <c r="C37" s="1">
        <v>69.4</v>
      </c>
      <c r="D37" s="1" t="s">
        <v>812</v>
      </c>
    </row>
    <row r="38" ht="15.75" customHeight="1">
      <c r="A38" s="1" t="s">
        <v>100</v>
      </c>
      <c r="B38" s="1" t="s">
        <v>101</v>
      </c>
      <c r="C38" s="1">
        <v>60.6</v>
      </c>
      <c r="D38" s="1" t="s">
        <v>812</v>
      </c>
    </row>
    <row r="39" ht="15.75" customHeight="1">
      <c r="A39" s="1" t="s">
        <v>102</v>
      </c>
      <c r="B39" s="1" t="s">
        <v>103</v>
      </c>
      <c r="C39" s="1">
        <v>73.2</v>
      </c>
      <c r="D39" s="1" t="s">
        <v>812</v>
      </c>
    </row>
    <row r="40" ht="15.75" customHeight="1">
      <c r="A40" s="1" t="s">
        <v>104</v>
      </c>
      <c r="B40" s="1" t="s">
        <v>105</v>
      </c>
      <c r="C40" s="1">
        <v>69.0</v>
      </c>
      <c r="D40" s="1" t="s">
        <v>812</v>
      </c>
    </row>
    <row r="41" ht="15.75" customHeight="1">
      <c r="A41" s="1" t="s">
        <v>106</v>
      </c>
      <c r="B41" s="1" t="s">
        <v>107</v>
      </c>
      <c r="C41" s="1">
        <v>65.8</v>
      </c>
      <c r="D41" s="1" t="s">
        <v>812</v>
      </c>
    </row>
    <row r="42" ht="15.75" customHeight="1">
      <c r="A42" s="1" t="s">
        <v>108</v>
      </c>
      <c r="B42" s="1" t="s">
        <v>109</v>
      </c>
      <c r="C42" s="1">
        <v>59.0</v>
      </c>
      <c r="D42" s="1" t="s">
        <v>812</v>
      </c>
    </row>
    <row r="43" ht="15.75" customHeight="1">
      <c r="A43" s="1" t="s">
        <v>110</v>
      </c>
      <c r="B43" s="1" t="s">
        <v>111</v>
      </c>
      <c r="C43" s="1">
        <v>65.4</v>
      </c>
      <c r="D43" s="1" t="s">
        <v>812</v>
      </c>
    </row>
    <row r="44" ht="15.75" customHeight="1">
      <c r="A44" s="1" t="s">
        <v>112</v>
      </c>
      <c r="B44" s="1" t="s">
        <v>113</v>
      </c>
      <c r="C44" s="1">
        <v>75.2</v>
      </c>
      <c r="D44" s="1" t="s">
        <v>812</v>
      </c>
    </row>
    <row r="45" ht="15.75" customHeight="1">
      <c r="A45" s="1" t="s">
        <v>114</v>
      </c>
      <c r="B45" s="1" t="s">
        <v>115</v>
      </c>
      <c r="C45" s="1">
        <v>70.8</v>
      </c>
      <c r="D45" s="1" t="s">
        <v>812</v>
      </c>
    </row>
    <row r="46" ht="15.75" customHeight="1">
      <c r="A46" s="1" t="s">
        <v>116</v>
      </c>
      <c r="B46" s="1" t="s">
        <v>117</v>
      </c>
      <c r="C46" s="1">
        <v>66.8</v>
      </c>
      <c r="D46" s="1" t="s">
        <v>812</v>
      </c>
    </row>
    <row r="47" ht="15.75" customHeight="1">
      <c r="A47" s="1" t="s">
        <v>118</v>
      </c>
      <c r="B47" s="1" t="s">
        <v>119</v>
      </c>
      <c r="C47" s="1">
        <v>70.2</v>
      </c>
      <c r="D47" s="1" t="s">
        <v>812</v>
      </c>
    </row>
    <row r="48" ht="15.75" customHeight="1">
      <c r="A48" s="1" t="s">
        <v>120</v>
      </c>
      <c r="B48" s="1" t="s">
        <v>121</v>
      </c>
      <c r="C48" s="1">
        <v>63.4</v>
      </c>
      <c r="D48" s="1" t="s">
        <v>812</v>
      </c>
    </row>
    <row r="49" ht="15.75" customHeight="1">
      <c r="A49" s="1" t="s">
        <v>122</v>
      </c>
      <c r="B49" s="1" t="s">
        <v>123</v>
      </c>
      <c r="C49" s="1">
        <v>69.4</v>
      </c>
      <c r="D49" s="1" t="s">
        <v>812</v>
      </c>
    </row>
    <row r="50" ht="15.75" customHeight="1">
      <c r="A50" s="1" t="s">
        <v>124</v>
      </c>
      <c r="B50" s="1" t="s">
        <v>125</v>
      </c>
      <c r="C50" s="1">
        <v>62.4</v>
      </c>
      <c r="D50" s="1" t="s">
        <v>812</v>
      </c>
    </row>
    <row r="51" ht="15.75" customHeight="1">
      <c r="A51" s="1" t="s">
        <v>126</v>
      </c>
      <c r="B51" s="1" t="s">
        <v>127</v>
      </c>
      <c r="C51" s="1">
        <v>70.0</v>
      </c>
      <c r="D51" s="1" t="s">
        <v>812</v>
      </c>
    </row>
    <row r="52" ht="15.75" customHeight="1">
      <c r="A52" s="1" t="s">
        <v>128</v>
      </c>
      <c r="B52" s="1" t="s">
        <v>101</v>
      </c>
      <c r="C52" s="1">
        <v>57.4</v>
      </c>
      <c r="D52" s="1" t="s">
        <v>812</v>
      </c>
    </row>
    <row r="53" ht="15.75" customHeight="1">
      <c r="A53" s="1" t="s">
        <v>129</v>
      </c>
      <c r="B53" s="1" t="s">
        <v>96</v>
      </c>
      <c r="C53" s="1">
        <v>69.8</v>
      </c>
      <c r="D53" s="1" t="s">
        <v>812</v>
      </c>
    </row>
    <row r="54" ht="15.75" customHeight="1">
      <c r="A54" s="1" t="s">
        <v>130</v>
      </c>
      <c r="B54" s="1" t="s">
        <v>131</v>
      </c>
      <c r="C54" s="1">
        <v>73.4</v>
      </c>
      <c r="D54" s="1" t="s">
        <v>812</v>
      </c>
    </row>
    <row r="55" ht="15.75" customHeight="1">
      <c r="A55" s="1" t="s">
        <v>132</v>
      </c>
      <c r="B55" s="1" t="s">
        <v>133</v>
      </c>
      <c r="C55" s="1">
        <v>61.6</v>
      </c>
      <c r="D55" s="1" t="s">
        <v>812</v>
      </c>
    </row>
    <row r="56" ht="15.75" customHeight="1">
      <c r="A56" s="1" t="s">
        <v>134</v>
      </c>
      <c r="B56" s="1" t="s">
        <v>135</v>
      </c>
      <c r="C56" s="1">
        <v>76.0</v>
      </c>
      <c r="D56" s="1" t="s">
        <v>812</v>
      </c>
    </row>
    <row r="57" ht="15.75" customHeight="1">
      <c r="A57" s="1" t="s">
        <v>136</v>
      </c>
      <c r="B57" s="1" t="s">
        <v>137</v>
      </c>
      <c r="C57" s="1">
        <v>65.6</v>
      </c>
      <c r="D57" s="1" t="s">
        <v>812</v>
      </c>
    </row>
    <row r="58" ht="15.75" customHeight="1">
      <c r="A58" s="1" t="s">
        <v>138</v>
      </c>
      <c r="B58" s="1" t="s">
        <v>139</v>
      </c>
      <c r="C58" s="1">
        <v>83.0</v>
      </c>
      <c r="D58" s="1" t="s">
        <v>812</v>
      </c>
    </row>
    <row r="59" ht="15.75" customHeight="1">
      <c r="A59" s="1" t="s">
        <v>140</v>
      </c>
      <c r="B59" s="1" t="s">
        <v>141</v>
      </c>
      <c r="C59" s="1">
        <v>59.6</v>
      </c>
      <c r="D59" s="1" t="s">
        <v>812</v>
      </c>
    </row>
    <row r="60" ht="15.75" customHeight="1">
      <c r="A60" s="1" t="s">
        <v>142</v>
      </c>
      <c r="B60" s="1" t="s">
        <v>46</v>
      </c>
      <c r="C60" s="1">
        <v>63.8</v>
      </c>
      <c r="D60" s="1" t="s">
        <v>812</v>
      </c>
    </row>
    <row r="61" ht="15.75" customHeight="1">
      <c r="A61" s="1" t="s">
        <v>143</v>
      </c>
      <c r="B61" s="1" t="s">
        <v>79</v>
      </c>
      <c r="C61" s="1">
        <v>61.2</v>
      </c>
      <c r="D61" s="1" t="s">
        <v>812</v>
      </c>
    </row>
    <row r="62" ht="15.75" customHeight="1">
      <c r="A62" s="1" t="s">
        <v>144</v>
      </c>
      <c r="B62" s="1" t="s">
        <v>145</v>
      </c>
      <c r="C62" s="1">
        <v>75.4</v>
      </c>
      <c r="D62" s="1" t="s">
        <v>812</v>
      </c>
    </row>
    <row r="63" ht="15.75" customHeight="1">
      <c r="A63" s="1" t="s">
        <v>146</v>
      </c>
      <c r="B63" s="1" t="s">
        <v>147</v>
      </c>
      <c r="C63" s="1">
        <v>69.4</v>
      </c>
      <c r="D63" s="1" t="s">
        <v>812</v>
      </c>
    </row>
    <row r="64" ht="15.75" customHeight="1">
      <c r="A64" s="1" t="s">
        <v>148</v>
      </c>
      <c r="B64" s="1" t="s">
        <v>149</v>
      </c>
      <c r="C64" s="1">
        <v>71.8</v>
      </c>
      <c r="D64" s="1" t="s">
        <v>812</v>
      </c>
    </row>
    <row r="65" ht="15.75" customHeight="1">
      <c r="A65" s="1" t="s">
        <v>150</v>
      </c>
      <c r="B65" s="1" t="s">
        <v>151</v>
      </c>
      <c r="C65" s="1">
        <v>85.8</v>
      </c>
      <c r="D65" s="1" t="s">
        <v>813</v>
      </c>
    </row>
    <row r="66" ht="15.75" customHeight="1">
      <c r="A66" s="1" t="s">
        <v>152</v>
      </c>
      <c r="B66" s="1" t="s">
        <v>153</v>
      </c>
      <c r="C66" s="1">
        <v>77.8</v>
      </c>
      <c r="D66" s="1" t="s">
        <v>812</v>
      </c>
    </row>
    <row r="67" ht="15.75" customHeight="1">
      <c r="A67" s="1" t="s">
        <v>154</v>
      </c>
      <c r="B67" s="1" t="s">
        <v>64</v>
      </c>
      <c r="C67" s="1">
        <v>71.8</v>
      </c>
      <c r="D67" s="1" t="s">
        <v>812</v>
      </c>
    </row>
    <row r="68" ht="15.75" customHeight="1">
      <c r="A68" s="1" t="s">
        <v>155</v>
      </c>
      <c r="B68" s="1" t="s">
        <v>156</v>
      </c>
      <c r="C68" s="1">
        <v>61.2</v>
      </c>
      <c r="D68" s="1" t="s">
        <v>812</v>
      </c>
    </row>
    <row r="69" ht="15.75" customHeight="1">
      <c r="A69" s="1" t="s">
        <v>157</v>
      </c>
      <c r="B69" s="1" t="s">
        <v>158</v>
      </c>
      <c r="C69" s="1">
        <v>73.0</v>
      </c>
      <c r="D69" s="1" t="s">
        <v>812</v>
      </c>
    </row>
    <row r="70" ht="15.75" customHeight="1">
      <c r="A70" s="1" t="s">
        <v>159</v>
      </c>
      <c r="B70" s="1" t="s">
        <v>121</v>
      </c>
      <c r="C70" s="1">
        <v>69.2</v>
      </c>
      <c r="D70" s="1" t="s">
        <v>812</v>
      </c>
    </row>
    <row r="71" ht="15.75" customHeight="1">
      <c r="A71" s="1" t="s">
        <v>160</v>
      </c>
      <c r="B71" s="1" t="s">
        <v>161</v>
      </c>
      <c r="C71" s="1">
        <v>73.8</v>
      </c>
      <c r="D71" s="1" t="s">
        <v>812</v>
      </c>
    </row>
    <row r="72" ht="15.75" customHeight="1">
      <c r="A72" s="1" t="s">
        <v>162</v>
      </c>
      <c r="B72" s="1" t="s">
        <v>163</v>
      </c>
      <c r="C72" s="1">
        <v>67.6</v>
      </c>
      <c r="D72" s="1" t="s">
        <v>812</v>
      </c>
    </row>
    <row r="73" ht="15.75" customHeight="1">
      <c r="A73" s="1" t="s">
        <v>164</v>
      </c>
      <c r="B73" s="1" t="s">
        <v>165</v>
      </c>
      <c r="C73" s="1">
        <v>68.4</v>
      </c>
      <c r="D73" s="1" t="s">
        <v>812</v>
      </c>
    </row>
    <row r="74" ht="15.75" customHeight="1">
      <c r="A74" s="1" t="s">
        <v>166</v>
      </c>
      <c r="B74" s="1" t="s">
        <v>167</v>
      </c>
      <c r="C74" s="1">
        <v>65.2</v>
      </c>
      <c r="D74" s="1" t="s">
        <v>812</v>
      </c>
    </row>
    <row r="75" ht="15.75" customHeight="1">
      <c r="A75" s="1" t="s">
        <v>168</v>
      </c>
      <c r="B75" s="1" t="s">
        <v>169</v>
      </c>
      <c r="C75" s="1">
        <v>68.6</v>
      </c>
      <c r="D75" s="1" t="s">
        <v>812</v>
      </c>
    </row>
    <row r="76" ht="15.75" customHeight="1">
      <c r="A76" s="1" t="s">
        <v>170</v>
      </c>
      <c r="B76" s="1" t="s">
        <v>171</v>
      </c>
      <c r="C76" s="1">
        <v>70.2</v>
      </c>
      <c r="D76" s="1" t="s">
        <v>812</v>
      </c>
    </row>
    <row r="77" ht="15.75" customHeight="1">
      <c r="A77" s="1" t="s">
        <v>172</v>
      </c>
      <c r="B77" s="1" t="s">
        <v>99</v>
      </c>
      <c r="C77" s="1">
        <v>78.8</v>
      </c>
      <c r="D77" s="1" t="s">
        <v>812</v>
      </c>
    </row>
    <row r="78" ht="15.75" customHeight="1">
      <c r="A78" s="1" t="s">
        <v>173</v>
      </c>
      <c r="B78" s="1" t="s">
        <v>68</v>
      </c>
      <c r="C78" s="1">
        <v>73.4</v>
      </c>
      <c r="D78" s="1" t="s">
        <v>812</v>
      </c>
    </row>
    <row r="79" ht="15.75" customHeight="1">
      <c r="A79" s="1" t="s">
        <v>174</v>
      </c>
      <c r="B79" s="1" t="s">
        <v>175</v>
      </c>
      <c r="C79" s="1">
        <v>68.4</v>
      </c>
      <c r="D79" s="1" t="s">
        <v>812</v>
      </c>
    </row>
    <row r="80" ht="15.75" customHeight="1">
      <c r="A80" s="1" t="s">
        <v>176</v>
      </c>
      <c r="B80" s="1" t="s">
        <v>57</v>
      </c>
      <c r="C80" s="1">
        <v>60.4</v>
      </c>
      <c r="D80" s="1" t="s">
        <v>812</v>
      </c>
    </row>
    <row r="81" ht="15.75" customHeight="1">
      <c r="A81" s="1" t="s">
        <v>177</v>
      </c>
      <c r="B81" s="1" t="s">
        <v>178</v>
      </c>
      <c r="C81" s="1">
        <v>82.8</v>
      </c>
      <c r="D81" s="1" t="s">
        <v>812</v>
      </c>
    </row>
    <row r="82" ht="15.75" customHeight="1">
      <c r="A82" s="1" t="s">
        <v>179</v>
      </c>
      <c r="B82" s="1" t="s">
        <v>133</v>
      </c>
      <c r="C82" s="1">
        <v>66.0</v>
      </c>
      <c r="D82" s="1" t="s">
        <v>812</v>
      </c>
    </row>
    <row r="83" ht="15.75" customHeight="1">
      <c r="A83" s="1" t="s">
        <v>180</v>
      </c>
      <c r="B83" s="1" t="s">
        <v>181</v>
      </c>
      <c r="C83" s="1">
        <v>67.6</v>
      </c>
      <c r="D83" s="1" t="s">
        <v>812</v>
      </c>
    </row>
    <row r="84" ht="15.75" customHeight="1">
      <c r="A84" s="1" t="s">
        <v>182</v>
      </c>
      <c r="B84" s="1" t="s">
        <v>183</v>
      </c>
      <c r="C84" s="1">
        <v>66.0</v>
      </c>
      <c r="D84" s="1" t="s">
        <v>812</v>
      </c>
    </row>
    <row r="85" ht="15.75" customHeight="1">
      <c r="A85" s="1" t="s">
        <v>184</v>
      </c>
      <c r="B85" s="1" t="s">
        <v>185</v>
      </c>
      <c r="C85" s="1">
        <v>67.2</v>
      </c>
      <c r="D85" s="1" t="s">
        <v>812</v>
      </c>
    </row>
    <row r="86" ht="15.75" customHeight="1">
      <c r="A86" s="1" t="s">
        <v>186</v>
      </c>
      <c r="B86" s="1" t="s">
        <v>187</v>
      </c>
      <c r="C86" s="1">
        <v>76.4</v>
      </c>
      <c r="D86" s="1" t="s">
        <v>812</v>
      </c>
    </row>
    <row r="87" ht="15.75" customHeight="1">
      <c r="A87" s="1" t="s">
        <v>188</v>
      </c>
      <c r="B87" s="1" t="s">
        <v>189</v>
      </c>
      <c r="C87" s="1">
        <v>66.6</v>
      </c>
      <c r="D87" s="1" t="s">
        <v>812</v>
      </c>
    </row>
    <row r="88" ht="15.75" customHeight="1">
      <c r="A88" s="1" t="s">
        <v>190</v>
      </c>
      <c r="B88" s="1" t="s">
        <v>191</v>
      </c>
      <c r="C88" s="1">
        <v>59.6</v>
      </c>
      <c r="D88" s="1" t="s">
        <v>812</v>
      </c>
    </row>
    <row r="89" ht="15.75" customHeight="1">
      <c r="A89" s="1" t="s">
        <v>192</v>
      </c>
      <c r="B89" s="1" t="s">
        <v>193</v>
      </c>
      <c r="C89" s="1">
        <v>79.6</v>
      </c>
      <c r="D89" s="1" t="s">
        <v>812</v>
      </c>
    </row>
    <row r="90" ht="15.75" customHeight="1">
      <c r="A90" s="1" t="s">
        <v>194</v>
      </c>
      <c r="B90" s="1" t="s">
        <v>96</v>
      </c>
      <c r="C90" s="1">
        <v>68.0</v>
      </c>
      <c r="D90" s="1" t="s">
        <v>812</v>
      </c>
    </row>
    <row r="91" ht="15.75" customHeight="1">
      <c r="A91" s="1" t="s">
        <v>195</v>
      </c>
      <c r="B91" s="1" t="s">
        <v>163</v>
      </c>
      <c r="C91" s="1">
        <v>80.0</v>
      </c>
      <c r="D91" s="1" t="s">
        <v>812</v>
      </c>
    </row>
    <row r="92" ht="15.75" customHeight="1">
      <c r="A92" s="1" t="s">
        <v>196</v>
      </c>
      <c r="B92" s="1" t="s">
        <v>197</v>
      </c>
      <c r="C92" s="1">
        <v>63.8</v>
      </c>
      <c r="D92" s="1" t="s">
        <v>812</v>
      </c>
    </row>
    <row r="93" ht="15.75" customHeight="1">
      <c r="A93" s="1" t="s">
        <v>198</v>
      </c>
      <c r="B93" s="1" t="s">
        <v>199</v>
      </c>
      <c r="C93" s="1">
        <v>71.4</v>
      </c>
      <c r="D93" s="1" t="s">
        <v>812</v>
      </c>
    </row>
    <row r="94" ht="15.75" customHeight="1">
      <c r="A94" s="1" t="s">
        <v>200</v>
      </c>
      <c r="B94" s="1" t="s">
        <v>201</v>
      </c>
      <c r="C94" s="1">
        <v>73.8</v>
      </c>
      <c r="D94" s="1" t="s">
        <v>812</v>
      </c>
    </row>
    <row r="95" ht="15.75" customHeight="1">
      <c r="A95" s="1" t="s">
        <v>202</v>
      </c>
      <c r="B95" s="1" t="s">
        <v>117</v>
      </c>
      <c r="C95" s="1">
        <v>59.8</v>
      </c>
      <c r="D95" s="1" t="s">
        <v>812</v>
      </c>
    </row>
    <row r="96" ht="15.75" customHeight="1">
      <c r="A96" s="1" t="s">
        <v>203</v>
      </c>
      <c r="B96" s="1" t="s">
        <v>204</v>
      </c>
      <c r="C96" s="1">
        <v>75.8</v>
      </c>
      <c r="D96" s="1" t="s">
        <v>812</v>
      </c>
    </row>
    <row r="97" ht="15.75" customHeight="1">
      <c r="A97" s="1" t="s">
        <v>205</v>
      </c>
      <c r="B97" s="1" t="s">
        <v>206</v>
      </c>
      <c r="C97" s="1">
        <v>69.8</v>
      </c>
      <c r="D97" s="1" t="s">
        <v>812</v>
      </c>
    </row>
    <row r="98" ht="15.75" customHeight="1">
      <c r="A98" s="1" t="s">
        <v>207</v>
      </c>
      <c r="B98" s="1" t="s">
        <v>208</v>
      </c>
      <c r="C98" s="1">
        <v>57.4</v>
      </c>
      <c r="D98" s="1" t="s">
        <v>812</v>
      </c>
    </row>
    <row r="99" ht="15.75" customHeight="1">
      <c r="A99" s="1" t="s">
        <v>209</v>
      </c>
      <c r="B99" s="1" t="s">
        <v>23</v>
      </c>
      <c r="C99" s="1">
        <v>70.2</v>
      </c>
      <c r="D99" s="1" t="s">
        <v>812</v>
      </c>
    </row>
    <row r="100" ht="15.75" customHeight="1">
      <c r="A100" s="1" t="s">
        <v>210</v>
      </c>
      <c r="B100" s="1" t="s">
        <v>211</v>
      </c>
      <c r="C100" s="1">
        <v>60.2</v>
      </c>
      <c r="D100" s="1" t="s">
        <v>812</v>
      </c>
    </row>
    <row r="101" ht="15.75" customHeight="1">
      <c r="A101" s="1" t="s">
        <v>212</v>
      </c>
      <c r="B101" s="1" t="s">
        <v>125</v>
      </c>
      <c r="C101" s="1">
        <v>80.4</v>
      </c>
      <c r="D101" s="1" t="s">
        <v>812</v>
      </c>
    </row>
    <row r="102" ht="15.75" customHeight="1">
      <c r="A102" s="1" t="s">
        <v>213</v>
      </c>
      <c r="B102" s="1" t="s">
        <v>214</v>
      </c>
      <c r="C102" s="1">
        <v>72.0</v>
      </c>
      <c r="D102" s="1" t="s">
        <v>812</v>
      </c>
    </row>
    <row r="103" ht="15.75" customHeight="1">
      <c r="A103" s="1" t="s">
        <v>215</v>
      </c>
      <c r="B103" s="1" t="s">
        <v>115</v>
      </c>
      <c r="C103" s="1">
        <v>67.8</v>
      </c>
      <c r="D103" s="1" t="s">
        <v>812</v>
      </c>
    </row>
    <row r="104" ht="15.75" customHeight="1">
      <c r="A104" s="1" t="s">
        <v>216</v>
      </c>
      <c r="B104" s="1" t="s">
        <v>217</v>
      </c>
      <c r="C104" s="1">
        <v>61.6</v>
      </c>
      <c r="D104" s="1" t="s">
        <v>812</v>
      </c>
    </row>
    <row r="105" ht="15.75" customHeight="1">
      <c r="A105" s="1" t="s">
        <v>218</v>
      </c>
      <c r="B105" s="1" t="s">
        <v>219</v>
      </c>
      <c r="C105" s="1">
        <v>63.6</v>
      </c>
      <c r="D105" s="1" t="s">
        <v>812</v>
      </c>
    </row>
    <row r="106" ht="15.75" customHeight="1">
      <c r="A106" s="1" t="s">
        <v>220</v>
      </c>
      <c r="B106" s="1" t="s">
        <v>221</v>
      </c>
      <c r="C106" s="1">
        <v>61.6</v>
      </c>
      <c r="D106" s="1" t="s">
        <v>812</v>
      </c>
    </row>
    <row r="107" ht="15.75" customHeight="1">
      <c r="A107" s="1" t="s">
        <v>222</v>
      </c>
      <c r="B107" s="1" t="s">
        <v>223</v>
      </c>
      <c r="C107" s="1">
        <v>77.4</v>
      </c>
      <c r="D107" s="1" t="s">
        <v>812</v>
      </c>
    </row>
    <row r="108" ht="15.75" customHeight="1">
      <c r="A108" s="1" t="s">
        <v>224</v>
      </c>
      <c r="B108" s="1" t="s">
        <v>225</v>
      </c>
      <c r="C108" s="1">
        <v>77.6</v>
      </c>
      <c r="D108" s="1" t="s">
        <v>812</v>
      </c>
    </row>
    <row r="109" ht="15.75" customHeight="1">
      <c r="A109" s="1" t="s">
        <v>226</v>
      </c>
      <c r="B109" s="1" t="s">
        <v>227</v>
      </c>
      <c r="C109" s="1">
        <v>69.8</v>
      </c>
      <c r="D109" s="1" t="s">
        <v>812</v>
      </c>
    </row>
    <row r="110" ht="15.75" customHeight="1">
      <c r="A110" s="1" t="s">
        <v>228</v>
      </c>
      <c r="B110" s="1" t="s">
        <v>229</v>
      </c>
      <c r="C110" s="1">
        <v>78.8</v>
      </c>
      <c r="D110" s="1" t="s">
        <v>812</v>
      </c>
    </row>
    <row r="111" ht="15.75" customHeight="1">
      <c r="A111" s="1" t="s">
        <v>230</v>
      </c>
      <c r="B111" s="1" t="s">
        <v>231</v>
      </c>
      <c r="C111" s="1">
        <v>65.4</v>
      </c>
      <c r="D111" s="1" t="s">
        <v>812</v>
      </c>
    </row>
    <row r="112" ht="15.75" customHeight="1">
      <c r="A112" s="1" t="s">
        <v>232</v>
      </c>
      <c r="B112" s="1" t="s">
        <v>233</v>
      </c>
      <c r="C112" s="1">
        <v>74.8</v>
      </c>
      <c r="D112" s="1" t="s">
        <v>812</v>
      </c>
    </row>
    <row r="113" ht="15.75" customHeight="1">
      <c r="A113" s="1" t="s">
        <v>234</v>
      </c>
      <c r="B113" s="1" t="s">
        <v>235</v>
      </c>
      <c r="C113" s="1">
        <v>51.2</v>
      </c>
      <c r="D113" s="1" t="s">
        <v>812</v>
      </c>
    </row>
    <row r="114" ht="15.75" customHeight="1">
      <c r="A114" s="1" t="s">
        <v>236</v>
      </c>
      <c r="B114" s="1" t="s">
        <v>237</v>
      </c>
      <c r="C114" s="1">
        <v>73.0</v>
      </c>
      <c r="D114" s="1" t="s">
        <v>812</v>
      </c>
    </row>
    <row r="115" ht="15.75" customHeight="1">
      <c r="A115" s="1" t="s">
        <v>238</v>
      </c>
      <c r="B115" s="1" t="s">
        <v>239</v>
      </c>
      <c r="C115" s="1">
        <v>55.8</v>
      </c>
      <c r="D115" s="1" t="s">
        <v>812</v>
      </c>
    </row>
    <row r="116" ht="15.75" customHeight="1">
      <c r="A116" s="1" t="s">
        <v>240</v>
      </c>
      <c r="B116" s="1" t="s">
        <v>201</v>
      </c>
      <c r="C116" s="1">
        <v>79.0</v>
      </c>
      <c r="D116" s="1" t="s">
        <v>812</v>
      </c>
    </row>
    <row r="117" ht="15.75" customHeight="1">
      <c r="A117" s="1" t="s">
        <v>241</v>
      </c>
      <c r="B117" s="1" t="s">
        <v>242</v>
      </c>
      <c r="C117" s="1">
        <v>61.6</v>
      </c>
      <c r="D117" s="1" t="s">
        <v>812</v>
      </c>
    </row>
    <row r="118" ht="15.75" customHeight="1">
      <c r="A118" s="1" t="s">
        <v>243</v>
      </c>
      <c r="B118" s="1" t="s">
        <v>244</v>
      </c>
      <c r="C118" s="1">
        <v>68.0</v>
      </c>
      <c r="D118" s="1" t="s">
        <v>812</v>
      </c>
    </row>
    <row r="119" ht="15.75" customHeight="1">
      <c r="A119" s="1" t="s">
        <v>245</v>
      </c>
      <c r="B119" s="1" t="s">
        <v>246</v>
      </c>
      <c r="C119" s="1">
        <v>72.4</v>
      </c>
      <c r="D119" s="1" t="s">
        <v>812</v>
      </c>
    </row>
    <row r="120" ht="15.75" customHeight="1">
      <c r="A120" s="1" t="s">
        <v>247</v>
      </c>
      <c r="B120" s="1" t="s">
        <v>145</v>
      </c>
      <c r="C120" s="1">
        <v>63.0</v>
      </c>
      <c r="D120" s="1" t="s">
        <v>812</v>
      </c>
    </row>
    <row r="121" ht="15.75" customHeight="1">
      <c r="A121" s="1" t="s">
        <v>248</v>
      </c>
      <c r="B121" s="1" t="s">
        <v>211</v>
      </c>
      <c r="C121" s="1">
        <v>76.8</v>
      </c>
      <c r="D121" s="1" t="s">
        <v>812</v>
      </c>
    </row>
    <row r="122" ht="15.75" customHeight="1">
      <c r="A122" s="1" t="s">
        <v>249</v>
      </c>
      <c r="B122" s="1" t="s">
        <v>250</v>
      </c>
      <c r="C122" s="1">
        <v>78.2</v>
      </c>
      <c r="D122" s="1" t="s">
        <v>812</v>
      </c>
    </row>
    <row r="123" ht="15.75" customHeight="1">
      <c r="A123" s="1" t="s">
        <v>251</v>
      </c>
      <c r="B123" s="1" t="s">
        <v>252</v>
      </c>
      <c r="C123" s="1">
        <v>72.4</v>
      </c>
      <c r="D123" s="1" t="s">
        <v>812</v>
      </c>
    </row>
    <row r="124" ht="15.75" customHeight="1">
      <c r="A124" s="1" t="s">
        <v>253</v>
      </c>
      <c r="B124" s="1" t="s">
        <v>250</v>
      </c>
      <c r="C124" s="1">
        <v>77.8</v>
      </c>
      <c r="D124" s="1" t="s">
        <v>812</v>
      </c>
    </row>
    <row r="125" ht="15.75" customHeight="1">
      <c r="A125" s="1" t="s">
        <v>254</v>
      </c>
      <c r="B125" s="1" t="s">
        <v>107</v>
      </c>
      <c r="C125" s="1">
        <v>59.6</v>
      </c>
      <c r="D125" s="1" t="s">
        <v>812</v>
      </c>
    </row>
    <row r="126" ht="15.75" customHeight="1">
      <c r="A126" s="1" t="s">
        <v>255</v>
      </c>
      <c r="B126" s="1" t="s">
        <v>256</v>
      </c>
      <c r="C126" s="1">
        <v>70.2</v>
      </c>
      <c r="D126" s="1" t="s">
        <v>812</v>
      </c>
    </row>
    <row r="127" ht="15.75" customHeight="1">
      <c r="A127" s="1" t="s">
        <v>257</v>
      </c>
      <c r="B127" s="1" t="s">
        <v>204</v>
      </c>
      <c r="C127" s="1">
        <v>61.8</v>
      </c>
      <c r="D127" s="1" t="s">
        <v>812</v>
      </c>
    </row>
    <row r="128" ht="15.75" customHeight="1">
      <c r="A128" s="1" t="s">
        <v>258</v>
      </c>
      <c r="B128" s="1" t="s">
        <v>259</v>
      </c>
      <c r="C128" s="1">
        <v>56.6</v>
      </c>
      <c r="D128" s="1" t="s">
        <v>812</v>
      </c>
    </row>
    <row r="129" ht="15.75" customHeight="1">
      <c r="A129" s="1" t="s">
        <v>260</v>
      </c>
      <c r="B129" s="1" t="s">
        <v>261</v>
      </c>
      <c r="C129" s="1">
        <v>69.4</v>
      </c>
      <c r="D129" s="1" t="s">
        <v>812</v>
      </c>
    </row>
    <row r="130" ht="15.75" customHeight="1">
      <c r="A130" s="1" t="s">
        <v>262</v>
      </c>
      <c r="B130" s="1" t="s">
        <v>263</v>
      </c>
      <c r="C130" s="1">
        <v>54.0</v>
      </c>
      <c r="D130" s="1" t="s">
        <v>812</v>
      </c>
    </row>
    <row r="131" ht="15.75" customHeight="1">
      <c r="A131" s="1" t="s">
        <v>264</v>
      </c>
      <c r="B131" s="1" t="s">
        <v>265</v>
      </c>
      <c r="C131" s="1">
        <v>77.6</v>
      </c>
      <c r="D131" s="1" t="s">
        <v>812</v>
      </c>
    </row>
    <row r="132" ht="15.75" customHeight="1">
      <c r="A132" s="1" t="s">
        <v>266</v>
      </c>
      <c r="B132" s="1" t="s">
        <v>242</v>
      </c>
      <c r="C132" s="1">
        <v>73.0</v>
      </c>
      <c r="D132" s="1" t="s">
        <v>812</v>
      </c>
    </row>
    <row r="133" ht="15.75" customHeight="1">
      <c r="A133" s="1" t="s">
        <v>267</v>
      </c>
      <c r="B133" s="1" t="s">
        <v>268</v>
      </c>
      <c r="C133" s="1">
        <v>84.6</v>
      </c>
      <c r="D133" s="1" t="s">
        <v>812</v>
      </c>
    </row>
    <row r="134" ht="15.75" customHeight="1">
      <c r="A134" s="1" t="s">
        <v>269</v>
      </c>
      <c r="B134" s="1" t="s">
        <v>270</v>
      </c>
      <c r="C134" s="1">
        <v>58.0</v>
      </c>
      <c r="D134" s="1" t="s">
        <v>812</v>
      </c>
    </row>
    <row r="135" ht="15.75" customHeight="1">
      <c r="A135" s="1" t="s">
        <v>271</v>
      </c>
      <c r="B135" s="1" t="s">
        <v>235</v>
      </c>
      <c r="C135" s="1">
        <v>66.6</v>
      </c>
      <c r="D135" s="1" t="s">
        <v>812</v>
      </c>
    </row>
    <row r="136" ht="15.75" customHeight="1">
      <c r="A136" s="1" t="s">
        <v>272</v>
      </c>
      <c r="B136" s="1" t="s">
        <v>59</v>
      </c>
      <c r="C136" s="1">
        <v>78.6</v>
      </c>
      <c r="D136" s="1" t="s">
        <v>812</v>
      </c>
    </row>
    <row r="137" ht="15.75" customHeight="1">
      <c r="A137" s="1" t="s">
        <v>273</v>
      </c>
      <c r="B137" s="1" t="s">
        <v>274</v>
      </c>
      <c r="C137" s="1">
        <v>74.0</v>
      </c>
      <c r="D137" s="1" t="s">
        <v>812</v>
      </c>
    </row>
    <row r="138" ht="15.75" customHeight="1">
      <c r="A138" s="1" t="s">
        <v>275</v>
      </c>
      <c r="B138" s="1" t="s">
        <v>51</v>
      </c>
      <c r="C138" s="1">
        <v>71.2</v>
      </c>
      <c r="D138" s="1" t="s">
        <v>812</v>
      </c>
    </row>
    <row r="139" ht="15.75" customHeight="1">
      <c r="A139" s="1" t="s">
        <v>276</v>
      </c>
      <c r="B139" s="1" t="s">
        <v>277</v>
      </c>
      <c r="C139" s="1">
        <v>71.0</v>
      </c>
      <c r="D139" s="1" t="s">
        <v>812</v>
      </c>
    </row>
    <row r="140" ht="15.75" customHeight="1">
      <c r="A140" s="1" t="s">
        <v>278</v>
      </c>
      <c r="B140" s="1" t="s">
        <v>279</v>
      </c>
      <c r="C140" s="1">
        <v>80.4</v>
      </c>
      <c r="D140" s="1" t="s">
        <v>812</v>
      </c>
    </row>
    <row r="141" ht="15.75" customHeight="1">
      <c r="A141" s="1" t="s">
        <v>280</v>
      </c>
      <c r="B141" s="1" t="s">
        <v>281</v>
      </c>
      <c r="C141" s="1">
        <v>76.8</v>
      </c>
      <c r="D141" s="1" t="s">
        <v>812</v>
      </c>
    </row>
    <row r="142" ht="15.75" customHeight="1">
      <c r="A142" s="1" t="s">
        <v>282</v>
      </c>
      <c r="B142" s="1" t="s">
        <v>283</v>
      </c>
      <c r="C142" s="1">
        <v>72.0</v>
      </c>
      <c r="D142" s="1" t="s">
        <v>812</v>
      </c>
    </row>
    <row r="143" ht="15.75" customHeight="1">
      <c r="A143" s="1" t="s">
        <v>284</v>
      </c>
      <c r="B143" s="1" t="s">
        <v>285</v>
      </c>
      <c r="C143" s="1">
        <v>56.4</v>
      </c>
      <c r="D143" s="1" t="s">
        <v>812</v>
      </c>
    </row>
    <row r="144" ht="15.75" customHeight="1">
      <c r="A144" s="1" t="s">
        <v>286</v>
      </c>
      <c r="B144" s="1" t="s">
        <v>287</v>
      </c>
      <c r="C144" s="1">
        <v>64.8</v>
      </c>
      <c r="D144" s="1" t="s">
        <v>812</v>
      </c>
    </row>
    <row r="145" ht="15.75" customHeight="1">
      <c r="A145" s="1" t="s">
        <v>288</v>
      </c>
      <c r="B145" s="1" t="s">
        <v>289</v>
      </c>
      <c r="C145" s="1">
        <v>72.6</v>
      </c>
      <c r="D145" s="1" t="s">
        <v>812</v>
      </c>
    </row>
    <row r="146" ht="15.75" customHeight="1">
      <c r="A146" s="1" t="s">
        <v>290</v>
      </c>
      <c r="B146" s="1" t="s">
        <v>291</v>
      </c>
      <c r="C146" s="1">
        <v>65.0</v>
      </c>
      <c r="D146" s="1" t="s">
        <v>812</v>
      </c>
    </row>
    <row r="147" ht="15.75" customHeight="1">
      <c r="A147" s="1" t="s">
        <v>292</v>
      </c>
      <c r="B147" s="1" t="s">
        <v>277</v>
      </c>
      <c r="C147" s="1">
        <v>65.8</v>
      </c>
      <c r="D147" s="1" t="s">
        <v>812</v>
      </c>
    </row>
    <row r="148" ht="15.75" customHeight="1">
      <c r="A148" s="1" t="s">
        <v>293</v>
      </c>
      <c r="B148" s="1" t="s">
        <v>59</v>
      </c>
      <c r="C148" s="1">
        <v>62.4</v>
      </c>
      <c r="D148" s="1" t="s">
        <v>812</v>
      </c>
    </row>
    <row r="149" ht="15.75" customHeight="1">
      <c r="A149" s="1" t="s">
        <v>294</v>
      </c>
      <c r="B149" s="1" t="s">
        <v>295</v>
      </c>
      <c r="C149" s="1">
        <v>73.8</v>
      </c>
      <c r="D149" s="1" t="s">
        <v>812</v>
      </c>
    </row>
    <row r="150" ht="15.75" customHeight="1">
      <c r="A150" s="1" t="s">
        <v>296</v>
      </c>
      <c r="B150" s="1" t="s">
        <v>297</v>
      </c>
      <c r="C150" s="1">
        <v>68.2</v>
      </c>
      <c r="D150" s="1" t="s">
        <v>812</v>
      </c>
    </row>
    <row r="151" ht="15.75" customHeight="1">
      <c r="A151" s="1" t="s">
        <v>298</v>
      </c>
      <c r="B151" s="1" t="s">
        <v>299</v>
      </c>
      <c r="C151" s="1">
        <v>76.4</v>
      </c>
      <c r="D151" s="1" t="s">
        <v>812</v>
      </c>
    </row>
    <row r="152" ht="15.75" customHeight="1">
      <c r="A152" s="1" t="s">
        <v>300</v>
      </c>
      <c r="B152" s="1" t="s">
        <v>301</v>
      </c>
      <c r="C152" s="1">
        <v>79.0</v>
      </c>
      <c r="D152" s="1" t="s">
        <v>812</v>
      </c>
    </row>
    <row r="153" ht="15.75" customHeight="1">
      <c r="A153" s="1" t="s">
        <v>302</v>
      </c>
      <c r="B153" s="1" t="s">
        <v>208</v>
      </c>
      <c r="C153" s="1">
        <v>70.0</v>
      </c>
      <c r="D153" s="1" t="s">
        <v>812</v>
      </c>
    </row>
    <row r="154" ht="15.75" customHeight="1">
      <c r="A154" s="1" t="s">
        <v>303</v>
      </c>
      <c r="B154" s="1" t="s">
        <v>304</v>
      </c>
      <c r="C154" s="1">
        <v>68.4</v>
      </c>
      <c r="D154" s="1" t="s">
        <v>812</v>
      </c>
    </row>
    <row r="155" ht="15.75" customHeight="1">
      <c r="A155" s="1" t="s">
        <v>305</v>
      </c>
      <c r="B155" s="1" t="s">
        <v>306</v>
      </c>
      <c r="C155" s="1">
        <v>66.6</v>
      </c>
      <c r="D155" s="1" t="s">
        <v>812</v>
      </c>
    </row>
    <row r="156" ht="15.75" customHeight="1">
      <c r="A156" s="1" t="s">
        <v>307</v>
      </c>
      <c r="B156" s="1" t="s">
        <v>85</v>
      </c>
      <c r="C156" s="1">
        <v>67.0</v>
      </c>
      <c r="D156" s="1" t="s">
        <v>812</v>
      </c>
    </row>
    <row r="157" ht="15.75" customHeight="1">
      <c r="A157" s="1" t="s">
        <v>308</v>
      </c>
      <c r="B157" s="1" t="s">
        <v>309</v>
      </c>
      <c r="C157" s="1">
        <v>80.2</v>
      </c>
      <c r="D157" s="1" t="s">
        <v>812</v>
      </c>
    </row>
    <row r="158" ht="15.75" customHeight="1">
      <c r="A158" s="1" t="s">
        <v>310</v>
      </c>
      <c r="B158" s="1" t="s">
        <v>311</v>
      </c>
      <c r="C158" s="1">
        <v>69.6</v>
      </c>
      <c r="D158" s="1" t="s">
        <v>812</v>
      </c>
    </row>
    <row r="159" ht="15.75" customHeight="1">
      <c r="A159" s="1" t="s">
        <v>312</v>
      </c>
      <c r="B159" s="1" t="s">
        <v>313</v>
      </c>
      <c r="C159" s="1">
        <v>58.2</v>
      </c>
      <c r="D159" s="1" t="s">
        <v>812</v>
      </c>
    </row>
    <row r="160" ht="15.75" customHeight="1">
      <c r="A160" s="1" t="s">
        <v>314</v>
      </c>
      <c r="B160" s="1" t="s">
        <v>315</v>
      </c>
      <c r="C160" s="1">
        <v>62.2</v>
      </c>
      <c r="D160" s="1" t="s">
        <v>812</v>
      </c>
    </row>
    <row r="161" ht="15.75" customHeight="1">
      <c r="A161" s="1" t="s">
        <v>316</v>
      </c>
      <c r="B161" s="1" t="s">
        <v>225</v>
      </c>
      <c r="C161" s="1">
        <v>70.8</v>
      </c>
      <c r="D161" s="1" t="s">
        <v>812</v>
      </c>
    </row>
    <row r="162" ht="15.75" customHeight="1">
      <c r="A162" s="1" t="s">
        <v>317</v>
      </c>
      <c r="B162" s="1" t="s">
        <v>318</v>
      </c>
      <c r="C162" s="1">
        <v>56.8</v>
      </c>
      <c r="D162" s="1" t="s">
        <v>812</v>
      </c>
    </row>
    <row r="163" ht="15.75" customHeight="1">
      <c r="A163" s="1" t="s">
        <v>319</v>
      </c>
      <c r="B163" s="1" t="s">
        <v>320</v>
      </c>
      <c r="C163" s="1">
        <v>67.0</v>
      </c>
      <c r="D163" s="1" t="s">
        <v>812</v>
      </c>
    </row>
    <row r="164" ht="15.75" customHeight="1">
      <c r="A164" s="1" t="s">
        <v>321</v>
      </c>
      <c r="B164" s="1" t="s">
        <v>281</v>
      </c>
      <c r="C164" s="1">
        <v>68.2</v>
      </c>
      <c r="D164" s="1" t="s">
        <v>812</v>
      </c>
    </row>
    <row r="165" ht="15.75" customHeight="1">
      <c r="A165" s="1" t="s">
        <v>322</v>
      </c>
      <c r="B165" s="1" t="s">
        <v>137</v>
      </c>
      <c r="C165" s="1">
        <v>68.0</v>
      </c>
      <c r="D165" s="1" t="s">
        <v>812</v>
      </c>
    </row>
    <row r="166" ht="15.75" customHeight="1">
      <c r="A166" s="1" t="s">
        <v>323</v>
      </c>
      <c r="B166" s="1" t="s">
        <v>324</v>
      </c>
      <c r="C166" s="1">
        <v>69.8</v>
      </c>
      <c r="D166" s="1" t="s">
        <v>812</v>
      </c>
    </row>
    <row r="167" ht="15.75" customHeight="1">
      <c r="A167" s="1" t="s">
        <v>325</v>
      </c>
      <c r="B167" s="1" t="s">
        <v>326</v>
      </c>
      <c r="C167" s="1">
        <v>84.6</v>
      </c>
      <c r="D167" s="1" t="s">
        <v>812</v>
      </c>
    </row>
    <row r="168" ht="15.75" customHeight="1">
      <c r="A168" s="1" t="s">
        <v>327</v>
      </c>
      <c r="B168" s="1" t="s">
        <v>328</v>
      </c>
      <c r="C168" s="1">
        <v>52.8</v>
      </c>
      <c r="D168" s="1" t="s">
        <v>812</v>
      </c>
    </row>
    <row r="169" ht="15.75" customHeight="1">
      <c r="A169" s="1" t="s">
        <v>329</v>
      </c>
      <c r="B169" s="1" t="s">
        <v>330</v>
      </c>
      <c r="C169" s="1">
        <v>71.6</v>
      </c>
      <c r="D169" s="1" t="s">
        <v>812</v>
      </c>
    </row>
    <row r="170" ht="15.75" customHeight="1">
      <c r="A170" s="1" t="s">
        <v>331</v>
      </c>
      <c r="B170" s="1" t="s">
        <v>109</v>
      </c>
      <c r="C170" s="1">
        <v>57.2</v>
      </c>
      <c r="D170" s="1" t="s">
        <v>812</v>
      </c>
    </row>
    <row r="171" ht="15.75" customHeight="1">
      <c r="A171" s="1" t="s">
        <v>332</v>
      </c>
      <c r="B171" s="1" t="s">
        <v>333</v>
      </c>
      <c r="C171" s="1">
        <v>66.8</v>
      </c>
      <c r="D171" s="1" t="s">
        <v>812</v>
      </c>
    </row>
    <row r="172" ht="15.75" customHeight="1">
      <c r="A172" s="1" t="s">
        <v>334</v>
      </c>
      <c r="B172" s="1" t="s">
        <v>335</v>
      </c>
      <c r="C172" s="1">
        <v>76.4</v>
      </c>
      <c r="D172" s="1" t="s">
        <v>812</v>
      </c>
    </row>
    <row r="173" ht="15.75" customHeight="1">
      <c r="A173" s="1" t="s">
        <v>336</v>
      </c>
      <c r="B173" s="1" t="s">
        <v>156</v>
      </c>
      <c r="C173" s="1">
        <v>69.0</v>
      </c>
      <c r="D173" s="1" t="s">
        <v>812</v>
      </c>
    </row>
    <row r="174" ht="15.75" customHeight="1">
      <c r="A174" s="1" t="s">
        <v>337</v>
      </c>
      <c r="B174" s="1" t="s">
        <v>338</v>
      </c>
      <c r="C174" s="1">
        <v>69.8</v>
      </c>
      <c r="D174" s="1" t="s">
        <v>812</v>
      </c>
    </row>
    <row r="175" ht="15.75" customHeight="1">
      <c r="A175" s="1" t="s">
        <v>339</v>
      </c>
      <c r="B175" s="1" t="s">
        <v>340</v>
      </c>
      <c r="C175" s="1">
        <v>73.0</v>
      </c>
      <c r="D175" s="1" t="s">
        <v>812</v>
      </c>
    </row>
    <row r="176" ht="15.75" customHeight="1">
      <c r="A176" s="1" t="s">
        <v>341</v>
      </c>
      <c r="B176" s="1" t="s">
        <v>185</v>
      </c>
      <c r="C176" s="1">
        <v>64.2</v>
      </c>
      <c r="D176" s="1" t="s">
        <v>812</v>
      </c>
    </row>
    <row r="177" ht="15.75" customHeight="1">
      <c r="A177" s="1" t="s">
        <v>342</v>
      </c>
      <c r="B177" s="1" t="s">
        <v>281</v>
      </c>
      <c r="C177" s="1">
        <v>68.6</v>
      </c>
      <c r="D177" s="1" t="s">
        <v>812</v>
      </c>
    </row>
    <row r="178" ht="15.75" customHeight="1">
      <c r="A178" s="1" t="s">
        <v>343</v>
      </c>
      <c r="B178" s="1" t="s">
        <v>344</v>
      </c>
      <c r="C178" s="1">
        <v>70.4</v>
      </c>
      <c r="D178" s="1" t="s">
        <v>812</v>
      </c>
    </row>
    <row r="179" ht="15.75" customHeight="1">
      <c r="A179" s="1" t="s">
        <v>345</v>
      </c>
      <c r="B179" s="1" t="s">
        <v>133</v>
      </c>
      <c r="C179" s="1">
        <v>70.6</v>
      </c>
      <c r="D179" s="1" t="s">
        <v>812</v>
      </c>
    </row>
    <row r="180" ht="15.75" customHeight="1">
      <c r="A180" s="1" t="s">
        <v>346</v>
      </c>
      <c r="B180" s="1" t="s">
        <v>347</v>
      </c>
      <c r="C180" s="1">
        <v>77.8</v>
      </c>
      <c r="D180" s="1" t="s">
        <v>812</v>
      </c>
    </row>
    <row r="181" ht="15.75" customHeight="1">
      <c r="A181" s="1" t="s">
        <v>348</v>
      </c>
      <c r="B181" s="1" t="s">
        <v>349</v>
      </c>
      <c r="C181" s="1">
        <v>73.2</v>
      </c>
      <c r="D181" s="1" t="s">
        <v>812</v>
      </c>
    </row>
    <row r="182" ht="15.75" customHeight="1">
      <c r="A182" s="1" t="s">
        <v>350</v>
      </c>
      <c r="B182" s="1" t="s">
        <v>351</v>
      </c>
      <c r="C182" s="1">
        <v>66.8</v>
      </c>
      <c r="D182" s="1" t="s">
        <v>812</v>
      </c>
    </row>
    <row r="183" ht="15.75" customHeight="1">
      <c r="A183" s="1" t="s">
        <v>352</v>
      </c>
      <c r="B183" s="1" t="s">
        <v>268</v>
      </c>
      <c r="C183" s="1">
        <v>62.8</v>
      </c>
      <c r="D183" s="1" t="s">
        <v>812</v>
      </c>
    </row>
    <row r="184" ht="15.75" customHeight="1">
      <c r="A184" s="1" t="s">
        <v>353</v>
      </c>
      <c r="B184" s="1" t="s">
        <v>252</v>
      </c>
      <c r="C184" s="1">
        <v>75.8</v>
      </c>
      <c r="D184" s="1" t="s">
        <v>812</v>
      </c>
    </row>
    <row r="185" ht="15.75" customHeight="1">
      <c r="A185" s="1" t="s">
        <v>354</v>
      </c>
      <c r="B185" s="1" t="s">
        <v>355</v>
      </c>
      <c r="C185" s="1">
        <v>64.4</v>
      </c>
      <c r="D185" s="1" t="s">
        <v>812</v>
      </c>
    </row>
    <row r="186" ht="15.75" customHeight="1">
      <c r="A186" s="1" t="s">
        <v>356</v>
      </c>
      <c r="B186" s="1" t="s">
        <v>49</v>
      </c>
      <c r="C186" s="1">
        <v>74.0</v>
      </c>
      <c r="D186" s="1" t="s">
        <v>812</v>
      </c>
    </row>
    <row r="187" ht="15.75" customHeight="1">
      <c r="A187" s="1" t="s">
        <v>357</v>
      </c>
      <c r="B187" s="1" t="s">
        <v>358</v>
      </c>
      <c r="C187" s="1">
        <v>80.0</v>
      </c>
      <c r="D187" s="1" t="s">
        <v>812</v>
      </c>
    </row>
    <row r="188" ht="15.75" customHeight="1">
      <c r="A188" s="1" t="s">
        <v>359</v>
      </c>
      <c r="B188" s="1" t="s">
        <v>360</v>
      </c>
      <c r="C188" s="1">
        <v>71.8</v>
      </c>
      <c r="D188" s="1" t="s">
        <v>812</v>
      </c>
    </row>
    <row r="189" ht="15.75" customHeight="1">
      <c r="A189" s="1" t="s">
        <v>361</v>
      </c>
      <c r="B189" s="1" t="s">
        <v>362</v>
      </c>
      <c r="C189" s="1">
        <v>65.8</v>
      </c>
      <c r="D189" s="1" t="s">
        <v>812</v>
      </c>
    </row>
    <row r="190" ht="15.75" customHeight="1">
      <c r="A190" s="1" t="s">
        <v>363</v>
      </c>
      <c r="B190" s="1" t="s">
        <v>364</v>
      </c>
      <c r="C190" s="1">
        <v>70.8</v>
      </c>
      <c r="D190" s="1" t="s">
        <v>812</v>
      </c>
    </row>
    <row r="191" ht="15.75" customHeight="1">
      <c r="A191" s="1" t="s">
        <v>365</v>
      </c>
      <c r="B191" s="1" t="s">
        <v>147</v>
      </c>
      <c r="C191" s="1">
        <v>71.6</v>
      </c>
      <c r="D191" s="1" t="s">
        <v>812</v>
      </c>
    </row>
    <row r="192" ht="15.75" customHeight="1">
      <c r="A192" s="1" t="s">
        <v>366</v>
      </c>
      <c r="B192" s="1" t="s">
        <v>367</v>
      </c>
      <c r="C192" s="1">
        <v>72.8</v>
      </c>
      <c r="D192" s="1" t="s">
        <v>812</v>
      </c>
    </row>
    <row r="193" ht="15.75" customHeight="1">
      <c r="A193" s="1" t="s">
        <v>368</v>
      </c>
      <c r="B193" s="1" t="s">
        <v>369</v>
      </c>
      <c r="C193" s="1">
        <v>57.8</v>
      </c>
      <c r="D193" s="1" t="s">
        <v>812</v>
      </c>
    </row>
    <row r="194" ht="15.75" customHeight="1">
      <c r="A194" s="1" t="s">
        <v>370</v>
      </c>
      <c r="B194" s="1" t="s">
        <v>23</v>
      </c>
      <c r="C194" s="1">
        <v>76.6</v>
      </c>
      <c r="D194" s="1" t="s">
        <v>812</v>
      </c>
    </row>
    <row r="195" ht="15.75" customHeight="1">
      <c r="A195" s="1" t="s">
        <v>371</v>
      </c>
      <c r="B195" s="1" t="s">
        <v>372</v>
      </c>
      <c r="C195" s="1">
        <v>71.4</v>
      </c>
      <c r="D195" s="1" t="s">
        <v>812</v>
      </c>
    </row>
    <row r="196" ht="15.75" customHeight="1">
      <c r="A196" s="1" t="s">
        <v>373</v>
      </c>
      <c r="B196" s="1" t="s">
        <v>374</v>
      </c>
      <c r="C196" s="1">
        <v>59.2</v>
      </c>
      <c r="D196" s="1" t="s">
        <v>812</v>
      </c>
    </row>
    <row r="197" ht="15.75" customHeight="1">
      <c r="A197" s="1" t="s">
        <v>375</v>
      </c>
      <c r="B197" s="1" t="s">
        <v>376</v>
      </c>
      <c r="C197" s="1">
        <v>76.6</v>
      </c>
      <c r="D197" s="1" t="s">
        <v>812</v>
      </c>
    </row>
    <row r="198" ht="15.75" customHeight="1">
      <c r="A198" s="1" t="s">
        <v>377</v>
      </c>
      <c r="B198" s="1" t="s">
        <v>378</v>
      </c>
      <c r="C198" s="1">
        <v>64.0</v>
      </c>
      <c r="D198" s="1" t="s">
        <v>812</v>
      </c>
    </row>
    <row r="199" ht="15.75" customHeight="1">
      <c r="A199" s="1" t="s">
        <v>379</v>
      </c>
      <c r="B199" s="1" t="s">
        <v>380</v>
      </c>
      <c r="C199" s="1">
        <v>58.2</v>
      </c>
      <c r="D199" s="1" t="s">
        <v>812</v>
      </c>
    </row>
    <row r="200" ht="15.75" customHeight="1">
      <c r="A200" s="1" t="s">
        <v>381</v>
      </c>
      <c r="B200" s="1" t="s">
        <v>133</v>
      </c>
      <c r="C200" s="1">
        <v>78.4</v>
      </c>
      <c r="D200" s="1" t="s">
        <v>812</v>
      </c>
    </row>
    <row r="201" ht="15.75" customHeight="1">
      <c r="A201" s="1" t="s">
        <v>382</v>
      </c>
      <c r="B201" s="1" t="s">
        <v>383</v>
      </c>
      <c r="C201" s="1">
        <v>74.2</v>
      </c>
      <c r="D201" s="1" t="s">
        <v>812</v>
      </c>
    </row>
    <row r="202" ht="15.75" customHeight="1">
      <c r="A202" s="1" t="s">
        <v>384</v>
      </c>
      <c r="B202" s="1" t="s">
        <v>385</v>
      </c>
      <c r="C202" s="1">
        <v>67.6</v>
      </c>
      <c r="D202" s="1" t="s">
        <v>812</v>
      </c>
    </row>
    <row r="203" ht="15.75" customHeight="1">
      <c r="A203" s="1" t="s">
        <v>386</v>
      </c>
      <c r="B203" s="1" t="s">
        <v>208</v>
      </c>
      <c r="C203" s="1">
        <v>65.2</v>
      </c>
      <c r="D203" s="1" t="s">
        <v>812</v>
      </c>
    </row>
    <row r="204" ht="15.75" customHeight="1">
      <c r="A204" s="1" t="s">
        <v>387</v>
      </c>
      <c r="B204" s="1" t="s">
        <v>388</v>
      </c>
      <c r="C204" s="1">
        <v>79.8</v>
      </c>
      <c r="D204" s="1" t="s">
        <v>812</v>
      </c>
    </row>
    <row r="205" ht="15.75" customHeight="1">
      <c r="A205" s="1" t="s">
        <v>389</v>
      </c>
      <c r="B205" s="1" t="s">
        <v>390</v>
      </c>
      <c r="C205" s="1">
        <v>82.0</v>
      </c>
      <c r="D205" s="1" t="s">
        <v>812</v>
      </c>
    </row>
    <row r="206" ht="15.75" customHeight="1">
      <c r="A206" s="1" t="s">
        <v>391</v>
      </c>
      <c r="B206" s="1" t="s">
        <v>252</v>
      </c>
      <c r="C206" s="1">
        <v>63.4</v>
      </c>
      <c r="D206" s="1" t="s">
        <v>812</v>
      </c>
    </row>
    <row r="207" ht="15.75" customHeight="1">
      <c r="A207" s="1" t="s">
        <v>392</v>
      </c>
      <c r="B207" s="1" t="s">
        <v>385</v>
      </c>
      <c r="C207" s="1">
        <v>85.0</v>
      </c>
      <c r="D207" s="1" t="s">
        <v>812</v>
      </c>
    </row>
    <row r="208" ht="15.75" customHeight="1">
      <c r="A208" s="1" t="s">
        <v>393</v>
      </c>
      <c r="B208" s="1" t="s">
        <v>105</v>
      </c>
      <c r="C208" s="1">
        <v>55.6</v>
      </c>
      <c r="D208" s="1" t="s">
        <v>812</v>
      </c>
    </row>
    <row r="209" ht="15.75" customHeight="1">
      <c r="A209" s="1" t="s">
        <v>394</v>
      </c>
      <c r="B209" s="1" t="s">
        <v>133</v>
      </c>
      <c r="C209" s="1">
        <v>75.6</v>
      </c>
      <c r="D209" s="1" t="s">
        <v>812</v>
      </c>
    </row>
    <row r="210" ht="15.75" customHeight="1">
      <c r="A210" s="1" t="s">
        <v>395</v>
      </c>
      <c r="B210" s="1" t="s">
        <v>396</v>
      </c>
      <c r="C210" s="1">
        <v>67.8</v>
      </c>
      <c r="D210" s="1" t="s">
        <v>812</v>
      </c>
    </row>
    <row r="211" ht="15.75" customHeight="1">
      <c r="A211" s="1" t="s">
        <v>397</v>
      </c>
      <c r="B211" s="1" t="s">
        <v>185</v>
      </c>
      <c r="C211" s="1">
        <v>74.4</v>
      </c>
      <c r="D211" s="1" t="s">
        <v>812</v>
      </c>
    </row>
    <row r="212" ht="15.75" customHeight="1">
      <c r="A212" s="1" t="s">
        <v>398</v>
      </c>
      <c r="B212" s="1" t="s">
        <v>399</v>
      </c>
      <c r="C212" s="1">
        <v>78.6</v>
      </c>
      <c r="D212" s="1" t="s">
        <v>812</v>
      </c>
    </row>
    <row r="213" ht="15.75" customHeight="1">
      <c r="A213" s="1" t="s">
        <v>400</v>
      </c>
      <c r="B213" s="1" t="s">
        <v>239</v>
      </c>
      <c r="C213" s="1">
        <v>66.8</v>
      </c>
      <c r="D213" s="1" t="s">
        <v>812</v>
      </c>
    </row>
    <row r="214" ht="15.75" customHeight="1">
      <c r="A214" s="1" t="s">
        <v>401</v>
      </c>
      <c r="B214" s="1" t="s">
        <v>402</v>
      </c>
      <c r="C214" s="1">
        <v>69.4</v>
      </c>
      <c r="D214" s="1" t="s">
        <v>812</v>
      </c>
    </row>
    <row r="215" ht="15.75" customHeight="1">
      <c r="A215" s="1" t="s">
        <v>403</v>
      </c>
      <c r="B215" s="1" t="s">
        <v>404</v>
      </c>
      <c r="C215" s="1">
        <v>75.8</v>
      </c>
      <c r="D215" s="1" t="s">
        <v>812</v>
      </c>
    </row>
    <row r="216" ht="15.75" customHeight="1">
      <c r="A216" s="1" t="s">
        <v>405</v>
      </c>
      <c r="B216" s="1" t="s">
        <v>93</v>
      </c>
      <c r="C216" s="1">
        <v>72.2</v>
      </c>
      <c r="D216" s="1" t="s">
        <v>812</v>
      </c>
    </row>
    <row r="217" ht="15.75" customHeight="1">
      <c r="A217" s="1" t="s">
        <v>406</v>
      </c>
      <c r="B217" s="1" t="s">
        <v>191</v>
      </c>
      <c r="C217" s="1">
        <v>60.2</v>
      </c>
      <c r="D217" s="1" t="s">
        <v>812</v>
      </c>
    </row>
    <row r="218" ht="15.75" customHeight="1">
      <c r="A218" s="1" t="s">
        <v>407</v>
      </c>
      <c r="B218" s="1" t="s">
        <v>408</v>
      </c>
      <c r="C218" s="1">
        <v>58.2</v>
      </c>
      <c r="D218" s="1" t="s">
        <v>812</v>
      </c>
    </row>
    <row r="219" ht="15.75" customHeight="1">
      <c r="A219" s="1" t="s">
        <v>409</v>
      </c>
      <c r="B219" s="1" t="s">
        <v>378</v>
      </c>
      <c r="C219" s="1">
        <v>76.8</v>
      </c>
      <c r="D219" s="1" t="s">
        <v>812</v>
      </c>
    </row>
    <row r="220" ht="15.75" customHeight="1">
      <c r="A220" s="1" t="s">
        <v>410</v>
      </c>
      <c r="B220" s="1" t="s">
        <v>51</v>
      </c>
      <c r="C220" s="1">
        <v>61.2</v>
      </c>
      <c r="D220" s="1" t="s">
        <v>812</v>
      </c>
    </row>
    <row r="221" ht="15.75" customHeight="1">
      <c r="A221" s="1" t="s">
        <v>411</v>
      </c>
      <c r="B221" s="1" t="s">
        <v>333</v>
      </c>
      <c r="C221" s="1">
        <v>62.6</v>
      </c>
      <c r="D221" s="1" t="s">
        <v>812</v>
      </c>
    </row>
    <row r="222" ht="15.75" customHeight="1">
      <c r="A222" s="1" t="s">
        <v>412</v>
      </c>
      <c r="B222" s="1" t="s">
        <v>399</v>
      </c>
      <c r="C222" s="1">
        <v>71.0</v>
      </c>
      <c r="D222" s="1" t="s">
        <v>812</v>
      </c>
    </row>
    <row r="223" ht="15.75" customHeight="1">
      <c r="A223" s="1" t="s">
        <v>413</v>
      </c>
      <c r="B223" s="1" t="s">
        <v>117</v>
      </c>
      <c r="C223" s="1">
        <v>69.6</v>
      </c>
      <c r="D223" s="1" t="s">
        <v>812</v>
      </c>
    </row>
    <row r="224" ht="15.75" customHeight="1">
      <c r="A224" s="1" t="s">
        <v>414</v>
      </c>
      <c r="B224" s="1" t="s">
        <v>268</v>
      </c>
      <c r="C224" s="1">
        <v>66.8</v>
      </c>
      <c r="D224" s="1" t="s">
        <v>812</v>
      </c>
    </row>
    <row r="225" ht="15.75" customHeight="1">
      <c r="A225" s="1" t="s">
        <v>415</v>
      </c>
      <c r="B225" s="1" t="s">
        <v>121</v>
      </c>
      <c r="C225" s="1">
        <v>66.4</v>
      </c>
      <c r="D225" s="1" t="s">
        <v>812</v>
      </c>
    </row>
    <row r="226" ht="15.75" customHeight="1">
      <c r="A226" s="1" t="s">
        <v>416</v>
      </c>
      <c r="B226" s="1" t="s">
        <v>417</v>
      </c>
      <c r="C226" s="1">
        <v>65.2</v>
      </c>
      <c r="D226" s="1" t="s">
        <v>812</v>
      </c>
    </row>
    <row r="227" ht="15.75" customHeight="1">
      <c r="A227" s="1" t="s">
        <v>418</v>
      </c>
      <c r="B227" s="1" t="s">
        <v>419</v>
      </c>
      <c r="C227" s="1">
        <v>79.6</v>
      </c>
      <c r="D227" s="1" t="s">
        <v>812</v>
      </c>
    </row>
    <row r="228" ht="15.75" customHeight="1">
      <c r="A228" s="1" t="s">
        <v>420</v>
      </c>
      <c r="B228" s="1" t="s">
        <v>204</v>
      </c>
      <c r="C228" s="1">
        <v>59.6</v>
      </c>
      <c r="D228" s="1" t="s">
        <v>812</v>
      </c>
    </row>
    <row r="229" ht="15.75" customHeight="1">
      <c r="A229" s="1" t="s">
        <v>421</v>
      </c>
      <c r="B229" s="1" t="s">
        <v>422</v>
      </c>
      <c r="C229" s="1">
        <v>72.4</v>
      </c>
      <c r="D229" s="1" t="s">
        <v>812</v>
      </c>
    </row>
    <row r="230" ht="15.75" customHeight="1">
      <c r="A230" s="1" t="s">
        <v>423</v>
      </c>
      <c r="B230" s="1" t="s">
        <v>424</v>
      </c>
      <c r="C230" s="1">
        <v>80.4</v>
      </c>
      <c r="D230" s="1" t="s">
        <v>812</v>
      </c>
    </row>
    <row r="231" ht="15.75" customHeight="1">
      <c r="A231" s="1" t="s">
        <v>425</v>
      </c>
      <c r="B231" s="1" t="s">
        <v>127</v>
      </c>
      <c r="C231" s="1">
        <v>71.0</v>
      </c>
      <c r="D231" s="1" t="s">
        <v>812</v>
      </c>
    </row>
    <row r="232" ht="15.75" customHeight="1">
      <c r="A232" s="1" t="s">
        <v>426</v>
      </c>
      <c r="B232" s="1" t="s">
        <v>427</v>
      </c>
      <c r="C232" s="1">
        <v>68.8</v>
      </c>
      <c r="D232" s="1" t="s">
        <v>812</v>
      </c>
    </row>
    <row r="233" ht="15.75" customHeight="1">
      <c r="A233" s="1" t="s">
        <v>428</v>
      </c>
      <c r="B233" s="1" t="s">
        <v>429</v>
      </c>
      <c r="C233" s="1">
        <v>71.6</v>
      </c>
      <c r="D233" s="1" t="s">
        <v>812</v>
      </c>
    </row>
    <row r="234" ht="15.75" customHeight="1">
      <c r="A234" s="1" t="s">
        <v>430</v>
      </c>
      <c r="B234" s="1" t="s">
        <v>103</v>
      </c>
      <c r="C234" s="1">
        <v>77.6</v>
      </c>
      <c r="D234" s="1" t="s">
        <v>812</v>
      </c>
    </row>
    <row r="235" ht="15.75" customHeight="1">
      <c r="A235" s="1" t="s">
        <v>431</v>
      </c>
      <c r="B235" s="1" t="s">
        <v>16</v>
      </c>
      <c r="C235" s="1">
        <v>87.4</v>
      </c>
      <c r="D235" s="1" t="s">
        <v>813</v>
      </c>
    </row>
    <row r="236" ht="15.75" customHeight="1">
      <c r="A236" s="1" t="s">
        <v>432</v>
      </c>
      <c r="B236" s="1" t="s">
        <v>149</v>
      </c>
      <c r="C236" s="1">
        <v>65.2</v>
      </c>
      <c r="D236" s="1" t="s">
        <v>812</v>
      </c>
    </row>
    <row r="237" ht="15.75" customHeight="1">
      <c r="A237" s="1" t="s">
        <v>433</v>
      </c>
      <c r="B237" s="1" t="s">
        <v>434</v>
      </c>
      <c r="C237" s="1">
        <v>65.8</v>
      </c>
      <c r="D237" s="1" t="s">
        <v>812</v>
      </c>
    </row>
    <row r="238" ht="15.75" customHeight="1">
      <c r="A238" s="1" t="s">
        <v>435</v>
      </c>
      <c r="B238" s="1" t="s">
        <v>436</v>
      </c>
      <c r="C238" s="1">
        <v>60.0</v>
      </c>
      <c r="D238" s="1" t="s">
        <v>812</v>
      </c>
    </row>
    <row r="239" ht="15.75" customHeight="1">
      <c r="A239" s="1" t="s">
        <v>437</v>
      </c>
      <c r="B239" s="1" t="s">
        <v>344</v>
      </c>
      <c r="C239" s="1">
        <v>72.6</v>
      </c>
      <c r="D239" s="1" t="s">
        <v>812</v>
      </c>
    </row>
    <row r="240" ht="15.75" customHeight="1">
      <c r="A240" s="1" t="s">
        <v>438</v>
      </c>
      <c r="B240" s="1" t="s">
        <v>388</v>
      </c>
      <c r="C240" s="1">
        <v>68.4</v>
      </c>
      <c r="D240" s="1" t="s">
        <v>812</v>
      </c>
    </row>
    <row r="241" ht="15.75" customHeight="1">
      <c r="A241" s="1" t="s">
        <v>439</v>
      </c>
      <c r="B241" s="1" t="s">
        <v>440</v>
      </c>
      <c r="C241" s="1">
        <v>61.6</v>
      </c>
      <c r="D241" s="1" t="s">
        <v>812</v>
      </c>
    </row>
    <row r="242" ht="15.75" customHeight="1">
      <c r="A242" s="1" t="s">
        <v>441</v>
      </c>
      <c r="B242" s="1" t="s">
        <v>442</v>
      </c>
      <c r="C242" s="1">
        <v>68.6</v>
      </c>
      <c r="D242" s="1" t="s">
        <v>812</v>
      </c>
    </row>
    <row r="243" ht="15.75" customHeight="1">
      <c r="A243" s="1" t="s">
        <v>443</v>
      </c>
      <c r="B243" s="1" t="s">
        <v>193</v>
      </c>
      <c r="C243" s="1">
        <v>72.6</v>
      </c>
      <c r="D243" s="1" t="s">
        <v>812</v>
      </c>
    </row>
    <row r="244" ht="15.75" customHeight="1">
      <c r="A244" s="1" t="s">
        <v>444</v>
      </c>
      <c r="B244" s="1" t="s">
        <v>324</v>
      </c>
      <c r="C244" s="1">
        <v>79.2</v>
      </c>
      <c r="D244" s="1" t="s">
        <v>812</v>
      </c>
    </row>
    <row r="245" ht="15.75" customHeight="1">
      <c r="A245" s="1" t="s">
        <v>445</v>
      </c>
      <c r="B245" s="1" t="s">
        <v>295</v>
      </c>
      <c r="C245" s="1">
        <v>74.6</v>
      </c>
      <c r="D245" s="1" t="s">
        <v>812</v>
      </c>
    </row>
    <row r="246" ht="15.75" customHeight="1">
      <c r="A246" s="1" t="s">
        <v>446</v>
      </c>
      <c r="B246" s="1" t="s">
        <v>447</v>
      </c>
      <c r="C246" s="1">
        <v>75.4</v>
      </c>
      <c r="D246" s="1" t="s">
        <v>812</v>
      </c>
    </row>
    <row r="247" ht="15.75" customHeight="1">
      <c r="A247" s="1" t="s">
        <v>448</v>
      </c>
      <c r="B247" s="1" t="s">
        <v>64</v>
      </c>
      <c r="C247" s="1">
        <v>54.0</v>
      </c>
      <c r="D247" s="1" t="s">
        <v>812</v>
      </c>
    </row>
    <row r="248" ht="15.75" customHeight="1">
      <c r="A248" s="1" t="s">
        <v>449</v>
      </c>
      <c r="B248" s="1" t="s">
        <v>450</v>
      </c>
      <c r="C248" s="1">
        <v>69.2</v>
      </c>
      <c r="D248" s="1" t="s">
        <v>812</v>
      </c>
    </row>
    <row r="249" ht="15.75" customHeight="1">
      <c r="A249" s="1" t="s">
        <v>451</v>
      </c>
      <c r="B249" s="1" t="s">
        <v>149</v>
      </c>
      <c r="C249" s="1">
        <v>68.8</v>
      </c>
      <c r="D249" s="1" t="s">
        <v>812</v>
      </c>
    </row>
    <row r="250" ht="15.75" customHeight="1">
      <c r="A250" s="1" t="s">
        <v>452</v>
      </c>
      <c r="B250" s="1" t="s">
        <v>105</v>
      </c>
      <c r="C250" s="1">
        <v>74.6</v>
      </c>
      <c r="D250" s="1" t="s">
        <v>812</v>
      </c>
    </row>
    <row r="251" ht="15.75" customHeight="1">
      <c r="A251" s="1" t="s">
        <v>453</v>
      </c>
      <c r="B251" s="1" t="s">
        <v>43</v>
      </c>
      <c r="C251" s="1">
        <v>66.0</v>
      </c>
      <c r="D251" s="1" t="s">
        <v>812</v>
      </c>
    </row>
    <row r="252" ht="15.75" customHeight="1">
      <c r="A252" s="1" t="s">
        <v>454</v>
      </c>
      <c r="B252" s="1" t="s">
        <v>455</v>
      </c>
      <c r="C252" s="1">
        <v>65.4</v>
      </c>
      <c r="D252" s="1" t="s">
        <v>812</v>
      </c>
    </row>
    <row r="253" ht="15.75" customHeight="1">
      <c r="A253" s="1" t="s">
        <v>456</v>
      </c>
      <c r="B253" s="1" t="s">
        <v>115</v>
      </c>
      <c r="C253" s="1">
        <v>77.6</v>
      </c>
      <c r="D253" s="1" t="s">
        <v>812</v>
      </c>
    </row>
    <row r="254" ht="15.75" customHeight="1">
      <c r="A254" s="1" t="s">
        <v>457</v>
      </c>
      <c r="B254" s="1" t="s">
        <v>320</v>
      </c>
      <c r="C254" s="1">
        <v>79.6</v>
      </c>
      <c r="D254" s="1" t="s">
        <v>812</v>
      </c>
    </row>
    <row r="255" ht="15.75" customHeight="1">
      <c r="A255" s="1" t="s">
        <v>458</v>
      </c>
      <c r="B255" s="1" t="s">
        <v>459</v>
      </c>
      <c r="C255" s="1">
        <v>71.8</v>
      </c>
      <c r="D255" s="1" t="s">
        <v>812</v>
      </c>
    </row>
    <row r="256" ht="15.75" customHeight="1">
      <c r="A256" s="1" t="s">
        <v>460</v>
      </c>
      <c r="B256" s="1" t="s">
        <v>461</v>
      </c>
      <c r="C256" s="1">
        <v>79.0</v>
      </c>
      <c r="D256" s="1" t="s">
        <v>812</v>
      </c>
    </row>
    <row r="257" ht="15.75" customHeight="1">
      <c r="A257" s="1" t="s">
        <v>462</v>
      </c>
      <c r="B257" s="1" t="s">
        <v>463</v>
      </c>
      <c r="C257" s="1">
        <v>74.8</v>
      </c>
      <c r="D257" s="1" t="s">
        <v>812</v>
      </c>
    </row>
    <row r="258" ht="15.75" customHeight="1">
      <c r="A258" s="1" t="s">
        <v>464</v>
      </c>
      <c r="B258" s="1" t="s">
        <v>374</v>
      </c>
      <c r="C258" s="1">
        <v>65.0</v>
      </c>
      <c r="D258" s="1" t="s">
        <v>812</v>
      </c>
    </row>
    <row r="259" ht="15.75" customHeight="1">
      <c r="A259" s="1" t="s">
        <v>465</v>
      </c>
      <c r="B259" s="1" t="s">
        <v>313</v>
      </c>
      <c r="C259" s="1">
        <v>61.0</v>
      </c>
      <c r="D259" s="1" t="s">
        <v>812</v>
      </c>
    </row>
    <row r="260" ht="15.75" customHeight="1">
      <c r="A260" s="1" t="s">
        <v>466</v>
      </c>
      <c r="B260" s="1" t="s">
        <v>467</v>
      </c>
      <c r="C260" s="1">
        <v>72.2</v>
      </c>
      <c r="D260" s="1" t="s">
        <v>812</v>
      </c>
    </row>
    <row r="261" ht="15.75" customHeight="1">
      <c r="A261" s="1" t="s">
        <v>468</v>
      </c>
      <c r="B261" s="1" t="s">
        <v>244</v>
      </c>
      <c r="C261" s="1">
        <v>68.4</v>
      </c>
      <c r="D261" s="1" t="s">
        <v>812</v>
      </c>
    </row>
    <row r="262" ht="15.75" customHeight="1">
      <c r="A262" s="1" t="s">
        <v>469</v>
      </c>
      <c r="B262" s="1" t="s">
        <v>299</v>
      </c>
      <c r="C262" s="1">
        <v>72.2</v>
      </c>
      <c r="D262" s="1" t="s">
        <v>812</v>
      </c>
    </row>
    <row r="263" ht="15.75" customHeight="1">
      <c r="A263" s="1" t="s">
        <v>470</v>
      </c>
      <c r="B263" s="1" t="s">
        <v>471</v>
      </c>
      <c r="C263" s="1">
        <v>68.4</v>
      </c>
      <c r="D263" s="1" t="s">
        <v>812</v>
      </c>
    </row>
    <row r="264" ht="15.75" customHeight="1">
      <c r="A264" s="1" t="s">
        <v>472</v>
      </c>
      <c r="B264" s="1" t="s">
        <v>390</v>
      </c>
      <c r="C264" s="1">
        <v>61.4</v>
      </c>
      <c r="D264" s="1" t="s">
        <v>812</v>
      </c>
    </row>
    <row r="265" ht="15.75" customHeight="1">
      <c r="A265" s="1" t="s">
        <v>473</v>
      </c>
      <c r="B265" s="1" t="s">
        <v>89</v>
      </c>
      <c r="C265" s="1">
        <v>74.2</v>
      </c>
      <c r="D265" s="1" t="s">
        <v>812</v>
      </c>
    </row>
    <row r="266" ht="15.75" customHeight="1">
      <c r="A266" s="1" t="s">
        <v>474</v>
      </c>
      <c r="B266" s="1" t="s">
        <v>475</v>
      </c>
      <c r="C266" s="1">
        <v>67.6</v>
      </c>
      <c r="D266" s="1" t="s">
        <v>812</v>
      </c>
    </row>
    <row r="267" ht="15.75" customHeight="1">
      <c r="A267" s="1" t="s">
        <v>476</v>
      </c>
      <c r="B267" s="1" t="s">
        <v>107</v>
      </c>
      <c r="C267" s="1">
        <v>76.8</v>
      </c>
      <c r="D267" s="1" t="s">
        <v>812</v>
      </c>
    </row>
    <row r="268" ht="15.75" customHeight="1">
      <c r="A268" s="1" t="s">
        <v>477</v>
      </c>
      <c r="B268" s="1" t="s">
        <v>351</v>
      </c>
      <c r="C268" s="1">
        <v>80.8</v>
      </c>
      <c r="D268" s="1" t="s">
        <v>812</v>
      </c>
    </row>
    <row r="269" ht="15.75" customHeight="1">
      <c r="A269" s="1" t="s">
        <v>478</v>
      </c>
      <c r="B269" s="1" t="s">
        <v>324</v>
      </c>
      <c r="C269" s="1">
        <v>71.8</v>
      </c>
      <c r="D269" s="1" t="s">
        <v>812</v>
      </c>
    </row>
    <row r="270" ht="15.75" customHeight="1">
      <c r="A270" s="1" t="s">
        <v>479</v>
      </c>
      <c r="B270" s="1" t="s">
        <v>326</v>
      </c>
      <c r="C270" s="1">
        <v>62.4</v>
      </c>
      <c r="D270" s="1" t="s">
        <v>812</v>
      </c>
    </row>
    <row r="271" ht="15.75" customHeight="1">
      <c r="A271" s="1" t="s">
        <v>480</v>
      </c>
      <c r="B271" s="1" t="s">
        <v>408</v>
      </c>
      <c r="C271" s="1">
        <v>67.8</v>
      </c>
      <c r="D271" s="1" t="s">
        <v>812</v>
      </c>
    </row>
    <row r="272" ht="15.75" customHeight="1">
      <c r="A272" s="1" t="s">
        <v>481</v>
      </c>
      <c r="B272" s="1" t="s">
        <v>333</v>
      </c>
      <c r="C272" s="1">
        <v>80.2</v>
      </c>
      <c r="D272" s="1" t="s">
        <v>812</v>
      </c>
    </row>
    <row r="273" ht="15.75" customHeight="1">
      <c r="A273" s="1" t="s">
        <v>482</v>
      </c>
      <c r="B273" s="1" t="s">
        <v>131</v>
      </c>
      <c r="C273" s="1">
        <v>59.8</v>
      </c>
      <c r="D273" s="1" t="s">
        <v>812</v>
      </c>
    </row>
    <row r="274" ht="15.75" customHeight="1">
      <c r="A274" s="1" t="s">
        <v>483</v>
      </c>
      <c r="B274" s="1" t="s">
        <v>107</v>
      </c>
      <c r="C274" s="1">
        <v>78.6</v>
      </c>
      <c r="D274" s="1" t="s">
        <v>812</v>
      </c>
    </row>
    <row r="275" ht="15.75" customHeight="1">
      <c r="A275" s="1" t="s">
        <v>484</v>
      </c>
      <c r="B275" s="1" t="s">
        <v>252</v>
      </c>
      <c r="C275" s="1">
        <v>64.8</v>
      </c>
      <c r="D275" s="1" t="s">
        <v>812</v>
      </c>
    </row>
    <row r="276" ht="15.75" customHeight="1">
      <c r="A276" s="1" t="s">
        <v>485</v>
      </c>
      <c r="B276" s="1" t="s">
        <v>388</v>
      </c>
      <c r="C276" s="1">
        <v>73.6</v>
      </c>
      <c r="D276" s="1" t="s">
        <v>812</v>
      </c>
    </row>
    <row r="277" ht="15.75" customHeight="1">
      <c r="A277" s="1" t="s">
        <v>486</v>
      </c>
      <c r="B277" s="1" t="s">
        <v>137</v>
      </c>
      <c r="C277" s="1">
        <v>69.0</v>
      </c>
      <c r="D277" s="1" t="s">
        <v>812</v>
      </c>
    </row>
    <row r="278" ht="15.75" customHeight="1">
      <c r="A278" s="1" t="s">
        <v>487</v>
      </c>
      <c r="B278" s="1" t="s">
        <v>488</v>
      </c>
      <c r="C278" s="1">
        <v>72.2</v>
      </c>
      <c r="D278" s="1" t="s">
        <v>812</v>
      </c>
    </row>
    <row r="279" ht="15.75" customHeight="1">
      <c r="A279" s="1" t="s">
        <v>489</v>
      </c>
      <c r="B279" s="1" t="s">
        <v>109</v>
      </c>
      <c r="C279" s="1">
        <v>65.6</v>
      </c>
      <c r="D279" s="1" t="s">
        <v>812</v>
      </c>
    </row>
    <row r="280" ht="15.75" customHeight="1">
      <c r="A280" s="1" t="s">
        <v>490</v>
      </c>
      <c r="B280" s="1" t="s">
        <v>147</v>
      </c>
      <c r="C280" s="1">
        <v>64.0</v>
      </c>
      <c r="D280" s="1" t="s">
        <v>812</v>
      </c>
    </row>
    <row r="281" ht="15.75" customHeight="1">
      <c r="A281" s="1" t="s">
        <v>491</v>
      </c>
      <c r="B281" s="1" t="s">
        <v>318</v>
      </c>
      <c r="C281" s="1">
        <v>76.4</v>
      </c>
      <c r="D281" s="1" t="s">
        <v>812</v>
      </c>
    </row>
    <row r="282" ht="15.75" customHeight="1">
      <c r="A282" s="1" t="s">
        <v>492</v>
      </c>
      <c r="B282" s="1" t="s">
        <v>28</v>
      </c>
      <c r="C282" s="1">
        <v>76.8</v>
      </c>
      <c r="D282" s="1" t="s">
        <v>812</v>
      </c>
    </row>
    <row r="283" ht="15.75" customHeight="1">
      <c r="A283" s="1" t="s">
        <v>493</v>
      </c>
      <c r="B283" s="1" t="s">
        <v>402</v>
      </c>
      <c r="C283" s="1">
        <v>61.8</v>
      </c>
      <c r="D283" s="1" t="s">
        <v>812</v>
      </c>
    </row>
    <row r="284" ht="15.75" customHeight="1">
      <c r="A284" s="1" t="s">
        <v>494</v>
      </c>
      <c r="B284" s="1" t="s">
        <v>495</v>
      </c>
      <c r="C284" s="1">
        <v>67.6</v>
      </c>
      <c r="D284" s="1" t="s">
        <v>812</v>
      </c>
    </row>
    <row r="285" ht="15.75" customHeight="1">
      <c r="A285" s="1" t="s">
        <v>496</v>
      </c>
      <c r="B285" s="1" t="s">
        <v>497</v>
      </c>
      <c r="C285" s="1">
        <v>70.0</v>
      </c>
      <c r="D285" s="1" t="s">
        <v>812</v>
      </c>
    </row>
    <row r="286" ht="15.75" customHeight="1">
      <c r="A286" s="1" t="s">
        <v>498</v>
      </c>
      <c r="B286" s="1" t="s">
        <v>427</v>
      </c>
      <c r="C286" s="1">
        <v>58.2</v>
      </c>
      <c r="D286" s="1" t="s">
        <v>812</v>
      </c>
    </row>
    <row r="287" ht="15.75" customHeight="1">
      <c r="A287" s="1" t="s">
        <v>499</v>
      </c>
      <c r="B287" s="1" t="s">
        <v>93</v>
      </c>
      <c r="C287" s="1">
        <v>74.0</v>
      </c>
      <c r="D287" s="1" t="s">
        <v>812</v>
      </c>
    </row>
    <row r="288" ht="15.75" customHeight="1">
      <c r="A288" s="1" t="s">
        <v>500</v>
      </c>
      <c r="B288" s="1" t="s">
        <v>233</v>
      </c>
      <c r="C288" s="1">
        <v>64.8</v>
      </c>
      <c r="D288" s="1" t="s">
        <v>812</v>
      </c>
    </row>
    <row r="289" ht="15.75" customHeight="1">
      <c r="A289" s="1" t="s">
        <v>501</v>
      </c>
      <c r="B289" s="1" t="s">
        <v>502</v>
      </c>
      <c r="C289" s="1">
        <v>71.0</v>
      </c>
      <c r="D289" s="1" t="s">
        <v>812</v>
      </c>
    </row>
    <row r="290" ht="15.75" customHeight="1">
      <c r="A290" s="1" t="s">
        <v>503</v>
      </c>
      <c r="B290" s="1" t="s">
        <v>261</v>
      </c>
      <c r="C290" s="1">
        <v>72.0</v>
      </c>
      <c r="D290" s="1" t="s">
        <v>812</v>
      </c>
    </row>
    <row r="291" ht="15.75" customHeight="1">
      <c r="A291" s="1" t="s">
        <v>504</v>
      </c>
      <c r="B291" s="1" t="s">
        <v>505</v>
      </c>
      <c r="C291" s="1">
        <v>81.0</v>
      </c>
      <c r="D291" s="1" t="s">
        <v>812</v>
      </c>
    </row>
    <row r="292" ht="15.75" customHeight="1">
      <c r="A292" s="1" t="s">
        <v>506</v>
      </c>
      <c r="B292" s="1" t="s">
        <v>64</v>
      </c>
      <c r="C292" s="1">
        <v>69.0</v>
      </c>
      <c r="D292" s="1" t="s">
        <v>812</v>
      </c>
    </row>
    <row r="293" ht="15.75" customHeight="1">
      <c r="A293" s="1" t="s">
        <v>507</v>
      </c>
      <c r="B293" s="1" t="s">
        <v>508</v>
      </c>
      <c r="C293" s="1">
        <v>72.6</v>
      </c>
      <c r="D293" s="1" t="s">
        <v>812</v>
      </c>
    </row>
    <row r="294" ht="15.75" customHeight="1">
      <c r="A294" s="1" t="s">
        <v>509</v>
      </c>
      <c r="B294" s="1" t="s">
        <v>279</v>
      </c>
      <c r="C294" s="1">
        <v>60.4</v>
      </c>
      <c r="D294" s="1" t="s">
        <v>812</v>
      </c>
    </row>
    <row r="295" ht="15.75" customHeight="1">
      <c r="A295" s="1" t="s">
        <v>510</v>
      </c>
      <c r="B295" s="1" t="s">
        <v>181</v>
      </c>
      <c r="C295" s="1">
        <v>56.4</v>
      </c>
      <c r="D295" s="1" t="s">
        <v>812</v>
      </c>
    </row>
    <row r="296" ht="15.75" customHeight="1">
      <c r="A296" s="1" t="s">
        <v>511</v>
      </c>
      <c r="B296" s="1" t="s">
        <v>447</v>
      </c>
      <c r="C296" s="1">
        <v>62.8</v>
      </c>
      <c r="D296" s="1" t="s">
        <v>812</v>
      </c>
    </row>
    <row r="297" ht="15.75" customHeight="1">
      <c r="A297" s="1" t="s">
        <v>512</v>
      </c>
      <c r="B297" s="1" t="s">
        <v>163</v>
      </c>
      <c r="C297" s="1">
        <v>66.6</v>
      </c>
      <c r="D297" s="1" t="s">
        <v>812</v>
      </c>
    </row>
    <row r="298" ht="15.75" customHeight="1">
      <c r="A298" s="1" t="s">
        <v>513</v>
      </c>
      <c r="B298" s="1" t="s">
        <v>514</v>
      </c>
      <c r="C298" s="1">
        <v>78.6</v>
      </c>
      <c r="D298" s="1" t="s">
        <v>812</v>
      </c>
    </row>
    <row r="299" ht="15.75" customHeight="1">
      <c r="A299" s="1" t="s">
        <v>515</v>
      </c>
      <c r="B299" s="1" t="s">
        <v>516</v>
      </c>
      <c r="C299" s="1">
        <v>71.2</v>
      </c>
      <c r="D299" s="1" t="s">
        <v>812</v>
      </c>
    </row>
    <row r="300" ht="15.75" customHeight="1">
      <c r="A300" s="1" t="s">
        <v>517</v>
      </c>
      <c r="B300" s="1" t="s">
        <v>518</v>
      </c>
      <c r="C300" s="1">
        <v>79.0</v>
      </c>
      <c r="D300" s="1" t="s">
        <v>812</v>
      </c>
    </row>
    <row r="301" ht="15.75" customHeight="1">
      <c r="A301" s="1" t="s">
        <v>519</v>
      </c>
      <c r="B301" s="1" t="s">
        <v>246</v>
      </c>
      <c r="C301" s="1">
        <v>67.0</v>
      </c>
      <c r="D301" s="1" t="s">
        <v>812</v>
      </c>
    </row>
    <row r="302" ht="15.75" customHeight="1">
      <c r="A302" s="1" t="s">
        <v>520</v>
      </c>
      <c r="B302" s="1" t="s">
        <v>521</v>
      </c>
      <c r="C302" s="1">
        <v>67.2</v>
      </c>
      <c r="D302" s="1" t="s">
        <v>812</v>
      </c>
    </row>
    <row r="303" ht="15.75" customHeight="1">
      <c r="A303" s="1" t="s">
        <v>522</v>
      </c>
      <c r="B303" s="1" t="s">
        <v>523</v>
      </c>
      <c r="C303" s="1">
        <v>67.8</v>
      </c>
      <c r="D303" s="1" t="s">
        <v>812</v>
      </c>
    </row>
    <row r="304" ht="15.75" customHeight="1">
      <c r="A304" s="1" t="s">
        <v>524</v>
      </c>
      <c r="B304" s="1" t="s">
        <v>256</v>
      </c>
      <c r="C304" s="1">
        <v>69.2</v>
      </c>
      <c r="D304" s="1" t="s">
        <v>812</v>
      </c>
    </row>
    <row r="305" ht="15.75" customHeight="1">
      <c r="A305" s="1" t="s">
        <v>525</v>
      </c>
      <c r="B305" s="1" t="s">
        <v>526</v>
      </c>
      <c r="C305" s="1">
        <v>77.6</v>
      </c>
      <c r="D305" s="1" t="s">
        <v>812</v>
      </c>
    </row>
    <row r="306" ht="15.75" customHeight="1">
      <c r="A306" s="1" t="s">
        <v>527</v>
      </c>
      <c r="B306" s="1" t="s">
        <v>390</v>
      </c>
      <c r="C306" s="1">
        <v>60.4</v>
      </c>
      <c r="D306" s="1" t="s">
        <v>812</v>
      </c>
    </row>
    <row r="307" ht="15.75" customHeight="1">
      <c r="A307" s="1" t="s">
        <v>528</v>
      </c>
      <c r="B307" s="1" t="s">
        <v>340</v>
      </c>
      <c r="C307" s="1">
        <v>81.6</v>
      </c>
      <c r="D307" s="1" t="s">
        <v>812</v>
      </c>
    </row>
    <row r="308" ht="15.75" customHeight="1">
      <c r="A308" s="1" t="s">
        <v>529</v>
      </c>
      <c r="B308" s="1" t="s">
        <v>530</v>
      </c>
      <c r="C308" s="1">
        <v>61.2</v>
      </c>
      <c r="D308" s="1" t="s">
        <v>812</v>
      </c>
    </row>
    <row r="309" ht="15.75" customHeight="1">
      <c r="A309" s="1" t="s">
        <v>531</v>
      </c>
      <c r="B309" s="1" t="s">
        <v>372</v>
      </c>
      <c r="C309" s="1">
        <v>68.0</v>
      </c>
      <c r="D309" s="1" t="s">
        <v>812</v>
      </c>
    </row>
    <row r="310" ht="15.75" customHeight="1">
      <c r="A310" s="1" t="s">
        <v>532</v>
      </c>
      <c r="B310" s="1" t="s">
        <v>156</v>
      </c>
      <c r="C310" s="1">
        <v>76.2</v>
      </c>
      <c r="D310" s="1" t="s">
        <v>812</v>
      </c>
    </row>
    <row r="311" ht="15.75" customHeight="1">
      <c r="A311" s="1" t="s">
        <v>533</v>
      </c>
      <c r="B311" s="1" t="s">
        <v>534</v>
      </c>
      <c r="C311" s="1">
        <v>79.2</v>
      </c>
      <c r="D311" s="1" t="s">
        <v>812</v>
      </c>
    </row>
    <row r="312" ht="15.75" customHeight="1">
      <c r="A312" s="1" t="s">
        <v>535</v>
      </c>
      <c r="B312" s="1" t="s">
        <v>83</v>
      </c>
      <c r="C312" s="1">
        <v>76.6</v>
      </c>
      <c r="D312" s="1" t="s">
        <v>812</v>
      </c>
    </row>
    <row r="313" ht="15.75" customHeight="1">
      <c r="A313" s="1" t="s">
        <v>536</v>
      </c>
      <c r="B313" s="1" t="s">
        <v>537</v>
      </c>
      <c r="C313" s="1">
        <v>80.2</v>
      </c>
      <c r="D313" s="1" t="s">
        <v>812</v>
      </c>
    </row>
    <row r="314" ht="15.75" customHeight="1">
      <c r="A314" s="1" t="s">
        <v>538</v>
      </c>
      <c r="B314" s="1" t="s">
        <v>539</v>
      </c>
      <c r="C314" s="1">
        <v>53.4</v>
      </c>
      <c r="D314" s="1" t="s">
        <v>812</v>
      </c>
    </row>
    <row r="315" ht="15.75" customHeight="1">
      <c r="A315" s="1" t="s">
        <v>540</v>
      </c>
      <c r="B315" s="1" t="s">
        <v>495</v>
      </c>
      <c r="C315" s="1">
        <v>81.0</v>
      </c>
      <c r="D315" s="1" t="s">
        <v>812</v>
      </c>
    </row>
    <row r="316" ht="15.75" customHeight="1">
      <c r="A316" s="1" t="s">
        <v>541</v>
      </c>
      <c r="B316" s="1" t="s">
        <v>270</v>
      </c>
      <c r="C316" s="1">
        <v>59.0</v>
      </c>
      <c r="D316" s="1" t="s">
        <v>812</v>
      </c>
    </row>
    <row r="317" ht="15.75" customHeight="1">
      <c r="A317" s="1" t="s">
        <v>542</v>
      </c>
      <c r="B317" s="1" t="s">
        <v>471</v>
      </c>
      <c r="C317" s="1">
        <v>84.0</v>
      </c>
      <c r="D317" s="1" t="s">
        <v>812</v>
      </c>
    </row>
    <row r="318" ht="15.75" customHeight="1">
      <c r="A318" s="1" t="s">
        <v>543</v>
      </c>
      <c r="B318" s="1" t="s">
        <v>206</v>
      </c>
      <c r="C318" s="1">
        <v>63.2</v>
      </c>
      <c r="D318" s="1" t="s">
        <v>812</v>
      </c>
    </row>
    <row r="319" ht="15.75" customHeight="1">
      <c r="A319" s="1" t="s">
        <v>544</v>
      </c>
      <c r="B319" s="1" t="s">
        <v>545</v>
      </c>
      <c r="C319" s="1">
        <v>66.8</v>
      </c>
      <c r="D319" s="1" t="s">
        <v>812</v>
      </c>
    </row>
    <row r="320" ht="15.75" customHeight="1">
      <c r="A320" s="1" t="s">
        <v>546</v>
      </c>
      <c r="B320" s="1" t="s">
        <v>178</v>
      </c>
      <c r="C320" s="1">
        <v>68.6</v>
      </c>
      <c r="D320" s="1" t="s">
        <v>812</v>
      </c>
    </row>
    <row r="321" ht="15.75" customHeight="1">
      <c r="A321" s="1" t="s">
        <v>547</v>
      </c>
      <c r="B321" s="1" t="s">
        <v>548</v>
      </c>
      <c r="C321" s="1">
        <v>67.6</v>
      </c>
      <c r="D321" s="1" t="s">
        <v>812</v>
      </c>
    </row>
    <row r="322" ht="15.75" customHeight="1">
      <c r="A322" s="1" t="s">
        <v>549</v>
      </c>
      <c r="B322" s="1" t="s">
        <v>550</v>
      </c>
      <c r="C322" s="1">
        <v>73.2</v>
      </c>
      <c r="D322" s="1" t="s">
        <v>812</v>
      </c>
    </row>
    <row r="323" ht="15.75" customHeight="1">
      <c r="A323" s="1" t="s">
        <v>551</v>
      </c>
      <c r="B323" s="1" t="s">
        <v>383</v>
      </c>
      <c r="C323" s="1">
        <v>72.2</v>
      </c>
      <c r="D323" s="1" t="s">
        <v>812</v>
      </c>
    </row>
    <row r="324" ht="15.75" customHeight="1">
      <c r="A324" s="1" t="s">
        <v>552</v>
      </c>
      <c r="B324" s="1" t="s">
        <v>545</v>
      </c>
      <c r="C324" s="1">
        <v>72.2</v>
      </c>
      <c r="D324" s="1" t="s">
        <v>812</v>
      </c>
    </row>
    <row r="325" ht="15.75" customHeight="1">
      <c r="A325" s="1" t="s">
        <v>553</v>
      </c>
      <c r="B325" s="1" t="s">
        <v>372</v>
      </c>
      <c r="C325" s="1">
        <v>70.8</v>
      </c>
      <c r="D325" s="1" t="s">
        <v>812</v>
      </c>
    </row>
    <row r="326" ht="15.75" customHeight="1">
      <c r="A326" s="1" t="s">
        <v>554</v>
      </c>
      <c r="B326" s="1" t="s">
        <v>72</v>
      </c>
      <c r="C326" s="1">
        <v>56.2</v>
      </c>
      <c r="D326" s="1" t="s">
        <v>812</v>
      </c>
    </row>
    <row r="327" ht="15.75" customHeight="1">
      <c r="A327" s="1" t="s">
        <v>555</v>
      </c>
      <c r="B327" s="1" t="s">
        <v>556</v>
      </c>
      <c r="C327" s="1">
        <v>70.4</v>
      </c>
      <c r="D327" s="1" t="s">
        <v>812</v>
      </c>
    </row>
    <row r="328" ht="15.75" customHeight="1">
      <c r="A328" s="1" t="s">
        <v>557</v>
      </c>
      <c r="B328" s="1" t="s">
        <v>516</v>
      </c>
      <c r="C328" s="1">
        <v>81.4</v>
      </c>
      <c r="D328" s="1" t="s">
        <v>812</v>
      </c>
    </row>
    <row r="329" ht="15.75" customHeight="1">
      <c r="A329" s="1" t="s">
        <v>558</v>
      </c>
      <c r="B329" s="1" t="s">
        <v>139</v>
      </c>
      <c r="C329" s="1">
        <v>60.2</v>
      </c>
      <c r="D329" s="1" t="s">
        <v>812</v>
      </c>
    </row>
    <row r="330" ht="15.75" customHeight="1">
      <c r="A330" s="1" t="s">
        <v>559</v>
      </c>
      <c r="B330" s="1" t="s">
        <v>455</v>
      </c>
      <c r="C330" s="1">
        <v>67.8</v>
      </c>
      <c r="D330" s="1" t="s">
        <v>812</v>
      </c>
    </row>
    <row r="331" ht="15.75" customHeight="1">
      <c r="A331" s="1" t="s">
        <v>560</v>
      </c>
      <c r="B331" s="1" t="s">
        <v>561</v>
      </c>
      <c r="C331" s="1">
        <v>77.6</v>
      </c>
      <c r="D331" s="1" t="s">
        <v>812</v>
      </c>
    </row>
    <row r="332" ht="15.75" customHeight="1">
      <c r="A332" s="1" t="s">
        <v>562</v>
      </c>
      <c r="B332" s="1" t="s">
        <v>463</v>
      </c>
      <c r="C332" s="1">
        <v>71.8</v>
      </c>
      <c r="D332" s="1" t="s">
        <v>812</v>
      </c>
    </row>
    <row r="333" ht="15.75" customHeight="1">
      <c r="A333" s="1" t="s">
        <v>563</v>
      </c>
      <c r="B333" s="1" t="s">
        <v>564</v>
      </c>
      <c r="C333" s="1">
        <v>68.8</v>
      </c>
      <c r="D333" s="1" t="s">
        <v>812</v>
      </c>
    </row>
    <row r="334" ht="15.75" customHeight="1">
      <c r="A334" s="1" t="s">
        <v>565</v>
      </c>
      <c r="B334" s="1" t="s">
        <v>111</v>
      </c>
      <c r="C334" s="1">
        <v>58.6</v>
      </c>
      <c r="D334" s="1" t="s">
        <v>812</v>
      </c>
    </row>
    <row r="335" ht="15.75" customHeight="1">
      <c r="A335" s="1" t="s">
        <v>566</v>
      </c>
      <c r="B335" s="1" t="s">
        <v>311</v>
      </c>
      <c r="C335" s="1">
        <v>68.2</v>
      </c>
      <c r="D335" s="1" t="s">
        <v>812</v>
      </c>
    </row>
    <row r="336" ht="15.75" customHeight="1">
      <c r="A336" s="1" t="s">
        <v>567</v>
      </c>
      <c r="B336" s="1" t="s">
        <v>43</v>
      </c>
      <c r="C336" s="1">
        <v>63.4</v>
      </c>
      <c r="D336" s="1" t="s">
        <v>812</v>
      </c>
    </row>
    <row r="337" ht="15.75" customHeight="1">
      <c r="A337" s="1" t="s">
        <v>568</v>
      </c>
      <c r="B337" s="1" t="s">
        <v>320</v>
      </c>
      <c r="C337" s="1">
        <v>75.8</v>
      </c>
      <c r="D337" s="1" t="s">
        <v>812</v>
      </c>
    </row>
    <row r="338" ht="15.75" customHeight="1">
      <c r="A338" s="1" t="s">
        <v>569</v>
      </c>
      <c r="B338" s="1" t="s">
        <v>570</v>
      </c>
      <c r="C338" s="1">
        <v>69.0</v>
      </c>
      <c r="D338" s="1" t="s">
        <v>812</v>
      </c>
    </row>
    <row r="339" ht="15.75" customHeight="1">
      <c r="A339" s="1" t="s">
        <v>571</v>
      </c>
      <c r="B339" s="1" t="s">
        <v>572</v>
      </c>
      <c r="C339" s="1">
        <v>86.2</v>
      </c>
      <c r="D339" s="1" t="s">
        <v>813</v>
      </c>
    </row>
    <row r="340" ht="15.75" customHeight="1">
      <c r="A340" s="1" t="s">
        <v>573</v>
      </c>
      <c r="B340" s="1" t="s">
        <v>139</v>
      </c>
      <c r="C340" s="1">
        <v>74.8</v>
      </c>
      <c r="D340" s="1" t="s">
        <v>812</v>
      </c>
    </row>
    <row r="341" ht="15.75" customHeight="1">
      <c r="A341" s="1" t="s">
        <v>574</v>
      </c>
      <c r="B341" s="1" t="s">
        <v>96</v>
      </c>
      <c r="C341" s="1">
        <v>70.0</v>
      </c>
      <c r="D341" s="1" t="s">
        <v>812</v>
      </c>
    </row>
    <row r="342" ht="15.75" customHeight="1">
      <c r="A342" s="1" t="s">
        <v>575</v>
      </c>
      <c r="B342" s="1" t="s">
        <v>576</v>
      </c>
      <c r="C342" s="1">
        <v>66.0</v>
      </c>
      <c r="D342" s="1" t="s">
        <v>812</v>
      </c>
    </row>
    <row r="343" ht="15.75" customHeight="1">
      <c r="A343" s="1" t="s">
        <v>577</v>
      </c>
      <c r="B343" s="1" t="s">
        <v>556</v>
      </c>
      <c r="C343" s="1">
        <v>63.2</v>
      </c>
      <c r="D343" s="1" t="s">
        <v>812</v>
      </c>
    </row>
    <row r="344" ht="15.75" customHeight="1">
      <c r="A344" s="1" t="s">
        <v>578</v>
      </c>
      <c r="B344" s="1" t="s">
        <v>16</v>
      </c>
      <c r="C344" s="1">
        <v>75.2</v>
      </c>
      <c r="D344" s="1" t="s">
        <v>812</v>
      </c>
    </row>
    <row r="345" ht="15.75" customHeight="1">
      <c r="A345" s="1" t="s">
        <v>579</v>
      </c>
      <c r="B345" s="1" t="s">
        <v>580</v>
      </c>
      <c r="C345" s="1">
        <v>70.2</v>
      </c>
      <c r="D345" s="1" t="s">
        <v>812</v>
      </c>
    </row>
    <row r="346" ht="15.75" customHeight="1">
      <c r="A346" s="1" t="s">
        <v>581</v>
      </c>
      <c r="B346" s="1" t="s">
        <v>582</v>
      </c>
      <c r="C346" s="1">
        <v>70.6</v>
      </c>
      <c r="D346" s="1" t="s">
        <v>812</v>
      </c>
    </row>
    <row r="347" ht="15.75" customHeight="1">
      <c r="A347" s="1" t="s">
        <v>583</v>
      </c>
      <c r="B347" s="1" t="s">
        <v>223</v>
      </c>
      <c r="C347" s="1">
        <v>62.6</v>
      </c>
      <c r="D347" s="1" t="s">
        <v>812</v>
      </c>
    </row>
    <row r="348" ht="15.75" customHeight="1">
      <c r="A348" s="1" t="s">
        <v>584</v>
      </c>
      <c r="B348" s="1" t="s">
        <v>167</v>
      </c>
      <c r="C348" s="1">
        <v>72.4</v>
      </c>
      <c r="D348" s="1" t="s">
        <v>812</v>
      </c>
    </row>
    <row r="349" ht="15.75" customHeight="1">
      <c r="A349" s="1" t="s">
        <v>585</v>
      </c>
      <c r="B349" s="1" t="s">
        <v>586</v>
      </c>
      <c r="C349" s="1">
        <v>65.2</v>
      </c>
      <c r="D349" s="1" t="s">
        <v>812</v>
      </c>
    </row>
    <row r="350" ht="15.75" customHeight="1">
      <c r="A350" s="1" t="s">
        <v>587</v>
      </c>
      <c r="B350" s="1" t="s">
        <v>588</v>
      </c>
      <c r="C350" s="1">
        <v>60.8</v>
      </c>
      <c r="D350" s="1" t="s">
        <v>812</v>
      </c>
    </row>
    <row r="351" ht="15.75" customHeight="1">
      <c r="A351" s="1" t="s">
        <v>589</v>
      </c>
      <c r="B351" s="1" t="s">
        <v>390</v>
      </c>
      <c r="C351" s="1">
        <v>56.4</v>
      </c>
      <c r="D351" s="1" t="s">
        <v>812</v>
      </c>
    </row>
    <row r="352" ht="15.75" customHeight="1">
      <c r="A352" s="1" t="s">
        <v>590</v>
      </c>
      <c r="B352" s="1" t="s">
        <v>175</v>
      </c>
      <c r="C352" s="1">
        <v>70.0</v>
      </c>
      <c r="D352" s="1" t="s">
        <v>812</v>
      </c>
    </row>
    <row r="353" ht="15.75" customHeight="1">
      <c r="A353" s="1" t="s">
        <v>591</v>
      </c>
      <c r="B353" s="1" t="s">
        <v>376</v>
      </c>
      <c r="C353" s="1">
        <v>87.4</v>
      </c>
      <c r="D353" s="1" t="s">
        <v>813</v>
      </c>
    </row>
    <row r="354" ht="15.75" customHeight="1">
      <c r="A354" s="1" t="s">
        <v>592</v>
      </c>
      <c r="B354" s="1" t="s">
        <v>43</v>
      </c>
      <c r="C354" s="1">
        <v>58.0</v>
      </c>
      <c r="D354" s="1" t="s">
        <v>812</v>
      </c>
    </row>
    <row r="355" ht="15.75" customHeight="1">
      <c r="A355" s="1" t="s">
        <v>593</v>
      </c>
      <c r="B355" s="1" t="s">
        <v>374</v>
      </c>
      <c r="C355" s="1">
        <v>67.0</v>
      </c>
      <c r="D355" s="1" t="s">
        <v>812</v>
      </c>
    </row>
    <row r="356" ht="15.75" customHeight="1">
      <c r="A356" s="1" t="s">
        <v>594</v>
      </c>
      <c r="B356" s="1" t="s">
        <v>595</v>
      </c>
      <c r="C356" s="1">
        <v>60.4</v>
      </c>
      <c r="D356" s="1" t="s">
        <v>812</v>
      </c>
    </row>
    <row r="357" ht="15.75" customHeight="1">
      <c r="A357" s="1" t="s">
        <v>596</v>
      </c>
      <c r="B357" s="1" t="s">
        <v>72</v>
      </c>
      <c r="C357" s="1">
        <v>60.2</v>
      </c>
      <c r="D357" s="1" t="s">
        <v>812</v>
      </c>
    </row>
    <row r="358" ht="15.75" customHeight="1">
      <c r="A358" s="1" t="s">
        <v>597</v>
      </c>
      <c r="B358" s="1" t="s">
        <v>344</v>
      </c>
      <c r="C358" s="1">
        <v>75.0</v>
      </c>
      <c r="D358" s="1" t="s">
        <v>812</v>
      </c>
    </row>
    <row r="359" ht="15.75" customHeight="1">
      <c r="A359" s="1" t="s">
        <v>598</v>
      </c>
      <c r="B359" s="1" t="s">
        <v>161</v>
      </c>
      <c r="C359" s="1">
        <v>65.2</v>
      </c>
      <c r="D359" s="1" t="s">
        <v>812</v>
      </c>
    </row>
    <row r="360" ht="15.75" customHeight="1">
      <c r="A360" s="1" t="s">
        <v>599</v>
      </c>
      <c r="B360" s="1" t="s">
        <v>299</v>
      </c>
      <c r="C360" s="1">
        <v>64.4</v>
      </c>
      <c r="D360" s="1" t="s">
        <v>812</v>
      </c>
    </row>
    <row r="361" ht="15.75" customHeight="1">
      <c r="A361" s="1" t="s">
        <v>600</v>
      </c>
      <c r="B361" s="1" t="s">
        <v>601</v>
      </c>
      <c r="C361" s="1">
        <v>79.2</v>
      </c>
      <c r="D361" s="1" t="s">
        <v>812</v>
      </c>
    </row>
    <row r="362" ht="15.75" customHeight="1">
      <c r="A362" s="1" t="s">
        <v>602</v>
      </c>
      <c r="B362" s="1" t="s">
        <v>475</v>
      </c>
      <c r="C362" s="1">
        <v>56.6</v>
      </c>
      <c r="D362" s="1" t="s">
        <v>812</v>
      </c>
    </row>
    <row r="363" ht="15.75" customHeight="1">
      <c r="A363" s="1" t="s">
        <v>603</v>
      </c>
      <c r="B363" s="1" t="s">
        <v>383</v>
      </c>
      <c r="C363" s="1">
        <v>66.4</v>
      </c>
      <c r="D363" s="1" t="s">
        <v>812</v>
      </c>
    </row>
    <row r="364" ht="15.75" customHeight="1">
      <c r="A364" s="1" t="s">
        <v>604</v>
      </c>
      <c r="B364" s="1" t="s">
        <v>36</v>
      </c>
      <c r="C364" s="1">
        <v>68.0</v>
      </c>
      <c r="D364" s="1" t="s">
        <v>812</v>
      </c>
    </row>
    <row r="365" ht="15.75" customHeight="1">
      <c r="A365" s="1" t="s">
        <v>605</v>
      </c>
      <c r="B365" s="1" t="s">
        <v>550</v>
      </c>
      <c r="C365" s="1">
        <v>56.4</v>
      </c>
      <c r="D365" s="1" t="s">
        <v>812</v>
      </c>
    </row>
    <row r="366" ht="15.75" customHeight="1">
      <c r="A366" s="1" t="s">
        <v>606</v>
      </c>
      <c r="B366" s="1" t="s">
        <v>34</v>
      </c>
      <c r="C366" s="1">
        <v>67.8</v>
      </c>
      <c r="D366" s="1" t="s">
        <v>812</v>
      </c>
    </row>
    <row r="367" ht="15.75" customHeight="1">
      <c r="A367" s="1" t="s">
        <v>607</v>
      </c>
      <c r="B367" s="1" t="s">
        <v>434</v>
      </c>
      <c r="C367" s="1">
        <v>83.4</v>
      </c>
      <c r="D367" s="1" t="s">
        <v>812</v>
      </c>
    </row>
    <row r="368" ht="15.75" customHeight="1">
      <c r="A368" s="1" t="s">
        <v>608</v>
      </c>
      <c r="B368" s="1" t="s">
        <v>265</v>
      </c>
      <c r="C368" s="1">
        <v>62.2</v>
      </c>
      <c r="D368" s="1" t="s">
        <v>812</v>
      </c>
    </row>
    <row r="369" ht="15.75" customHeight="1">
      <c r="A369" s="1" t="s">
        <v>609</v>
      </c>
      <c r="B369" s="1" t="s">
        <v>99</v>
      </c>
      <c r="C369" s="1">
        <v>80.2</v>
      </c>
      <c r="D369" s="1" t="s">
        <v>812</v>
      </c>
    </row>
    <row r="370" ht="15.75" customHeight="1">
      <c r="A370" s="1" t="s">
        <v>610</v>
      </c>
      <c r="B370" s="1" t="s">
        <v>611</v>
      </c>
      <c r="C370" s="1">
        <v>77.0</v>
      </c>
      <c r="D370" s="1" t="s">
        <v>812</v>
      </c>
    </row>
    <row r="371" ht="15.75" customHeight="1">
      <c r="A371" s="1" t="s">
        <v>612</v>
      </c>
      <c r="B371" s="1" t="s">
        <v>580</v>
      </c>
      <c r="C371" s="1">
        <v>68.8</v>
      </c>
      <c r="D371" s="1" t="s">
        <v>812</v>
      </c>
    </row>
    <row r="372" ht="15.75" customHeight="1">
      <c r="A372" s="1" t="s">
        <v>613</v>
      </c>
      <c r="B372" s="1" t="s">
        <v>614</v>
      </c>
      <c r="C372" s="1">
        <v>68.6</v>
      </c>
      <c r="D372" s="1" t="s">
        <v>812</v>
      </c>
    </row>
    <row r="373" ht="15.75" customHeight="1">
      <c r="A373" s="1" t="s">
        <v>615</v>
      </c>
      <c r="B373" s="1" t="s">
        <v>125</v>
      </c>
      <c r="C373" s="1">
        <v>81.4</v>
      </c>
      <c r="D373" s="1" t="s">
        <v>812</v>
      </c>
    </row>
    <row r="374" ht="15.75" customHeight="1">
      <c r="A374" s="1" t="s">
        <v>616</v>
      </c>
      <c r="B374" s="1" t="s">
        <v>502</v>
      </c>
      <c r="C374" s="1">
        <v>71.0</v>
      </c>
      <c r="D374" s="1" t="s">
        <v>812</v>
      </c>
    </row>
    <row r="375" ht="15.75" customHeight="1">
      <c r="A375" s="1" t="s">
        <v>617</v>
      </c>
      <c r="B375" s="1" t="s">
        <v>117</v>
      </c>
      <c r="C375" s="1">
        <v>79.0</v>
      </c>
      <c r="D375" s="1" t="s">
        <v>812</v>
      </c>
    </row>
    <row r="376" ht="15.75" customHeight="1">
      <c r="A376" s="1" t="s">
        <v>618</v>
      </c>
      <c r="B376" s="1" t="s">
        <v>475</v>
      </c>
      <c r="C376" s="1">
        <v>75.6</v>
      </c>
      <c r="D376" s="1" t="s">
        <v>812</v>
      </c>
    </row>
    <row r="377" ht="15.75" customHeight="1">
      <c r="A377" s="1" t="s">
        <v>619</v>
      </c>
      <c r="B377" s="1" t="s">
        <v>121</v>
      </c>
      <c r="C377" s="1">
        <v>60.4</v>
      </c>
      <c r="D377" s="1" t="s">
        <v>812</v>
      </c>
    </row>
    <row r="378" ht="15.75" customHeight="1">
      <c r="A378" s="1" t="s">
        <v>620</v>
      </c>
      <c r="B378" s="1" t="s">
        <v>135</v>
      </c>
      <c r="C378" s="1">
        <v>79.0</v>
      </c>
      <c r="D378" s="1" t="s">
        <v>812</v>
      </c>
    </row>
    <row r="379" ht="15.75" customHeight="1">
      <c r="A379" s="1" t="s">
        <v>621</v>
      </c>
      <c r="B379" s="1" t="s">
        <v>279</v>
      </c>
      <c r="C379" s="1">
        <v>68.8</v>
      </c>
      <c r="D379" s="1" t="s">
        <v>812</v>
      </c>
    </row>
    <row r="380" ht="15.75" customHeight="1">
      <c r="A380" s="1" t="s">
        <v>622</v>
      </c>
      <c r="B380" s="1" t="s">
        <v>623</v>
      </c>
      <c r="C380" s="1">
        <v>71.0</v>
      </c>
      <c r="D380" s="1" t="s">
        <v>812</v>
      </c>
    </row>
    <row r="381" ht="15.75" customHeight="1">
      <c r="A381" s="1" t="s">
        <v>624</v>
      </c>
      <c r="B381" s="1" t="s">
        <v>625</v>
      </c>
      <c r="C381" s="1">
        <v>81.8</v>
      </c>
      <c r="D381" s="1" t="s">
        <v>812</v>
      </c>
    </row>
    <row r="382" ht="15.75" customHeight="1">
      <c r="A382" s="1" t="s">
        <v>626</v>
      </c>
      <c r="B382" s="1" t="s">
        <v>367</v>
      </c>
      <c r="C382" s="1">
        <v>63.0</v>
      </c>
      <c r="D382" s="1" t="s">
        <v>812</v>
      </c>
    </row>
    <row r="383" ht="15.75" customHeight="1">
      <c r="A383" s="1" t="s">
        <v>627</v>
      </c>
      <c r="B383" s="1" t="s">
        <v>628</v>
      </c>
      <c r="C383" s="1">
        <v>69.2</v>
      </c>
      <c r="D383" s="1" t="s">
        <v>812</v>
      </c>
    </row>
    <row r="384" ht="15.75" customHeight="1">
      <c r="A384" s="1" t="s">
        <v>629</v>
      </c>
      <c r="B384" s="1" t="s">
        <v>630</v>
      </c>
      <c r="C384" s="1">
        <v>69.2</v>
      </c>
      <c r="D384" s="1" t="s">
        <v>812</v>
      </c>
    </row>
    <row r="385" ht="15.75" customHeight="1">
      <c r="A385" s="1" t="s">
        <v>631</v>
      </c>
      <c r="B385" s="1" t="s">
        <v>121</v>
      </c>
      <c r="C385" s="1">
        <v>63.4</v>
      </c>
      <c r="D385" s="1" t="s">
        <v>812</v>
      </c>
    </row>
    <row r="386" ht="15.75" customHeight="1">
      <c r="A386" s="1" t="s">
        <v>632</v>
      </c>
      <c r="B386" s="1" t="s">
        <v>633</v>
      </c>
      <c r="C386" s="1">
        <v>83.0</v>
      </c>
      <c r="D386" s="1" t="s">
        <v>812</v>
      </c>
    </row>
    <row r="387" ht="15.75" customHeight="1">
      <c r="A387" s="1" t="s">
        <v>634</v>
      </c>
      <c r="B387" s="1" t="s">
        <v>201</v>
      </c>
      <c r="C387" s="1">
        <v>71.0</v>
      </c>
      <c r="D387" s="1" t="s">
        <v>812</v>
      </c>
    </row>
    <row r="388" ht="15.75" customHeight="1">
      <c r="A388" s="1" t="s">
        <v>635</v>
      </c>
      <c r="B388" s="1" t="s">
        <v>385</v>
      </c>
      <c r="C388" s="1">
        <v>71.0</v>
      </c>
      <c r="D388" s="1" t="s">
        <v>812</v>
      </c>
    </row>
    <row r="389" ht="15.75" customHeight="1">
      <c r="A389" s="1" t="s">
        <v>636</v>
      </c>
      <c r="B389" s="1" t="s">
        <v>147</v>
      </c>
      <c r="C389" s="1">
        <v>79.6</v>
      </c>
      <c r="D389" s="1" t="s">
        <v>812</v>
      </c>
    </row>
    <row r="390" ht="15.75" customHeight="1">
      <c r="A390" s="1" t="s">
        <v>637</v>
      </c>
      <c r="B390" s="1" t="s">
        <v>638</v>
      </c>
      <c r="C390" s="1">
        <v>69.4</v>
      </c>
      <c r="D390" s="1" t="s">
        <v>812</v>
      </c>
    </row>
    <row r="391" ht="15.75" customHeight="1">
      <c r="A391" s="1" t="s">
        <v>639</v>
      </c>
      <c r="B391" s="1" t="s">
        <v>640</v>
      </c>
      <c r="C391" s="1">
        <v>70.2</v>
      </c>
      <c r="D391" s="1" t="s">
        <v>812</v>
      </c>
    </row>
    <row r="392" ht="15.75" customHeight="1">
      <c r="A392" s="1" t="s">
        <v>641</v>
      </c>
      <c r="B392" s="1" t="s">
        <v>123</v>
      </c>
      <c r="C392" s="1">
        <v>79.6</v>
      </c>
      <c r="D392" s="1" t="s">
        <v>812</v>
      </c>
    </row>
    <row r="393" ht="15.75" customHeight="1">
      <c r="A393" s="1" t="s">
        <v>642</v>
      </c>
      <c r="B393" s="1" t="s">
        <v>328</v>
      </c>
      <c r="C393" s="1">
        <v>76.8</v>
      </c>
      <c r="D393" s="1" t="s">
        <v>812</v>
      </c>
    </row>
    <row r="394" ht="15.75" customHeight="1">
      <c r="A394" s="1" t="s">
        <v>643</v>
      </c>
      <c r="B394" s="1" t="s">
        <v>644</v>
      </c>
      <c r="C394" s="1">
        <v>61.2</v>
      </c>
      <c r="D394" s="1" t="s">
        <v>812</v>
      </c>
    </row>
    <row r="395" ht="15.75" customHeight="1">
      <c r="A395" s="1" t="s">
        <v>645</v>
      </c>
      <c r="B395" s="1" t="s">
        <v>646</v>
      </c>
      <c r="C395" s="1">
        <v>73.4</v>
      </c>
      <c r="D395" s="1" t="s">
        <v>812</v>
      </c>
    </row>
    <row r="396" ht="15.75" customHeight="1">
      <c r="A396" s="1" t="s">
        <v>647</v>
      </c>
      <c r="B396" s="1" t="s">
        <v>193</v>
      </c>
      <c r="C396" s="1">
        <v>69.0</v>
      </c>
      <c r="D396" s="1" t="s">
        <v>812</v>
      </c>
    </row>
    <row r="397" ht="15.75" customHeight="1">
      <c r="A397" s="1" t="s">
        <v>648</v>
      </c>
      <c r="B397" s="1" t="s">
        <v>526</v>
      </c>
      <c r="C397" s="1">
        <v>68.4</v>
      </c>
      <c r="D397" s="1" t="s">
        <v>812</v>
      </c>
    </row>
    <row r="398" ht="15.75" customHeight="1">
      <c r="A398" s="1" t="s">
        <v>649</v>
      </c>
      <c r="B398" s="1" t="s">
        <v>471</v>
      </c>
      <c r="C398" s="1">
        <v>71.2</v>
      </c>
      <c r="D398" s="1" t="s">
        <v>812</v>
      </c>
    </row>
    <row r="399" ht="15.75" customHeight="1">
      <c r="A399" s="1" t="s">
        <v>650</v>
      </c>
      <c r="B399" s="1" t="s">
        <v>651</v>
      </c>
      <c r="C399" s="1">
        <v>46.4</v>
      </c>
      <c r="D399" s="1" t="s">
        <v>812</v>
      </c>
    </row>
    <row r="400" ht="15.75" customHeight="1">
      <c r="A400" s="1" t="s">
        <v>653</v>
      </c>
      <c r="B400" s="1" t="s">
        <v>204</v>
      </c>
      <c r="C400" s="1">
        <v>76.2</v>
      </c>
      <c r="D400" s="1" t="s">
        <v>812</v>
      </c>
    </row>
    <row r="401" ht="15.75" customHeight="1">
      <c r="A401" s="1" t="s">
        <v>654</v>
      </c>
      <c r="B401" s="1" t="s">
        <v>530</v>
      </c>
      <c r="C401" s="1">
        <v>66.4</v>
      </c>
      <c r="D401" s="1" t="s">
        <v>812</v>
      </c>
    </row>
    <row r="402" ht="15.75" customHeight="1">
      <c r="A402" s="1" t="s">
        <v>655</v>
      </c>
      <c r="B402" s="1" t="s">
        <v>429</v>
      </c>
      <c r="C402" s="1">
        <v>70.6</v>
      </c>
      <c r="D402" s="1" t="s">
        <v>812</v>
      </c>
    </row>
    <row r="403" ht="15.75" customHeight="1">
      <c r="A403" s="1" t="s">
        <v>656</v>
      </c>
      <c r="B403" s="1" t="s">
        <v>145</v>
      </c>
      <c r="C403" s="1">
        <v>76.6</v>
      </c>
      <c r="D403" s="1" t="s">
        <v>812</v>
      </c>
    </row>
    <row r="404" ht="15.75" customHeight="1">
      <c r="A404" s="1" t="s">
        <v>657</v>
      </c>
      <c r="B404" s="1" t="s">
        <v>340</v>
      </c>
      <c r="C404" s="1">
        <v>76.4</v>
      </c>
      <c r="D404" s="1" t="s">
        <v>812</v>
      </c>
    </row>
    <row r="405" ht="15.75" customHeight="1">
      <c r="A405" s="1" t="s">
        <v>658</v>
      </c>
      <c r="B405" s="1" t="s">
        <v>167</v>
      </c>
      <c r="C405" s="1">
        <v>65.6</v>
      </c>
      <c r="D405" s="1" t="s">
        <v>812</v>
      </c>
    </row>
    <row r="406" ht="15.75" customHeight="1">
      <c r="A406" s="1" t="s">
        <v>659</v>
      </c>
      <c r="B406" s="1" t="s">
        <v>564</v>
      </c>
      <c r="C406" s="1">
        <v>60.8</v>
      </c>
      <c r="D406" s="1" t="s">
        <v>812</v>
      </c>
    </row>
    <row r="407" ht="15.75" customHeight="1">
      <c r="A407" s="1" t="s">
        <v>660</v>
      </c>
      <c r="B407" s="1" t="s">
        <v>183</v>
      </c>
      <c r="C407" s="1">
        <v>70.6</v>
      </c>
      <c r="D407" s="1" t="s">
        <v>812</v>
      </c>
    </row>
    <row r="408" ht="15.75" customHeight="1">
      <c r="A408" s="1" t="s">
        <v>661</v>
      </c>
      <c r="B408" s="1" t="s">
        <v>514</v>
      </c>
      <c r="C408" s="1">
        <v>75.6</v>
      </c>
      <c r="D408" s="1" t="s">
        <v>812</v>
      </c>
    </row>
    <row r="409" ht="15.75" customHeight="1">
      <c r="A409" s="1" t="s">
        <v>662</v>
      </c>
      <c r="B409" s="1" t="s">
        <v>471</v>
      </c>
      <c r="C409" s="1">
        <v>66.6</v>
      </c>
      <c r="D409" s="1" t="s">
        <v>812</v>
      </c>
    </row>
    <row r="410" ht="15.75" customHeight="1">
      <c r="A410" s="1" t="s">
        <v>663</v>
      </c>
      <c r="B410" s="1" t="s">
        <v>153</v>
      </c>
      <c r="C410" s="1">
        <v>85.8</v>
      </c>
      <c r="D410" s="1" t="s">
        <v>813</v>
      </c>
    </row>
    <row r="411" ht="15.75" customHeight="1">
      <c r="A411" s="1" t="s">
        <v>664</v>
      </c>
      <c r="B411" s="1" t="s">
        <v>161</v>
      </c>
      <c r="C411" s="1">
        <v>81.4</v>
      </c>
      <c r="D411" s="1" t="s">
        <v>812</v>
      </c>
    </row>
    <row r="412" ht="15.75" customHeight="1">
      <c r="A412" s="1" t="s">
        <v>665</v>
      </c>
      <c r="B412" s="1" t="s">
        <v>167</v>
      </c>
      <c r="C412" s="1">
        <v>82.6</v>
      </c>
      <c r="D412" s="1" t="s">
        <v>812</v>
      </c>
    </row>
    <row r="413" ht="15.75" customHeight="1">
      <c r="A413" s="1" t="s">
        <v>666</v>
      </c>
      <c r="B413" s="1" t="s">
        <v>383</v>
      </c>
      <c r="C413" s="1">
        <v>79.4</v>
      </c>
      <c r="D413" s="1" t="s">
        <v>812</v>
      </c>
    </row>
    <row r="414" ht="15.75" customHeight="1">
      <c r="A414" s="1" t="s">
        <v>667</v>
      </c>
      <c r="B414" s="1" t="s">
        <v>534</v>
      </c>
      <c r="C414" s="1">
        <v>53.6</v>
      </c>
      <c r="D414" s="1" t="s">
        <v>812</v>
      </c>
    </row>
    <row r="415" ht="15.75" customHeight="1">
      <c r="A415" s="1" t="s">
        <v>668</v>
      </c>
      <c r="B415" s="1" t="s">
        <v>23</v>
      </c>
      <c r="C415" s="1">
        <v>54.4</v>
      </c>
      <c r="D415" s="1" t="s">
        <v>812</v>
      </c>
    </row>
    <row r="416" ht="15.75" customHeight="1">
      <c r="A416" s="1" t="s">
        <v>669</v>
      </c>
      <c r="B416" s="1" t="s">
        <v>333</v>
      </c>
      <c r="C416" s="1">
        <v>75.2</v>
      </c>
      <c r="D416" s="1" t="s">
        <v>812</v>
      </c>
    </row>
    <row r="417" ht="15.75" customHeight="1">
      <c r="A417" s="1" t="s">
        <v>670</v>
      </c>
      <c r="B417" s="1" t="s">
        <v>23</v>
      </c>
      <c r="C417" s="1">
        <v>78.0</v>
      </c>
      <c r="D417" s="1" t="s">
        <v>812</v>
      </c>
    </row>
    <row r="418" ht="15.75" customHeight="1">
      <c r="A418" s="1" t="s">
        <v>671</v>
      </c>
      <c r="B418" s="1" t="s">
        <v>191</v>
      </c>
      <c r="C418" s="1">
        <v>60.0</v>
      </c>
      <c r="D418" s="1" t="s">
        <v>812</v>
      </c>
    </row>
    <row r="419" ht="15.75" customHeight="1">
      <c r="A419" s="1" t="s">
        <v>672</v>
      </c>
      <c r="B419" s="1" t="s">
        <v>167</v>
      </c>
      <c r="C419" s="1">
        <v>71.4</v>
      </c>
      <c r="D419" s="1" t="s">
        <v>812</v>
      </c>
    </row>
    <row r="420" ht="15.75" customHeight="1">
      <c r="A420" s="1" t="s">
        <v>673</v>
      </c>
      <c r="B420" s="1" t="s">
        <v>291</v>
      </c>
      <c r="C420" s="1">
        <v>68.0</v>
      </c>
      <c r="D420" s="1" t="s">
        <v>812</v>
      </c>
    </row>
    <row r="421" ht="15.75" customHeight="1">
      <c r="A421" s="1" t="s">
        <v>674</v>
      </c>
      <c r="B421" s="1" t="s">
        <v>74</v>
      </c>
      <c r="C421" s="1">
        <v>65.0</v>
      </c>
      <c r="D421" s="1" t="s">
        <v>812</v>
      </c>
    </row>
    <row r="422" ht="15.75" customHeight="1">
      <c r="A422" s="1" t="s">
        <v>675</v>
      </c>
      <c r="B422" s="1" t="s">
        <v>459</v>
      </c>
      <c r="C422" s="1">
        <v>70.6</v>
      </c>
      <c r="D422" s="1" t="s">
        <v>812</v>
      </c>
    </row>
    <row r="423" ht="15.75" customHeight="1">
      <c r="A423" s="1" t="s">
        <v>676</v>
      </c>
      <c r="B423" s="1" t="s">
        <v>268</v>
      </c>
      <c r="C423" s="1">
        <v>85.4</v>
      </c>
      <c r="D423" s="1" t="s">
        <v>813</v>
      </c>
    </row>
    <row r="424" ht="15.75" customHeight="1">
      <c r="A424" s="1" t="s">
        <v>677</v>
      </c>
      <c r="B424" s="1" t="s">
        <v>467</v>
      </c>
      <c r="C424" s="1">
        <v>58.4</v>
      </c>
      <c r="D424" s="1" t="s">
        <v>812</v>
      </c>
    </row>
    <row r="425" ht="15.75" customHeight="1">
      <c r="A425" s="1" t="s">
        <v>678</v>
      </c>
      <c r="B425" s="1" t="s">
        <v>277</v>
      </c>
      <c r="C425" s="1">
        <v>53.2</v>
      </c>
      <c r="D425" s="1" t="s">
        <v>812</v>
      </c>
    </row>
    <row r="426" ht="15.75" customHeight="1">
      <c r="A426" s="1" t="s">
        <v>679</v>
      </c>
      <c r="B426" s="1" t="s">
        <v>548</v>
      </c>
      <c r="C426" s="1">
        <v>78.4</v>
      </c>
      <c r="D426" s="1" t="s">
        <v>812</v>
      </c>
    </row>
    <row r="427" ht="15.75" customHeight="1">
      <c r="A427" s="1" t="s">
        <v>680</v>
      </c>
      <c r="B427" s="1" t="s">
        <v>508</v>
      </c>
      <c r="C427" s="1">
        <v>61.2</v>
      </c>
      <c r="D427" s="1" t="s">
        <v>812</v>
      </c>
    </row>
    <row r="428" ht="15.75" customHeight="1">
      <c r="A428" s="1" t="s">
        <v>681</v>
      </c>
      <c r="B428" s="1" t="s">
        <v>256</v>
      </c>
      <c r="C428" s="1">
        <v>64.8</v>
      </c>
      <c r="D428" s="1" t="s">
        <v>812</v>
      </c>
    </row>
    <row r="429" ht="15.75" customHeight="1">
      <c r="A429" s="1" t="s">
        <v>682</v>
      </c>
      <c r="B429" s="1" t="s">
        <v>683</v>
      </c>
      <c r="C429" s="1">
        <v>66.6</v>
      </c>
      <c r="D429" s="1" t="s">
        <v>812</v>
      </c>
    </row>
    <row r="430" ht="15.75" customHeight="1">
      <c r="A430" s="1" t="s">
        <v>684</v>
      </c>
      <c r="B430" s="1" t="s">
        <v>595</v>
      </c>
      <c r="C430" s="1">
        <v>78.2</v>
      </c>
      <c r="D430" s="1" t="s">
        <v>812</v>
      </c>
    </row>
    <row r="431" ht="15.75" customHeight="1">
      <c r="A431" s="1" t="s">
        <v>685</v>
      </c>
      <c r="B431" s="1" t="s">
        <v>208</v>
      </c>
      <c r="C431" s="1">
        <v>77.8</v>
      </c>
      <c r="D431" s="1" t="s">
        <v>812</v>
      </c>
    </row>
    <row r="432" ht="15.75" customHeight="1">
      <c r="A432" s="1" t="s">
        <v>686</v>
      </c>
      <c r="B432" s="1" t="s">
        <v>561</v>
      </c>
      <c r="C432" s="1">
        <v>66.4</v>
      </c>
      <c r="D432" s="1" t="s">
        <v>812</v>
      </c>
    </row>
    <row r="433" ht="15.75" customHeight="1">
      <c r="A433" s="1" t="s">
        <v>687</v>
      </c>
      <c r="B433" s="1" t="s">
        <v>324</v>
      </c>
      <c r="C433" s="1">
        <v>67.8</v>
      </c>
      <c r="D433" s="1" t="s">
        <v>812</v>
      </c>
    </row>
    <row r="434" ht="15.75" customHeight="1">
      <c r="A434" s="1" t="s">
        <v>688</v>
      </c>
      <c r="B434" s="1" t="s">
        <v>689</v>
      </c>
      <c r="C434" s="1">
        <v>67.6</v>
      </c>
      <c r="D434" s="1" t="s">
        <v>812</v>
      </c>
    </row>
    <row r="435" ht="15.75" customHeight="1">
      <c r="A435" s="1" t="s">
        <v>690</v>
      </c>
      <c r="B435" s="1" t="s">
        <v>628</v>
      </c>
      <c r="C435" s="1">
        <v>82.0</v>
      </c>
      <c r="D435" s="1" t="s">
        <v>812</v>
      </c>
    </row>
    <row r="436" ht="15.75" customHeight="1">
      <c r="A436" s="1" t="s">
        <v>691</v>
      </c>
      <c r="B436" s="1" t="s">
        <v>99</v>
      </c>
      <c r="C436" s="1">
        <v>58.0</v>
      </c>
      <c r="D436" s="1" t="s">
        <v>812</v>
      </c>
    </row>
    <row r="437" ht="15.75" customHeight="1">
      <c r="A437" s="1" t="s">
        <v>692</v>
      </c>
      <c r="B437" s="1" t="s">
        <v>28</v>
      </c>
      <c r="C437" s="1">
        <v>65.8</v>
      </c>
      <c r="D437" s="1" t="s">
        <v>812</v>
      </c>
    </row>
    <row r="438" ht="15.75" customHeight="1">
      <c r="A438" s="1" t="s">
        <v>693</v>
      </c>
      <c r="B438" s="1" t="s">
        <v>514</v>
      </c>
      <c r="C438" s="1">
        <v>68.0</v>
      </c>
      <c r="D438" s="1" t="s">
        <v>812</v>
      </c>
    </row>
    <row r="439" ht="15.75" customHeight="1">
      <c r="A439" s="1" t="s">
        <v>694</v>
      </c>
      <c r="B439" s="1" t="s">
        <v>695</v>
      </c>
      <c r="C439" s="1">
        <v>72.6</v>
      </c>
      <c r="D439" s="1" t="s">
        <v>812</v>
      </c>
    </row>
    <row r="440" ht="15.75" customHeight="1">
      <c r="A440" s="1" t="s">
        <v>696</v>
      </c>
      <c r="B440" s="1" t="s">
        <v>697</v>
      </c>
      <c r="C440" s="1">
        <v>76.0</v>
      </c>
      <c r="D440" s="1" t="s">
        <v>812</v>
      </c>
    </row>
    <row r="441" ht="15.75" customHeight="1">
      <c r="A441" s="1" t="s">
        <v>698</v>
      </c>
      <c r="B441" s="1" t="s">
        <v>197</v>
      </c>
      <c r="C441" s="1">
        <v>75.4</v>
      </c>
      <c r="D441" s="1" t="s">
        <v>812</v>
      </c>
    </row>
    <row r="442" ht="15.75" customHeight="1">
      <c r="A442" s="1" t="s">
        <v>699</v>
      </c>
      <c r="B442" s="1" t="s">
        <v>161</v>
      </c>
      <c r="C442" s="1">
        <v>54.0</v>
      </c>
      <c r="D442" s="1" t="s">
        <v>812</v>
      </c>
    </row>
    <row r="443" ht="15.75" customHeight="1">
      <c r="A443" s="1" t="s">
        <v>700</v>
      </c>
      <c r="B443" s="1" t="s">
        <v>163</v>
      </c>
      <c r="C443" s="1">
        <v>74.8</v>
      </c>
      <c r="D443" s="1" t="s">
        <v>812</v>
      </c>
    </row>
    <row r="444" ht="15.75" customHeight="1">
      <c r="A444" s="1" t="s">
        <v>701</v>
      </c>
      <c r="B444" s="1" t="s">
        <v>221</v>
      </c>
      <c r="C444" s="1">
        <v>60.8</v>
      </c>
      <c r="D444" s="1" t="s">
        <v>812</v>
      </c>
    </row>
    <row r="445" ht="15.75" customHeight="1">
      <c r="A445" s="1" t="s">
        <v>702</v>
      </c>
      <c r="B445" s="1" t="s">
        <v>703</v>
      </c>
      <c r="C445" s="1">
        <v>74.8</v>
      </c>
      <c r="D445" s="1" t="s">
        <v>812</v>
      </c>
    </row>
    <row r="446" ht="15.75" customHeight="1">
      <c r="A446" s="1" t="s">
        <v>704</v>
      </c>
      <c r="B446" s="1" t="s">
        <v>705</v>
      </c>
      <c r="C446" s="1">
        <v>74.4</v>
      </c>
      <c r="D446" s="1" t="s">
        <v>812</v>
      </c>
    </row>
    <row r="447" ht="15.75" customHeight="1">
      <c r="A447" s="1" t="s">
        <v>706</v>
      </c>
      <c r="B447" s="1" t="s">
        <v>427</v>
      </c>
      <c r="C447" s="1">
        <v>56.4</v>
      </c>
      <c r="D447" s="1" t="s">
        <v>812</v>
      </c>
    </row>
    <row r="448" ht="15.75" customHeight="1">
      <c r="A448" s="1" t="s">
        <v>707</v>
      </c>
      <c r="B448" s="1" t="s">
        <v>408</v>
      </c>
      <c r="C448" s="1">
        <v>83.8</v>
      </c>
      <c r="D448" s="1" t="s">
        <v>812</v>
      </c>
    </row>
    <row r="449" ht="15.75" customHeight="1">
      <c r="A449" s="1" t="s">
        <v>708</v>
      </c>
      <c r="B449" s="1" t="s">
        <v>709</v>
      </c>
      <c r="C449" s="1">
        <v>61.0</v>
      </c>
      <c r="D449" s="1" t="s">
        <v>812</v>
      </c>
    </row>
    <row r="450" ht="15.75" customHeight="1">
      <c r="A450" s="1" t="s">
        <v>710</v>
      </c>
      <c r="B450" s="1" t="s">
        <v>576</v>
      </c>
      <c r="C450" s="1">
        <v>67.2</v>
      </c>
      <c r="D450" s="1" t="s">
        <v>812</v>
      </c>
    </row>
    <row r="451" ht="15.75" customHeight="1">
      <c r="A451" s="1" t="s">
        <v>711</v>
      </c>
      <c r="B451" s="1" t="s">
        <v>534</v>
      </c>
      <c r="C451" s="1">
        <v>74.2</v>
      </c>
      <c r="D451" s="1" t="s">
        <v>812</v>
      </c>
    </row>
    <row r="452" ht="15.75" customHeight="1">
      <c r="A452" s="1" t="s">
        <v>712</v>
      </c>
      <c r="B452" s="1" t="s">
        <v>311</v>
      </c>
      <c r="C452" s="1">
        <v>60.2</v>
      </c>
      <c r="D452" s="1" t="s">
        <v>812</v>
      </c>
    </row>
    <row r="453" ht="15.75" customHeight="1">
      <c r="A453" s="1" t="s">
        <v>713</v>
      </c>
      <c r="B453" s="1" t="s">
        <v>703</v>
      </c>
      <c r="C453" s="1">
        <v>66.6</v>
      </c>
      <c r="D453" s="1" t="s">
        <v>812</v>
      </c>
    </row>
    <row r="454" ht="15.75" customHeight="1">
      <c r="A454" s="1" t="s">
        <v>714</v>
      </c>
      <c r="B454" s="1" t="s">
        <v>715</v>
      </c>
      <c r="C454" s="1">
        <v>67.6</v>
      </c>
      <c r="D454" s="1" t="s">
        <v>812</v>
      </c>
    </row>
    <row r="455" ht="15.75" customHeight="1">
      <c r="A455" s="1" t="s">
        <v>716</v>
      </c>
      <c r="B455" s="1" t="s">
        <v>717</v>
      </c>
      <c r="C455" s="1">
        <v>73.6</v>
      </c>
      <c r="D455" s="1" t="s">
        <v>812</v>
      </c>
    </row>
    <row r="456" ht="15.75" customHeight="1">
      <c r="A456" s="1" t="s">
        <v>718</v>
      </c>
      <c r="B456" s="1" t="s">
        <v>429</v>
      </c>
      <c r="C456" s="1">
        <v>61.8</v>
      </c>
      <c r="D456" s="1" t="s">
        <v>812</v>
      </c>
    </row>
    <row r="457" ht="15.75" customHeight="1">
      <c r="A457" s="1" t="s">
        <v>719</v>
      </c>
      <c r="B457" s="1" t="s">
        <v>335</v>
      </c>
      <c r="C457" s="1">
        <v>61.2</v>
      </c>
      <c r="D457" s="1" t="s">
        <v>812</v>
      </c>
    </row>
    <row r="458" ht="15.75" customHeight="1">
      <c r="A458" s="1" t="s">
        <v>720</v>
      </c>
      <c r="B458" s="1" t="s">
        <v>349</v>
      </c>
      <c r="C458" s="1">
        <v>62.0</v>
      </c>
      <c r="D458" s="1" t="s">
        <v>812</v>
      </c>
    </row>
    <row r="459" ht="15.75" customHeight="1">
      <c r="A459" s="1" t="s">
        <v>721</v>
      </c>
      <c r="B459" s="1" t="s">
        <v>717</v>
      </c>
      <c r="C459" s="1">
        <v>80.0</v>
      </c>
      <c r="D459" s="1" t="s">
        <v>812</v>
      </c>
    </row>
    <row r="460" ht="15.75" customHeight="1">
      <c r="A460" s="1" t="s">
        <v>722</v>
      </c>
      <c r="B460" s="1" t="s">
        <v>495</v>
      </c>
      <c r="C460" s="1">
        <v>74.2</v>
      </c>
      <c r="D460" s="1" t="s">
        <v>812</v>
      </c>
    </row>
    <row r="461" ht="15.75" customHeight="1">
      <c r="A461" s="1" t="s">
        <v>723</v>
      </c>
      <c r="B461" s="1" t="s">
        <v>51</v>
      </c>
      <c r="C461" s="1">
        <v>72.4</v>
      </c>
      <c r="D461" s="1" t="s">
        <v>812</v>
      </c>
    </row>
    <row r="462" ht="15.75" customHeight="1">
      <c r="A462" s="1" t="s">
        <v>724</v>
      </c>
      <c r="B462" s="1" t="s">
        <v>163</v>
      </c>
      <c r="C462" s="1">
        <v>58.2</v>
      </c>
      <c r="D462" s="1" t="s">
        <v>812</v>
      </c>
    </row>
    <row r="463" ht="15.75" customHeight="1">
      <c r="A463" s="1" t="s">
        <v>725</v>
      </c>
      <c r="B463" s="1" t="s">
        <v>374</v>
      </c>
      <c r="C463" s="1">
        <v>60.6</v>
      </c>
      <c r="D463" s="1" t="s">
        <v>812</v>
      </c>
    </row>
    <row r="464" ht="15.75" customHeight="1">
      <c r="A464" s="1" t="s">
        <v>726</v>
      </c>
      <c r="B464" s="1" t="s">
        <v>274</v>
      </c>
      <c r="C464" s="1">
        <v>80.6</v>
      </c>
      <c r="D464" s="1" t="s">
        <v>812</v>
      </c>
    </row>
    <row r="465" ht="15.75" customHeight="1">
      <c r="A465" s="1" t="s">
        <v>727</v>
      </c>
      <c r="B465" s="1" t="s">
        <v>137</v>
      </c>
      <c r="C465" s="1">
        <v>80.8</v>
      </c>
      <c r="D465" s="1" t="s">
        <v>812</v>
      </c>
    </row>
    <row r="466" ht="15.75" customHeight="1">
      <c r="A466" s="1" t="s">
        <v>728</v>
      </c>
      <c r="B466" s="1" t="s">
        <v>91</v>
      </c>
      <c r="C466" s="1">
        <v>69.4</v>
      </c>
      <c r="D466" s="1" t="s">
        <v>812</v>
      </c>
    </row>
    <row r="467" ht="15.75" customHeight="1">
      <c r="A467" s="1" t="s">
        <v>729</v>
      </c>
      <c r="B467" s="1" t="s">
        <v>550</v>
      </c>
      <c r="C467" s="1">
        <v>72.8</v>
      </c>
      <c r="D467" s="1" t="s">
        <v>812</v>
      </c>
    </row>
    <row r="468" ht="15.75" customHeight="1">
      <c r="A468" s="1" t="s">
        <v>730</v>
      </c>
      <c r="B468" s="1" t="s">
        <v>731</v>
      </c>
      <c r="C468" s="1">
        <v>62.6</v>
      </c>
      <c r="D468" s="1" t="s">
        <v>812</v>
      </c>
    </row>
    <row r="469" ht="15.75" customHeight="1">
      <c r="A469" s="1" t="s">
        <v>732</v>
      </c>
      <c r="B469" s="1" t="s">
        <v>419</v>
      </c>
      <c r="C469" s="1">
        <v>73.0</v>
      </c>
      <c r="D469" s="1" t="s">
        <v>812</v>
      </c>
    </row>
    <row r="470" ht="15.75" customHeight="1">
      <c r="A470" s="1" t="s">
        <v>733</v>
      </c>
      <c r="B470" s="1" t="s">
        <v>233</v>
      </c>
      <c r="C470" s="1">
        <v>57.4</v>
      </c>
      <c r="D470" s="1" t="s">
        <v>812</v>
      </c>
    </row>
    <row r="471" ht="15.75" customHeight="1">
      <c r="A471" s="1" t="s">
        <v>734</v>
      </c>
      <c r="B471" s="1" t="s">
        <v>572</v>
      </c>
      <c r="C471" s="1">
        <v>76.8</v>
      </c>
      <c r="D471" s="1" t="s">
        <v>812</v>
      </c>
    </row>
    <row r="472" ht="15.75" customHeight="1">
      <c r="A472" s="1" t="s">
        <v>735</v>
      </c>
      <c r="B472" s="1" t="s">
        <v>523</v>
      </c>
      <c r="C472" s="1">
        <v>77.4</v>
      </c>
      <c r="D472" s="1" t="s">
        <v>812</v>
      </c>
    </row>
    <row r="473" ht="15.75" customHeight="1">
      <c r="A473" s="1" t="s">
        <v>736</v>
      </c>
      <c r="B473" s="1" t="s">
        <v>640</v>
      </c>
      <c r="C473" s="1">
        <v>77.0</v>
      </c>
      <c r="D473" s="1" t="s">
        <v>812</v>
      </c>
    </row>
    <row r="474" ht="15.75" customHeight="1">
      <c r="A474" s="1" t="s">
        <v>737</v>
      </c>
      <c r="B474" s="1" t="s">
        <v>502</v>
      </c>
      <c r="C474" s="1">
        <v>83.0</v>
      </c>
      <c r="D474" s="1" t="s">
        <v>812</v>
      </c>
    </row>
    <row r="475" ht="15.75" customHeight="1">
      <c r="A475" s="1" t="s">
        <v>738</v>
      </c>
      <c r="B475" s="1" t="s">
        <v>49</v>
      </c>
      <c r="C475" s="1">
        <v>51.8</v>
      </c>
      <c r="D475" s="1" t="s">
        <v>812</v>
      </c>
    </row>
    <row r="476" ht="15.75" customHeight="1">
      <c r="A476" s="1" t="s">
        <v>739</v>
      </c>
      <c r="B476" s="1" t="s">
        <v>297</v>
      </c>
      <c r="C476" s="1">
        <v>66.4</v>
      </c>
      <c r="D476" s="1" t="s">
        <v>812</v>
      </c>
    </row>
    <row r="477" ht="15.75" customHeight="1">
      <c r="A477" s="1" t="s">
        <v>740</v>
      </c>
      <c r="B477" s="1" t="s">
        <v>64</v>
      </c>
      <c r="C477" s="1">
        <v>77.8</v>
      </c>
      <c r="D477" s="1" t="s">
        <v>812</v>
      </c>
    </row>
    <row r="478" ht="15.75" customHeight="1">
      <c r="A478" s="1" t="s">
        <v>741</v>
      </c>
      <c r="B478" s="1" t="s">
        <v>123</v>
      </c>
      <c r="C478" s="1">
        <v>84.6</v>
      </c>
      <c r="D478" s="1" t="s">
        <v>812</v>
      </c>
    </row>
    <row r="479" ht="15.75" customHeight="1">
      <c r="A479" s="1" t="s">
        <v>742</v>
      </c>
      <c r="B479" s="1" t="s">
        <v>743</v>
      </c>
      <c r="C479" s="1">
        <v>70.2</v>
      </c>
      <c r="D479" s="1" t="s">
        <v>812</v>
      </c>
    </row>
    <row r="480" ht="15.75" customHeight="1">
      <c r="A480" s="1" t="s">
        <v>744</v>
      </c>
      <c r="B480" s="1" t="s">
        <v>743</v>
      </c>
      <c r="C480" s="1">
        <v>64.6</v>
      </c>
      <c r="D480" s="1" t="s">
        <v>812</v>
      </c>
    </row>
    <row r="481" ht="15.75" customHeight="1">
      <c r="A481" s="1" t="s">
        <v>745</v>
      </c>
      <c r="B481" s="1" t="s">
        <v>526</v>
      </c>
      <c r="C481" s="1">
        <v>62.0</v>
      </c>
      <c r="D481" s="1" t="s">
        <v>812</v>
      </c>
    </row>
    <row r="482" ht="15.75" customHeight="1">
      <c r="A482" s="1" t="s">
        <v>746</v>
      </c>
      <c r="B482" s="1" t="s">
        <v>204</v>
      </c>
      <c r="C482" s="1">
        <v>74.0</v>
      </c>
      <c r="D482" s="1" t="s">
        <v>812</v>
      </c>
    </row>
    <row r="483" ht="15.75" customHeight="1">
      <c r="A483" s="1" t="s">
        <v>747</v>
      </c>
      <c r="B483" s="1" t="s">
        <v>183</v>
      </c>
      <c r="C483" s="1">
        <v>68.2</v>
      </c>
      <c r="D483" s="1" t="s">
        <v>812</v>
      </c>
    </row>
    <row r="484" ht="15.75" customHeight="1">
      <c r="A484" s="1" t="s">
        <v>748</v>
      </c>
      <c r="B484" s="1" t="s">
        <v>749</v>
      </c>
      <c r="C484" s="1">
        <v>80.2</v>
      </c>
      <c r="D484" s="1" t="s">
        <v>812</v>
      </c>
    </row>
    <row r="485" ht="15.75" customHeight="1">
      <c r="A485" s="1" t="s">
        <v>750</v>
      </c>
      <c r="B485" s="1" t="s">
        <v>139</v>
      </c>
      <c r="C485" s="1">
        <v>78.0</v>
      </c>
      <c r="D485" s="1" t="s">
        <v>812</v>
      </c>
    </row>
    <row r="486" ht="15.75" customHeight="1">
      <c r="A486" s="1" t="s">
        <v>751</v>
      </c>
      <c r="B486" s="1" t="s">
        <v>440</v>
      </c>
      <c r="C486" s="1">
        <v>80.6</v>
      </c>
      <c r="D486" s="1" t="s">
        <v>812</v>
      </c>
    </row>
    <row r="487" ht="15.75" customHeight="1">
      <c r="A487" s="1" t="s">
        <v>752</v>
      </c>
      <c r="B487" s="1" t="s">
        <v>623</v>
      </c>
      <c r="C487" s="1">
        <v>75.0</v>
      </c>
      <c r="D487" s="1" t="s">
        <v>812</v>
      </c>
    </row>
    <row r="488" ht="15.75" customHeight="1">
      <c r="A488" s="1" t="s">
        <v>753</v>
      </c>
      <c r="B488" s="1" t="s">
        <v>754</v>
      </c>
      <c r="C488" s="1">
        <v>54.0</v>
      </c>
      <c r="D488" s="1" t="s">
        <v>812</v>
      </c>
    </row>
    <row r="489" ht="15.75" customHeight="1">
      <c r="A489" s="1" t="s">
        <v>755</v>
      </c>
      <c r="B489" s="1" t="s">
        <v>550</v>
      </c>
      <c r="C489" s="1">
        <v>72.4</v>
      </c>
      <c r="D489" s="1" t="s">
        <v>812</v>
      </c>
    </row>
    <row r="490" ht="15.75" customHeight="1">
      <c r="A490" s="1" t="s">
        <v>756</v>
      </c>
      <c r="B490" s="1" t="s">
        <v>459</v>
      </c>
      <c r="C490" s="1">
        <v>80.2</v>
      </c>
      <c r="D490" s="1" t="s">
        <v>812</v>
      </c>
    </row>
    <row r="491" ht="15.75" customHeight="1">
      <c r="A491" s="1" t="s">
        <v>757</v>
      </c>
      <c r="B491" s="1" t="s">
        <v>295</v>
      </c>
      <c r="C491" s="1">
        <v>57.0</v>
      </c>
      <c r="D491" s="1" t="s">
        <v>812</v>
      </c>
    </row>
    <row r="492" ht="15.75" customHeight="1">
      <c r="A492" s="1" t="s">
        <v>758</v>
      </c>
      <c r="B492" s="1" t="s">
        <v>586</v>
      </c>
      <c r="C492" s="1">
        <v>72.2</v>
      </c>
      <c r="D492" s="1" t="s">
        <v>812</v>
      </c>
    </row>
    <row r="493" ht="15.75" customHeight="1">
      <c r="A493" s="1" t="s">
        <v>759</v>
      </c>
      <c r="B493" s="1" t="s">
        <v>760</v>
      </c>
      <c r="C493" s="1">
        <v>62.6</v>
      </c>
      <c r="D493" s="1" t="s">
        <v>812</v>
      </c>
    </row>
    <row r="494" ht="15.75" customHeight="1">
      <c r="A494" s="1" t="s">
        <v>761</v>
      </c>
      <c r="B494" s="1" t="s">
        <v>115</v>
      </c>
      <c r="C494" s="1">
        <v>72.8</v>
      </c>
      <c r="D494" s="1" t="s">
        <v>812</v>
      </c>
    </row>
    <row r="495" ht="15.75" customHeight="1">
      <c r="A495" s="1" t="s">
        <v>762</v>
      </c>
      <c r="B495" s="1" t="s">
        <v>638</v>
      </c>
      <c r="C495" s="1">
        <v>75.4</v>
      </c>
      <c r="D495" s="1" t="s">
        <v>812</v>
      </c>
    </row>
    <row r="496" ht="15.75" customHeight="1">
      <c r="A496" s="1" t="s">
        <v>763</v>
      </c>
      <c r="B496" s="1" t="s">
        <v>576</v>
      </c>
      <c r="C496" s="1">
        <v>52.4</v>
      </c>
      <c r="D496" s="1" t="s">
        <v>812</v>
      </c>
    </row>
    <row r="497" ht="15.75" customHeight="1">
      <c r="A497" s="1" t="s">
        <v>764</v>
      </c>
      <c r="B497" s="1" t="s">
        <v>765</v>
      </c>
      <c r="C497" s="1">
        <v>73.8</v>
      </c>
      <c r="D497" s="1" t="s">
        <v>812</v>
      </c>
    </row>
    <row r="498" ht="15.75" customHeight="1">
      <c r="A498" s="1" t="s">
        <v>766</v>
      </c>
      <c r="B498" s="1" t="s">
        <v>121</v>
      </c>
      <c r="C498" s="1">
        <v>74.8</v>
      </c>
      <c r="D498" s="1" t="s">
        <v>812</v>
      </c>
    </row>
    <row r="499" ht="15.75" customHeight="1">
      <c r="A499" s="1" t="s">
        <v>767</v>
      </c>
      <c r="B499" s="1" t="s">
        <v>364</v>
      </c>
      <c r="C499" s="1">
        <v>74.2</v>
      </c>
      <c r="D499" s="1" t="s">
        <v>812</v>
      </c>
    </row>
    <row r="500" ht="15.75" customHeight="1">
      <c r="A500" s="1" t="s">
        <v>768</v>
      </c>
      <c r="B500" s="1" t="s">
        <v>263</v>
      </c>
      <c r="C500" s="1">
        <v>73.2</v>
      </c>
      <c r="D500" s="1" t="s">
        <v>812</v>
      </c>
    </row>
    <row r="501" ht="15.75" customHeight="1">
      <c r="A501" s="1" t="s">
        <v>769</v>
      </c>
      <c r="B501" s="1" t="s">
        <v>488</v>
      </c>
      <c r="C501" s="1">
        <v>80.4</v>
      </c>
      <c r="D501" s="1" t="s">
        <v>812</v>
      </c>
    </row>
    <row r="502" ht="15.75" customHeight="1">
      <c r="A502" s="1" t="s">
        <v>770</v>
      </c>
      <c r="B502" s="1" t="s">
        <v>295</v>
      </c>
      <c r="C502" s="1">
        <v>69.2</v>
      </c>
      <c r="D502" s="1" t="s">
        <v>812</v>
      </c>
    </row>
    <row r="503" ht="15.75" customHeight="1">
      <c r="A503" s="1" t="s">
        <v>771</v>
      </c>
      <c r="B503" s="1" t="s">
        <v>16</v>
      </c>
      <c r="C503" s="1">
        <v>61.2</v>
      </c>
      <c r="D503" s="1" t="s">
        <v>812</v>
      </c>
    </row>
    <row r="504" ht="15.75" customHeight="1">
      <c r="A504" s="1" t="s">
        <v>814</v>
      </c>
      <c r="B504" s="1" t="s">
        <v>814</v>
      </c>
      <c r="C504" s="1" t="s">
        <v>814</v>
      </c>
      <c r="D504" s="1" t="s">
        <v>814</v>
      </c>
    </row>
    <row r="505" ht="15.75" customHeight="1">
      <c r="A505" s="1" t="s">
        <v>814</v>
      </c>
      <c r="B505" s="1" t="s">
        <v>814</v>
      </c>
      <c r="C505" s="1" t="s">
        <v>814</v>
      </c>
      <c r="D505" s="1" t="s">
        <v>814</v>
      </c>
    </row>
    <row r="506" ht="15.75" customHeight="1">
      <c r="A506" s="1" t="s">
        <v>814</v>
      </c>
      <c r="B506" s="1" t="s">
        <v>814</v>
      </c>
      <c r="C506" s="1" t="s">
        <v>814</v>
      </c>
      <c r="D506" s="1" t="s">
        <v>814</v>
      </c>
    </row>
    <row r="507" ht="15.75" customHeight="1">
      <c r="A507" s="1" t="s">
        <v>814</v>
      </c>
      <c r="B507" s="1" t="s">
        <v>814</v>
      </c>
      <c r="C507" s="1" t="s">
        <v>814</v>
      </c>
      <c r="D507" s="1" t="s">
        <v>814</v>
      </c>
    </row>
    <row r="508" ht="15.75" customHeight="1">
      <c r="A508" s="1" t="s">
        <v>814</v>
      </c>
      <c r="B508" s="1" t="s">
        <v>814</v>
      </c>
      <c r="C508" s="1" t="s">
        <v>814</v>
      </c>
      <c r="D508" s="1" t="s">
        <v>814</v>
      </c>
    </row>
    <row r="509" ht="15.75" customHeight="1">
      <c r="A509" s="1" t="s">
        <v>814</v>
      </c>
      <c r="B509" s="1" t="s">
        <v>814</v>
      </c>
      <c r="C509" s="1" t="s">
        <v>814</v>
      </c>
      <c r="D509" s="1" t="s">
        <v>814</v>
      </c>
    </row>
    <row r="510" ht="15.75" customHeight="1">
      <c r="A510" s="1" t="s">
        <v>814</v>
      </c>
      <c r="B510" s="1" t="s">
        <v>814</v>
      </c>
      <c r="C510" s="1" t="s">
        <v>814</v>
      </c>
      <c r="D510" s="1" t="s">
        <v>814</v>
      </c>
    </row>
    <row r="511" ht="15.75" customHeight="1">
      <c r="A511" s="1" t="s">
        <v>814</v>
      </c>
      <c r="B511" s="1" t="s">
        <v>814</v>
      </c>
      <c r="C511" s="1" t="s">
        <v>814</v>
      </c>
      <c r="D511" s="1" t="s">
        <v>814</v>
      </c>
    </row>
    <row r="512" ht="15.75" customHeight="1">
      <c r="A512" s="1" t="s">
        <v>814</v>
      </c>
      <c r="B512" s="1" t="s">
        <v>814</v>
      </c>
      <c r="C512" s="1" t="s">
        <v>814</v>
      </c>
      <c r="D512" s="1" t="s">
        <v>814</v>
      </c>
    </row>
    <row r="513" ht="15.75" customHeight="1">
      <c r="A513" s="1" t="s">
        <v>814</v>
      </c>
      <c r="B513" s="1" t="s">
        <v>814</v>
      </c>
      <c r="C513" s="1" t="s">
        <v>814</v>
      </c>
      <c r="D513" s="1" t="s">
        <v>814</v>
      </c>
    </row>
    <row r="514" ht="15.75" customHeight="1">
      <c r="A514" s="1" t="s">
        <v>814</v>
      </c>
      <c r="B514" s="1" t="s">
        <v>814</v>
      </c>
      <c r="C514" s="1" t="s">
        <v>814</v>
      </c>
      <c r="D514" s="1" t="s">
        <v>814</v>
      </c>
    </row>
    <row r="515" ht="15.75" customHeight="1">
      <c r="A515" s="1" t="s">
        <v>814</v>
      </c>
      <c r="B515" s="1" t="s">
        <v>814</v>
      </c>
      <c r="C515" s="1" t="s">
        <v>814</v>
      </c>
      <c r="D515" s="1" t="s">
        <v>814</v>
      </c>
    </row>
    <row r="516" ht="15.75" customHeight="1">
      <c r="A516" s="1" t="s">
        <v>814</v>
      </c>
      <c r="B516" s="1" t="s">
        <v>814</v>
      </c>
      <c r="C516" s="1" t="s">
        <v>814</v>
      </c>
      <c r="D516" s="1" t="s">
        <v>814</v>
      </c>
    </row>
    <row r="517" ht="15.75" customHeight="1">
      <c r="A517" s="1" t="s">
        <v>814</v>
      </c>
      <c r="B517" s="1" t="s">
        <v>814</v>
      </c>
      <c r="C517" s="1" t="s">
        <v>814</v>
      </c>
      <c r="D517" s="1" t="s">
        <v>814</v>
      </c>
    </row>
    <row r="518" ht="15.75" customHeight="1">
      <c r="A518" s="1" t="s">
        <v>814</v>
      </c>
      <c r="B518" s="1" t="s">
        <v>814</v>
      </c>
      <c r="C518" s="1" t="s">
        <v>814</v>
      </c>
      <c r="D518" s="1" t="s">
        <v>814</v>
      </c>
    </row>
    <row r="519" ht="15.75" customHeight="1">
      <c r="A519" s="1" t="s">
        <v>814</v>
      </c>
      <c r="B519" s="1" t="s">
        <v>814</v>
      </c>
      <c r="C519" s="1" t="s">
        <v>814</v>
      </c>
      <c r="D519" s="1" t="s">
        <v>814</v>
      </c>
    </row>
    <row r="520" ht="15.75" customHeight="1">
      <c r="A520" s="1" t="s">
        <v>814</v>
      </c>
      <c r="B520" s="1" t="s">
        <v>814</v>
      </c>
      <c r="C520" s="1" t="s">
        <v>814</v>
      </c>
      <c r="D520" s="1" t="s">
        <v>814</v>
      </c>
    </row>
    <row r="521" ht="15.75" customHeight="1">
      <c r="A521" s="1" t="s">
        <v>814</v>
      </c>
      <c r="B521" s="1" t="s">
        <v>814</v>
      </c>
      <c r="C521" s="1" t="s">
        <v>814</v>
      </c>
      <c r="D521" s="1" t="s">
        <v>814</v>
      </c>
    </row>
    <row r="522" ht="15.75" customHeight="1">
      <c r="A522" s="1" t="s">
        <v>814</v>
      </c>
      <c r="B522" s="1" t="s">
        <v>814</v>
      </c>
      <c r="C522" s="1" t="s">
        <v>814</v>
      </c>
      <c r="D522" s="1" t="s">
        <v>814</v>
      </c>
    </row>
    <row r="523" ht="15.75" customHeight="1">
      <c r="A523" s="1" t="s">
        <v>814</v>
      </c>
      <c r="B523" s="1" t="s">
        <v>814</v>
      </c>
      <c r="C523" s="1" t="s">
        <v>814</v>
      </c>
      <c r="D523" s="1" t="s">
        <v>814</v>
      </c>
    </row>
    <row r="524" ht="15.75" customHeight="1">
      <c r="A524" s="1" t="s">
        <v>814</v>
      </c>
      <c r="B524" s="1" t="s">
        <v>814</v>
      </c>
      <c r="C524" s="1" t="s">
        <v>814</v>
      </c>
      <c r="D524" s="1" t="s">
        <v>814</v>
      </c>
    </row>
    <row r="525" ht="15.75" customHeight="1">
      <c r="A525" s="1" t="s">
        <v>814</v>
      </c>
      <c r="B525" s="1" t="s">
        <v>814</v>
      </c>
      <c r="C525" s="1" t="s">
        <v>814</v>
      </c>
      <c r="D525" s="1" t="s">
        <v>814</v>
      </c>
    </row>
    <row r="526" ht="15.75" customHeight="1">
      <c r="A526" s="1" t="s">
        <v>814</v>
      </c>
      <c r="B526" s="1" t="s">
        <v>814</v>
      </c>
      <c r="C526" s="1" t="s">
        <v>814</v>
      </c>
      <c r="D526" s="1" t="s">
        <v>814</v>
      </c>
    </row>
    <row r="527" ht="15.75" customHeight="1">
      <c r="A527" s="1" t="s">
        <v>814</v>
      </c>
      <c r="B527" s="1" t="s">
        <v>814</v>
      </c>
      <c r="C527" s="1" t="s">
        <v>814</v>
      </c>
      <c r="D527" s="1" t="s">
        <v>814</v>
      </c>
    </row>
    <row r="528" ht="15.75" customHeight="1">
      <c r="A528" s="1" t="s">
        <v>814</v>
      </c>
      <c r="B528" s="1" t="s">
        <v>814</v>
      </c>
      <c r="C528" s="1" t="s">
        <v>814</v>
      </c>
      <c r="D528" s="1" t="s">
        <v>814</v>
      </c>
    </row>
    <row r="529" ht="15.75" customHeight="1">
      <c r="A529" s="1" t="s">
        <v>814</v>
      </c>
      <c r="B529" s="1" t="s">
        <v>814</v>
      </c>
      <c r="C529" s="1" t="s">
        <v>814</v>
      </c>
      <c r="D529" s="1" t="s">
        <v>814</v>
      </c>
    </row>
    <row r="530" ht="15.75" customHeight="1">
      <c r="A530" s="1" t="s">
        <v>814</v>
      </c>
      <c r="B530" s="1" t="s">
        <v>814</v>
      </c>
      <c r="C530" s="1" t="s">
        <v>814</v>
      </c>
      <c r="D530" s="1" t="s">
        <v>814</v>
      </c>
    </row>
    <row r="531" ht="15.75" customHeight="1">
      <c r="A531" s="1" t="s">
        <v>814</v>
      </c>
      <c r="B531" s="1" t="s">
        <v>814</v>
      </c>
      <c r="C531" s="1" t="s">
        <v>814</v>
      </c>
      <c r="D531" s="1" t="s">
        <v>814</v>
      </c>
    </row>
    <row r="532" ht="15.75" customHeight="1">
      <c r="A532" s="1" t="s">
        <v>814</v>
      </c>
      <c r="B532" s="1" t="s">
        <v>814</v>
      </c>
      <c r="C532" s="1" t="s">
        <v>814</v>
      </c>
      <c r="D532" s="1" t="s">
        <v>814</v>
      </c>
    </row>
    <row r="533" ht="15.75" customHeight="1">
      <c r="A533" s="1" t="s">
        <v>814</v>
      </c>
      <c r="B533" s="1" t="s">
        <v>814</v>
      </c>
      <c r="C533" s="1" t="s">
        <v>814</v>
      </c>
      <c r="D533" s="1" t="s">
        <v>814</v>
      </c>
    </row>
    <row r="534" ht="15.75" customHeight="1">
      <c r="A534" s="1" t="s">
        <v>814</v>
      </c>
      <c r="B534" s="1" t="s">
        <v>814</v>
      </c>
      <c r="C534" s="1" t="s">
        <v>814</v>
      </c>
      <c r="D534" s="1" t="s">
        <v>814</v>
      </c>
    </row>
    <row r="535" ht="15.75" customHeight="1">
      <c r="A535" s="1" t="s">
        <v>814</v>
      </c>
      <c r="B535" s="1" t="s">
        <v>814</v>
      </c>
      <c r="C535" s="1" t="s">
        <v>814</v>
      </c>
      <c r="D535" s="1" t="s">
        <v>814</v>
      </c>
    </row>
    <row r="536" ht="15.75" customHeight="1">
      <c r="A536" s="1" t="s">
        <v>814</v>
      </c>
      <c r="B536" s="1" t="s">
        <v>814</v>
      </c>
      <c r="C536" s="1" t="s">
        <v>814</v>
      </c>
      <c r="D536" s="1" t="s">
        <v>814</v>
      </c>
    </row>
    <row r="537" ht="15.75" customHeight="1">
      <c r="A537" s="1" t="s">
        <v>814</v>
      </c>
      <c r="B537" s="1" t="s">
        <v>814</v>
      </c>
      <c r="C537" s="1" t="s">
        <v>814</v>
      </c>
      <c r="D537" s="1" t="s">
        <v>814</v>
      </c>
    </row>
    <row r="538" ht="15.75" customHeight="1">
      <c r="A538" s="1" t="s">
        <v>814</v>
      </c>
      <c r="B538" s="1" t="s">
        <v>814</v>
      </c>
      <c r="C538" s="1" t="s">
        <v>814</v>
      </c>
      <c r="D538" s="1" t="s">
        <v>814</v>
      </c>
    </row>
    <row r="539" ht="15.75" customHeight="1">
      <c r="A539" s="1" t="s">
        <v>814</v>
      </c>
      <c r="B539" s="1" t="s">
        <v>814</v>
      </c>
      <c r="C539" s="1" t="s">
        <v>814</v>
      </c>
      <c r="D539" s="1" t="s">
        <v>814</v>
      </c>
    </row>
    <row r="540" ht="15.75" customHeight="1">
      <c r="A540" s="1" t="s">
        <v>814</v>
      </c>
      <c r="B540" s="1" t="s">
        <v>814</v>
      </c>
      <c r="C540" s="1" t="s">
        <v>814</v>
      </c>
      <c r="D540" s="1" t="s">
        <v>814</v>
      </c>
    </row>
    <row r="541" ht="15.75" customHeight="1">
      <c r="A541" s="1" t="s">
        <v>814</v>
      </c>
      <c r="B541" s="1" t="s">
        <v>814</v>
      </c>
      <c r="C541" s="1" t="s">
        <v>814</v>
      </c>
      <c r="D541" s="1" t="s">
        <v>814</v>
      </c>
    </row>
    <row r="542" ht="15.75" customHeight="1">
      <c r="A542" s="1" t="s">
        <v>814</v>
      </c>
      <c r="B542" s="1" t="s">
        <v>814</v>
      </c>
      <c r="C542" s="1" t="s">
        <v>814</v>
      </c>
      <c r="D542" s="1" t="s">
        <v>814</v>
      </c>
    </row>
    <row r="543" ht="15.75" customHeight="1">
      <c r="A543" s="1" t="s">
        <v>814</v>
      </c>
      <c r="B543" s="1" t="s">
        <v>814</v>
      </c>
      <c r="C543" s="1" t="s">
        <v>814</v>
      </c>
      <c r="D543" s="1" t="s">
        <v>814</v>
      </c>
    </row>
    <row r="544" ht="15.75" customHeight="1">
      <c r="A544" s="1" t="s">
        <v>814</v>
      </c>
      <c r="B544" s="1" t="s">
        <v>814</v>
      </c>
      <c r="C544" s="1" t="s">
        <v>814</v>
      </c>
      <c r="D544" s="1" t="s">
        <v>814</v>
      </c>
    </row>
    <row r="545" ht="15.75" customHeight="1">
      <c r="A545" s="1" t="s">
        <v>814</v>
      </c>
      <c r="B545" s="1" t="s">
        <v>814</v>
      </c>
      <c r="C545" s="1" t="s">
        <v>814</v>
      </c>
      <c r="D545" s="1" t="s">
        <v>814</v>
      </c>
    </row>
    <row r="546" ht="15.75" customHeight="1">
      <c r="A546" s="1" t="s">
        <v>814</v>
      </c>
      <c r="B546" s="1" t="s">
        <v>814</v>
      </c>
      <c r="C546" s="1" t="s">
        <v>814</v>
      </c>
      <c r="D546" s="1" t="s">
        <v>814</v>
      </c>
    </row>
    <row r="547" ht="15.75" customHeight="1">
      <c r="A547" s="1" t="s">
        <v>814</v>
      </c>
      <c r="B547" s="1" t="s">
        <v>814</v>
      </c>
      <c r="C547" s="1" t="s">
        <v>814</v>
      </c>
      <c r="D547" s="1" t="s">
        <v>814</v>
      </c>
    </row>
    <row r="548" ht="15.75" customHeight="1">
      <c r="A548" s="1" t="s">
        <v>814</v>
      </c>
      <c r="B548" s="1" t="s">
        <v>814</v>
      </c>
      <c r="C548" s="1" t="s">
        <v>814</v>
      </c>
      <c r="D548" s="1" t="s">
        <v>814</v>
      </c>
    </row>
    <row r="549" ht="15.75" customHeight="1">
      <c r="A549" s="1" t="s">
        <v>814</v>
      </c>
      <c r="B549" s="1" t="s">
        <v>814</v>
      </c>
      <c r="C549" s="1" t="s">
        <v>814</v>
      </c>
      <c r="D549" s="1" t="s">
        <v>814</v>
      </c>
    </row>
    <row r="550" ht="15.75" customHeight="1">
      <c r="A550" s="1" t="s">
        <v>814</v>
      </c>
      <c r="B550" s="1" t="s">
        <v>814</v>
      </c>
      <c r="C550" s="1" t="s">
        <v>814</v>
      </c>
      <c r="D550" s="1" t="s">
        <v>814</v>
      </c>
    </row>
    <row r="551" ht="15.75" customHeight="1">
      <c r="A551" s="1" t="s">
        <v>814</v>
      </c>
      <c r="B551" s="1" t="s">
        <v>814</v>
      </c>
      <c r="C551" s="1" t="s">
        <v>814</v>
      </c>
      <c r="D551" s="1" t="s">
        <v>814</v>
      </c>
    </row>
    <row r="552" ht="15.75" customHeight="1">
      <c r="A552" s="1" t="s">
        <v>814</v>
      </c>
      <c r="B552" s="1" t="s">
        <v>814</v>
      </c>
      <c r="C552" s="1" t="s">
        <v>814</v>
      </c>
      <c r="D552" s="1" t="s">
        <v>814</v>
      </c>
    </row>
    <row r="553" ht="15.75" customHeight="1">
      <c r="A553" s="1" t="s">
        <v>814</v>
      </c>
      <c r="B553" s="1" t="s">
        <v>814</v>
      </c>
      <c r="C553" s="1" t="s">
        <v>814</v>
      </c>
      <c r="D553" s="1" t="s">
        <v>814</v>
      </c>
    </row>
    <row r="554" ht="15.75" customHeight="1">
      <c r="A554" s="1" t="s">
        <v>814</v>
      </c>
      <c r="B554" s="1" t="s">
        <v>814</v>
      </c>
      <c r="C554" s="1" t="s">
        <v>814</v>
      </c>
      <c r="D554" s="1" t="s">
        <v>814</v>
      </c>
    </row>
    <row r="555" ht="15.75" customHeight="1">
      <c r="A555" s="1" t="s">
        <v>814</v>
      </c>
      <c r="B555" s="1" t="s">
        <v>814</v>
      </c>
      <c r="C555" s="1" t="s">
        <v>814</v>
      </c>
      <c r="D555" s="1" t="s">
        <v>814</v>
      </c>
    </row>
    <row r="556" ht="15.75" customHeight="1">
      <c r="A556" s="1" t="s">
        <v>814</v>
      </c>
      <c r="B556" s="1" t="s">
        <v>814</v>
      </c>
      <c r="C556" s="1" t="s">
        <v>814</v>
      </c>
      <c r="D556" s="1" t="s">
        <v>814</v>
      </c>
    </row>
    <row r="557" ht="15.75" customHeight="1">
      <c r="A557" s="1" t="s">
        <v>814</v>
      </c>
      <c r="B557" s="1" t="s">
        <v>814</v>
      </c>
      <c r="C557" s="1" t="s">
        <v>814</v>
      </c>
      <c r="D557" s="1" t="s">
        <v>814</v>
      </c>
    </row>
    <row r="558" ht="15.75" customHeight="1">
      <c r="A558" s="1" t="s">
        <v>814</v>
      </c>
      <c r="B558" s="1" t="s">
        <v>814</v>
      </c>
      <c r="C558" s="1" t="s">
        <v>814</v>
      </c>
      <c r="D558" s="1" t="s">
        <v>814</v>
      </c>
    </row>
    <row r="559" ht="15.75" customHeight="1">
      <c r="A559" s="1" t="s">
        <v>814</v>
      </c>
      <c r="B559" s="1" t="s">
        <v>814</v>
      </c>
      <c r="C559" s="1" t="s">
        <v>814</v>
      </c>
      <c r="D559" s="1" t="s">
        <v>814</v>
      </c>
    </row>
    <row r="560" ht="15.75" customHeight="1">
      <c r="A560" s="1" t="s">
        <v>814</v>
      </c>
      <c r="B560" s="1" t="s">
        <v>814</v>
      </c>
      <c r="C560" s="1" t="s">
        <v>814</v>
      </c>
      <c r="D560" s="1" t="s">
        <v>814</v>
      </c>
    </row>
    <row r="561" ht="15.75" customHeight="1">
      <c r="A561" s="1" t="s">
        <v>814</v>
      </c>
      <c r="B561" s="1" t="s">
        <v>814</v>
      </c>
      <c r="C561" s="1" t="s">
        <v>814</v>
      </c>
      <c r="D561" s="1" t="s">
        <v>814</v>
      </c>
    </row>
    <row r="562" ht="15.75" customHeight="1">
      <c r="A562" s="1" t="s">
        <v>814</v>
      </c>
      <c r="B562" s="1" t="s">
        <v>814</v>
      </c>
      <c r="C562" s="1" t="s">
        <v>814</v>
      </c>
      <c r="D562" s="1" t="s">
        <v>814</v>
      </c>
    </row>
    <row r="563" ht="15.75" customHeight="1">
      <c r="A563" s="1" t="s">
        <v>814</v>
      </c>
      <c r="B563" s="1" t="s">
        <v>814</v>
      </c>
      <c r="C563" s="1" t="s">
        <v>814</v>
      </c>
      <c r="D563" s="1" t="s">
        <v>814</v>
      </c>
    </row>
    <row r="564" ht="15.75" customHeight="1">
      <c r="A564" s="1" t="s">
        <v>814</v>
      </c>
      <c r="B564" s="1" t="s">
        <v>814</v>
      </c>
      <c r="C564" s="1" t="s">
        <v>814</v>
      </c>
      <c r="D564" s="1" t="s">
        <v>814</v>
      </c>
    </row>
    <row r="565" ht="15.75" customHeight="1">
      <c r="A565" s="1" t="s">
        <v>814</v>
      </c>
      <c r="B565" s="1" t="s">
        <v>814</v>
      </c>
      <c r="C565" s="1" t="s">
        <v>814</v>
      </c>
      <c r="D565" s="1" t="s">
        <v>814</v>
      </c>
    </row>
    <row r="566" ht="15.75" customHeight="1">
      <c r="A566" s="1" t="s">
        <v>814</v>
      </c>
      <c r="B566" s="1" t="s">
        <v>814</v>
      </c>
      <c r="C566" s="1" t="s">
        <v>814</v>
      </c>
      <c r="D566" s="1" t="s">
        <v>814</v>
      </c>
    </row>
    <row r="567" ht="15.75" customHeight="1">
      <c r="A567" s="1" t="s">
        <v>814</v>
      </c>
      <c r="B567" s="1" t="s">
        <v>814</v>
      </c>
      <c r="C567" s="1" t="s">
        <v>814</v>
      </c>
      <c r="D567" s="1" t="s">
        <v>814</v>
      </c>
    </row>
    <row r="568" ht="15.75" customHeight="1">
      <c r="A568" s="1" t="s">
        <v>814</v>
      </c>
      <c r="B568" s="1" t="s">
        <v>814</v>
      </c>
      <c r="C568" s="1" t="s">
        <v>814</v>
      </c>
      <c r="D568" s="1" t="s">
        <v>814</v>
      </c>
    </row>
    <row r="569" ht="15.75" customHeight="1">
      <c r="A569" s="1" t="s">
        <v>814</v>
      </c>
      <c r="B569" s="1" t="s">
        <v>814</v>
      </c>
      <c r="C569" s="1" t="s">
        <v>814</v>
      </c>
      <c r="D569" s="1" t="s">
        <v>814</v>
      </c>
    </row>
    <row r="570" ht="15.75" customHeight="1">
      <c r="A570" s="1" t="s">
        <v>814</v>
      </c>
      <c r="B570" s="1" t="s">
        <v>814</v>
      </c>
      <c r="C570" s="1" t="s">
        <v>814</v>
      </c>
      <c r="D570" s="1" t="s">
        <v>814</v>
      </c>
    </row>
    <row r="571" ht="15.75" customHeight="1">
      <c r="A571" s="1" t="s">
        <v>814</v>
      </c>
      <c r="B571" s="1" t="s">
        <v>814</v>
      </c>
      <c r="C571" s="1" t="s">
        <v>814</v>
      </c>
      <c r="D571" s="1" t="s">
        <v>814</v>
      </c>
    </row>
    <row r="572" ht="15.75" customHeight="1">
      <c r="A572" s="1" t="s">
        <v>814</v>
      </c>
      <c r="B572" s="1" t="s">
        <v>814</v>
      </c>
      <c r="C572" s="1" t="s">
        <v>814</v>
      </c>
      <c r="D572" s="1" t="s">
        <v>814</v>
      </c>
    </row>
    <row r="573" ht="15.75" customHeight="1">
      <c r="A573" s="1" t="s">
        <v>814</v>
      </c>
      <c r="B573" s="1" t="s">
        <v>814</v>
      </c>
      <c r="C573" s="1" t="s">
        <v>814</v>
      </c>
      <c r="D573" s="1" t="s">
        <v>814</v>
      </c>
    </row>
    <row r="574" ht="15.75" customHeight="1">
      <c r="A574" s="1" t="s">
        <v>814</v>
      </c>
      <c r="B574" s="1" t="s">
        <v>814</v>
      </c>
      <c r="C574" s="1" t="s">
        <v>814</v>
      </c>
      <c r="D574" s="1" t="s">
        <v>814</v>
      </c>
    </row>
    <row r="575" ht="15.75" customHeight="1">
      <c r="A575" s="1" t="s">
        <v>814</v>
      </c>
      <c r="B575" s="1" t="s">
        <v>814</v>
      </c>
      <c r="C575" s="1" t="s">
        <v>814</v>
      </c>
      <c r="D575" s="1" t="s">
        <v>814</v>
      </c>
    </row>
    <row r="576" ht="15.75" customHeight="1">
      <c r="A576" s="1" t="s">
        <v>814</v>
      </c>
      <c r="B576" s="1" t="s">
        <v>814</v>
      </c>
      <c r="C576" s="1" t="s">
        <v>814</v>
      </c>
      <c r="D576" s="1" t="s">
        <v>814</v>
      </c>
    </row>
    <row r="577" ht="15.75" customHeight="1">
      <c r="A577" s="1" t="s">
        <v>814</v>
      </c>
      <c r="B577" s="1" t="s">
        <v>814</v>
      </c>
      <c r="C577" s="1" t="s">
        <v>814</v>
      </c>
      <c r="D577" s="1" t="s">
        <v>814</v>
      </c>
    </row>
    <row r="578" ht="15.75" customHeight="1">
      <c r="A578" s="1" t="s">
        <v>814</v>
      </c>
      <c r="B578" s="1" t="s">
        <v>814</v>
      </c>
      <c r="C578" s="1" t="s">
        <v>814</v>
      </c>
      <c r="D578" s="1" t="s">
        <v>814</v>
      </c>
    </row>
    <row r="579" ht="15.75" customHeight="1">
      <c r="A579" s="1" t="s">
        <v>814</v>
      </c>
      <c r="B579" s="1" t="s">
        <v>814</v>
      </c>
      <c r="C579" s="1" t="s">
        <v>814</v>
      </c>
      <c r="D579" s="1" t="s">
        <v>814</v>
      </c>
    </row>
    <row r="580" ht="15.75" customHeight="1">
      <c r="A580" s="1" t="s">
        <v>814</v>
      </c>
      <c r="B580" s="1" t="s">
        <v>814</v>
      </c>
      <c r="C580" s="1" t="s">
        <v>814</v>
      </c>
      <c r="D580" s="1" t="s">
        <v>814</v>
      </c>
    </row>
    <row r="581" ht="15.75" customHeight="1">
      <c r="A581" s="1" t="s">
        <v>814</v>
      </c>
      <c r="B581" s="1" t="s">
        <v>814</v>
      </c>
      <c r="C581" s="1" t="s">
        <v>814</v>
      </c>
      <c r="D581" s="1" t="s">
        <v>814</v>
      </c>
    </row>
    <row r="582" ht="15.75" customHeight="1">
      <c r="A582" s="1" t="s">
        <v>814</v>
      </c>
      <c r="B582" s="1" t="s">
        <v>814</v>
      </c>
      <c r="C582" s="1" t="s">
        <v>814</v>
      </c>
      <c r="D582" s="1" t="s">
        <v>814</v>
      </c>
    </row>
    <row r="583" ht="15.75" customHeight="1">
      <c r="A583" s="1" t="s">
        <v>814</v>
      </c>
      <c r="B583" s="1" t="s">
        <v>814</v>
      </c>
      <c r="C583" s="1" t="s">
        <v>814</v>
      </c>
      <c r="D583" s="1" t="s">
        <v>814</v>
      </c>
    </row>
    <row r="584" ht="15.75" customHeight="1">
      <c r="A584" s="1" t="s">
        <v>814</v>
      </c>
      <c r="B584" s="1" t="s">
        <v>814</v>
      </c>
      <c r="C584" s="1" t="s">
        <v>814</v>
      </c>
      <c r="D584" s="1" t="s">
        <v>814</v>
      </c>
    </row>
    <row r="585" ht="15.75" customHeight="1">
      <c r="A585" s="1" t="s">
        <v>814</v>
      </c>
      <c r="B585" s="1" t="s">
        <v>814</v>
      </c>
      <c r="C585" s="1" t="s">
        <v>814</v>
      </c>
      <c r="D585" s="1" t="s">
        <v>814</v>
      </c>
    </row>
    <row r="586" ht="15.75" customHeight="1">
      <c r="A586" s="1" t="s">
        <v>814</v>
      </c>
      <c r="B586" s="1" t="s">
        <v>814</v>
      </c>
      <c r="C586" s="1" t="s">
        <v>814</v>
      </c>
      <c r="D586" s="1" t="s">
        <v>814</v>
      </c>
    </row>
    <row r="587" ht="15.75" customHeight="1">
      <c r="A587" s="1" t="s">
        <v>814</v>
      </c>
      <c r="B587" s="1" t="s">
        <v>814</v>
      </c>
      <c r="C587" s="1" t="s">
        <v>814</v>
      </c>
      <c r="D587" s="1" t="s">
        <v>814</v>
      </c>
    </row>
    <row r="588" ht="15.75" customHeight="1">
      <c r="A588" s="1" t="s">
        <v>814</v>
      </c>
      <c r="B588" s="1" t="s">
        <v>814</v>
      </c>
      <c r="C588" s="1" t="s">
        <v>814</v>
      </c>
      <c r="D588" s="1" t="s">
        <v>814</v>
      </c>
    </row>
    <row r="589" ht="15.75" customHeight="1">
      <c r="A589" s="1" t="s">
        <v>814</v>
      </c>
      <c r="B589" s="1" t="s">
        <v>814</v>
      </c>
      <c r="C589" s="1" t="s">
        <v>814</v>
      </c>
      <c r="D589" s="1" t="s">
        <v>814</v>
      </c>
    </row>
    <row r="590" ht="15.75" customHeight="1">
      <c r="A590" s="1" t="s">
        <v>814</v>
      </c>
      <c r="B590" s="1" t="s">
        <v>814</v>
      </c>
      <c r="C590" s="1" t="s">
        <v>814</v>
      </c>
      <c r="D590" s="1" t="s">
        <v>814</v>
      </c>
    </row>
    <row r="591" ht="15.75" customHeight="1">
      <c r="A591" s="1" t="s">
        <v>814</v>
      </c>
      <c r="B591" s="1" t="s">
        <v>814</v>
      </c>
      <c r="C591" s="1" t="s">
        <v>814</v>
      </c>
      <c r="D591" s="1" t="s">
        <v>814</v>
      </c>
    </row>
    <row r="592" ht="15.75" customHeight="1">
      <c r="A592" s="1" t="s">
        <v>814</v>
      </c>
      <c r="B592" s="1" t="s">
        <v>814</v>
      </c>
      <c r="C592" s="1" t="s">
        <v>814</v>
      </c>
      <c r="D592" s="1" t="s">
        <v>814</v>
      </c>
    </row>
    <row r="593" ht="15.75" customHeight="1">
      <c r="A593" s="1" t="s">
        <v>814</v>
      </c>
      <c r="B593" s="1" t="s">
        <v>814</v>
      </c>
      <c r="C593" s="1" t="s">
        <v>814</v>
      </c>
      <c r="D593" s="1" t="s">
        <v>814</v>
      </c>
    </row>
    <row r="594" ht="15.75" customHeight="1">
      <c r="A594" s="1" t="s">
        <v>814</v>
      </c>
      <c r="B594" s="1" t="s">
        <v>814</v>
      </c>
      <c r="C594" s="1" t="s">
        <v>814</v>
      </c>
      <c r="D594" s="1" t="s">
        <v>814</v>
      </c>
    </row>
    <row r="595" ht="15.75" customHeight="1">
      <c r="A595" s="1" t="s">
        <v>814</v>
      </c>
      <c r="B595" s="1" t="s">
        <v>814</v>
      </c>
      <c r="C595" s="1" t="s">
        <v>814</v>
      </c>
      <c r="D595" s="1" t="s">
        <v>814</v>
      </c>
    </row>
    <row r="596" ht="15.75" customHeight="1">
      <c r="A596" s="1" t="s">
        <v>814</v>
      </c>
      <c r="B596" s="1" t="s">
        <v>814</v>
      </c>
      <c r="C596" s="1" t="s">
        <v>814</v>
      </c>
      <c r="D596" s="1" t="s">
        <v>814</v>
      </c>
    </row>
    <row r="597" ht="15.75" customHeight="1">
      <c r="A597" s="1" t="s">
        <v>814</v>
      </c>
      <c r="B597" s="1" t="s">
        <v>814</v>
      </c>
      <c r="C597" s="1" t="s">
        <v>814</v>
      </c>
      <c r="D597" s="1" t="s">
        <v>814</v>
      </c>
    </row>
    <row r="598" ht="15.75" customHeight="1">
      <c r="A598" s="1" t="s">
        <v>814</v>
      </c>
      <c r="B598" s="1" t="s">
        <v>814</v>
      </c>
      <c r="C598" s="1" t="s">
        <v>814</v>
      </c>
      <c r="D598" s="1" t="s">
        <v>814</v>
      </c>
    </row>
    <row r="599" ht="15.75" customHeight="1">
      <c r="A599" s="1" t="s">
        <v>814</v>
      </c>
      <c r="B599" s="1" t="s">
        <v>814</v>
      </c>
      <c r="C599" s="1" t="s">
        <v>814</v>
      </c>
      <c r="D599" s="1" t="s">
        <v>814</v>
      </c>
    </row>
    <row r="600" ht="15.75" customHeight="1">
      <c r="A600" s="1" t="s">
        <v>814</v>
      </c>
      <c r="B600" s="1" t="s">
        <v>814</v>
      </c>
      <c r="C600" s="1" t="s">
        <v>814</v>
      </c>
      <c r="D600" s="1" t="s">
        <v>814</v>
      </c>
    </row>
    <row r="601" ht="15.75" customHeight="1">
      <c r="A601" s="1" t="s">
        <v>814</v>
      </c>
      <c r="B601" s="1" t="s">
        <v>814</v>
      </c>
      <c r="C601" s="1" t="s">
        <v>814</v>
      </c>
      <c r="D601" s="1" t="s">
        <v>814</v>
      </c>
    </row>
    <row r="602" ht="15.75" customHeight="1">
      <c r="A602" s="1" t="s">
        <v>814</v>
      </c>
      <c r="B602" s="1" t="s">
        <v>814</v>
      </c>
      <c r="C602" s="1" t="s">
        <v>814</v>
      </c>
      <c r="D602" s="1" t="s">
        <v>814</v>
      </c>
    </row>
    <row r="603" ht="15.75" customHeight="1">
      <c r="A603" s="1" t="s">
        <v>814</v>
      </c>
      <c r="B603" s="1" t="s">
        <v>814</v>
      </c>
      <c r="C603" s="1" t="s">
        <v>814</v>
      </c>
      <c r="D603" s="1" t="s">
        <v>814</v>
      </c>
    </row>
    <row r="604" ht="15.75" customHeight="1">
      <c r="A604" s="1" t="s">
        <v>814</v>
      </c>
      <c r="B604" s="1" t="s">
        <v>814</v>
      </c>
      <c r="C604" s="1" t="s">
        <v>814</v>
      </c>
      <c r="D604" s="1" t="s">
        <v>814</v>
      </c>
    </row>
    <row r="605" ht="15.75" customHeight="1">
      <c r="A605" s="1" t="s">
        <v>814</v>
      </c>
      <c r="B605" s="1" t="s">
        <v>814</v>
      </c>
      <c r="C605" s="1" t="s">
        <v>814</v>
      </c>
      <c r="D605" s="1" t="s">
        <v>814</v>
      </c>
    </row>
    <row r="606" ht="15.75" customHeight="1">
      <c r="A606" s="1" t="s">
        <v>814</v>
      </c>
      <c r="B606" s="1" t="s">
        <v>814</v>
      </c>
      <c r="C606" s="1" t="s">
        <v>814</v>
      </c>
      <c r="D606" s="1" t="s">
        <v>814</v>
      </c>
    </row>
    <row r="607" ht="15.75" customHeight="1">
      <c r="A607" s="1" t="s">
        <v>814</v>
      </c>
      <c r="B607" s="1" t="s">
        <v>814</v>
      </c>
      <c r="C607" s="1" t="s">
        <v>814</v>
      </c>
      <c r="D607" s="1" t="s">
        <v>814</v>
      </c>
    </row>
    <row r="608" ht="15.75" customHeight="1">
      <c r="A608" s="1" t="s">
        <v>814</v>
      </c>
      <c r="B608" s="1" t="s">
        <v>814</v>
      </c>
      <c r="C608" s="1" t="s">
        <v>814</v>
      </c>
      <c r="D608" s="1" t="s">
        <v>814</v>
      </c>
    </row>
    <row r="609" ht="15.75" customHeight="1">
      <c r="A609" s="1" t="s">
        <v>814</v>
      </c>
      <c r="B609" s="1" t="s">
        <v>814</v>
      </c>
      <c r="C609" s="1" t="s">
        <v>814</v>
      </c>
      <c r="D609" s="1" t="s">
        <v>814</v>
      </c>
    </row>
    <row r="610" ht="15.75" customHeight="1">
      <c r="A610" s="1" t="s">
        <v>814</v>
      </c>
      <c r="B610" s="1" t="s">
        <v>814</v>
      </c>
      <c r="C610" s="1" t="s">
        <v>814</v>
      </c>
      <c r="D610" s="1" t="s">
        <v>814</v>
      </c>
    </row>
    <row r="611" ht="15.75" customHeight="1">
      <c r="A611" s="1" t="s">
        <v>814</v>
      </c>
      <c r="B611" s="1" t="s">
        <v>814</v>
      </c>
      <c r="C611" s="1" t="s">
        <v>814</v>
      </c>
      <c r="D611" s="1" t="s">
        <v>814</v>
      </c>
    </row>
    <row r="612" ht="15.75" customHeight="1">
      <c r="A612" s="1" t="s">
        <v>814</v>
      </c>
      <c r="B612" s="1" t="s">
        <v>814</v>
      </c>
      <c r="C612" s="1" t="s">
        <v>814</v>
      </c>
      <c r="D612" s="1" t="s">
        <v>814</v>
      </c>
    </row>
    <row r="613" ht="15.75" customHeight="1">
      <c r="A613" s="1" t="s">
        <v>814</v>
      </c>
      <c r="B613" s="1" t="s">
        <v>814</v>
      </c>
      <c r="C613" s="1" t="s">
        <v>814</v>
      </c>
      <c r="D613" s="1" t="s">
        <v>814</v>
      </c>
    </row>
    <row r="614" ht="15.75" customHeight="1">
      <c r="A614" s="1" t="s">
        <v>814</v>
      </c>
      <c r="B614" s="1" t="s">
        <v>814</v>
      </c>
      <c r="C614" s="1" t="s">
        <v>814</v>
      </c>
      <c r="D614" s="1" t="s">
        <v>814</v>
      </c>
    </row>
    <row r="615" ht="15.75" customHeight="1">
      <c r="A615" s="1" t="s">
        <v>814</v>
      </c>
      <c r="B615" s="1" t="s">
        <v>814</v>
      </c>
      <c r="C615" s="1" t="s">
        <v>814</v>
      </c>
      <c r="D615" s="1" t="s">
        <v>814</v>
      </c>
    </row>
    <row r="616" ht="15.75" customHeight="1">
      <c r="A616" s="1" t="s">
        <v>814</v>
      </c>
      <c r="B616" s="1" t="s">
        <v>814</v>
      </c>
      <c r="C616" s="1" t="s">
        <v>814</v>
      </c>
      <c r="D616" s="1" t="s">
        <v>814</v>
      </c>
    </row>
    <row r="617" ht="15.75" customHeight="1">
      <c r="A617" s="1" t="s">
        <v>814</v>
      </c>
      <c r="B617" s="1" t="s">
        <v>814</v>
      </c>
      <c r="C617" s="1" t="s">
        <v>814</v>
      </c>
      <c r="D617" s="1" t="s">
        <v>814</v>
      </c>
    </row>
    <row r="618" ht="15.75" customHeight="1">
      <c r="A618" s="1" t="s">
        <v>814</v>
      </c>
      <c r="B618" s="1" t="s">
        <v>814</v>
      </c>
      <c r="C618" s="1" t="s">
        <v>814</v>
      </c>
      <c r="D618" s="1" t="s">
        <v>814</v>
      </c>
    </row>
    <row r="619" ht="15.75" customHeight="1">
      <c r="A619" s="1" t="s">
        <v>814</v>
      </c>
      <c r="B619" s="1" t="s">
        <v>814</v>
      </c>
      <c r="C619" s="1" t="s">
        <v>814</v>
      </c>
      <c r="D619" s="1" t="s">
        <v>814</v>
      </c>
    </row>
    <row r="620" ht="15.75" customHeight="1">
      <c r="A620" s="1" t="s">
        <v>814</v>
      </c>
      <c r="B620" s="1" t="s">
        <v>814</v>
      </c>
      <c r="C620" s="1" t="s">
        <v>814</v>
      </c>
      <c r="D620" s="1" t="s">
        <v>814</v>
      </c>
    </row>
    <row r="621" ht="15.75" customHeight="1">
      <c r="A621" s="1" t="s">
        <v>814</v>
      </c>
      <c r="B621" s="1" t="s">
        <v>814</v>
      </c>
      <c r="C621" s="1" t="s">
        <v>814</v>
      </c>
      <c r="D621" s="1" t="s">
        <v>814</v>
      </c>
    </row>
    <row r="622" ht="15.75" customHeight="1">
      <c r="A622" s="1" t="s">
        <v>814</v>
      </c>
      <c r="B622" s="1" t="s">
        <v>814</v>
      </c>
      <c r="C622" s="1" t="s">
        <v>814</v>
      </c>
      <c r="D622" s="1" t="s">
        <v>814</v>
      </c>
    </row>
    <row r="623" ht="15.75" customHeight="1">
      <c r="A623" s="1" t="s">
        <v>814</v>
      </c>
      <c r="B623" s="1" t="s">
        <v>814</v>
      </c>
      <c r="C623" s="1" t="s">
        <v>814</v>
      </c>
      <c r="D623" s="1" t="s">
        <v>814</v>
      </c>
    </row>
    <row r="624" ht="15.75" customHeight="1">
      <c r="A624" s="1" t="s">
        <v>814</v>
      </c>
      <c r="B624" s="1" t="s">
        <v>814</v>
      </c>
      <c r="C624" s="1" t="s">
        <v>814</v>
      </c>
      <c r="D624" s="1" t="s">
        <v>814</v>
      </c>
    </row>
    <row r="625" ht="15.75" customHeight="1">
      <c r="A625" s="1" t="s">
        <v>814</v>
      </c>
      <c r="B625" s="1" t="s">
        <v>814</v>
      </c>
      <c r="C625" s="1" t="s">
        <v>814</v>
      </c>
      <c r="D625" s="1" t="s">
        <v>814</v>
      </c>
    </row>
    <row r="626" ht="15.75" customHeight="1">
      <c r="A626" s="1" t="s">
        <v>814</v>
      </c>
      <c r="B626" s="1" t="s">
        <v>814</v>
      </c>
      <c r="C626" s="1" t="s">
        <v>814</v>
      </c>
      <c r="D626" s="1" t="s">
        <v>814</v>
      </c>
    </row>
    <row r="627" ht="15.75" customHeight="1">
      <c r="A627" s="1" t="s">
        <v>814</v>
      </c>
      <c r="B627" s="1" t="s">
        <v>814</v>
      </c>
      <c r="C627" s="1" t="s">
        <v>814</v>
      </c>
      <c r="D627" s="1" t="s">
        <v>814</v>
      </c>
    </row>
    <row r="628" ht="15.75" customHeight="1">
      <c r="A628" s="1" t="s">
        <v>814</v>
      </c>
      <c r="B628" s="1" t="s">
        <v>814</v>
      </c>
      <c r="C628" s="1" t="s">
        <v>814</v>
      </c>
      <c r="D628" s="1" t="s">
        <v>814</v>
      </c>
    </row>
    <row r="629" ht="15.75" customHeight="1">
      <c r="A629" s="1" t="s">
        <v>814</v>
      </c>
      <c r="B629" s="1" t="s">
        <v>814</v>
      </c>
      <c r="C629" s="1" t="s">
        <v>814</v>
      </c>
      <c r="D629" s="1" t="s">
        <v>814</v>
      </c>
    </row>
    <row r="630" ht="15.75" customHeight="1">
      <c r="A630" s="1" t="s">
        <v>814</v>
      </c>
      <c r="B630" s="1" t="s">
        <v>814</v>
      </c>
      <c r="C630" s="1" t="s">
        <v>814</v>
      </c>
      <c r="D630" s="1" t="s">
        <v>814</v>
      </c>
    </row>
    <row r="631" ht="15.75" customHeight="1">
      <c r="A631" s="1" t="s">
        <v>814</v>
      </c>
      <c r="B631" s="1" t="s">
        <v>814</v>
      </c>
      <c r="C631" s="1" t="s">
        <v>814</v>
      </c>
      <c r="D631" s="1" t="s">
        <v>814</v>
      </c>
    </row>
    <row r="632" ht="15.75" customHeight="1">
      <c r="A632" s="1" t="s">
        <v>814</v>
      </c>
      <c r="B632" s="1" t="s">
        <v>814</v>
      </c>
      <c r="C632" s="1" t="s">
        <v>814</v>
      </c>
      <c r="D632" s="1" t="s">
        <v>814</v>
      </c>
    </row>
    <row r="633" ht="15.75" customHeight="1">
      <c r="A633" s="1" t="s">
        <v>814</v>
      </c>
      <c r="B633" s="1" t="s">
        <v>814</v>
      </c>
      <c r="C633" s="1" t="s">
        <v>814</v>
      </c>
      <c r="D633" s="1" t="s">
        <v>814</v>
      </c>
    </row>
    <row r="634" ht="15.75" customHeight="1">
      <c r="A634" s="1" t="s">
        <v>814</v>
      </c>
      <c r="B634" s="1" t="s">
        <v>814</v>
      </c>
      <c r="C634" s="1" t="s">
        <v>814</v>
      </c>
      <c r="D634" s="1" t="s">
        <v>814</v>
      </c>
    </row>
    <row r="635" ht="15.75" customHeight="1">
      <c r="A635" s="1" t="s">
        <v>814</v>
      </c>
      <c r="B635" s="1" t="s">
        <v>814</v>
      </c>
      <c r="C635" s="1" t="s">
        <v>814</v>
      </c>
      <c r="D635" s="1" t="s">
        <v>814</v>
      </c>
    </row>
    <row r="636" ht="15.75" customHeight="1">
      <c r="A636" s="1" t="s">
        <v>814</v>
      </c>
      <c r="B636" s="1" t="s">
        <v>814</v>
      </c>
      <c r="C636" s="1" t="s">
        <v>814</v>
      </c>
      <c r="D636" s="1" t="s">
        <v>814</v>
      </c>
    </row>
    <row r="637" ht="15.75" customHeight="1">
      <c r="A637" s="1" t="s">
        <v>814</v>
      </c>
      <c r="B637" s="1" t="s">
        <v>814</v>
      </c>
      <c r="C637" s="1" t="s">
        <v>814</v>
      </c>
      <c r="D637" s="1" t="s">
        <v>814</v>
      </c>
    </row>
    <row r="638" ht="15.75" customHeight="1">
      <c r="A638" s="1" t="s">
        <v>814</v>
      </c>
      <c r="B638" s="1" t="s">
        <v>814</v>
      </c>
      <c r="C638" s="1" t="s">
        <v>814</v>
      </c>
      <c r="D638" s="1" t="s">
        <v>814</v>
      </c>
    </row>
    <row r="639" ht="15.75" customHeight="1">
      <c r="A639" s="1" t="s">
        <v>814</v>
      </c>
      <c r="B639" s="1" t="s">
        <v>814</v>
      </c>
      <c r="C639" s="1" t="s">
        <v>814</v>
      </c>
      <c r="D639" s="1" t="s">
        <v>814</v>
      </c>
    </row>
    <row r="640" ht="15.75" customHeight="1">
      <c r="A640" s="1" t="s">
        <v>814</v>
      </c>
      <c r="B640" s="1" t="s">
        <v>814</v>
      </c>
      <c r="C640" s="1" t="s">
        <v>814</v>
      </c>
      <c r="D640" s="1" t="s">
        <v>814</v>
      </c>
    </row>
    <row r="641" ht="15.75" customHeight="1">
      <c r="A641" s="1" t="s">
        <v>814</v>
      </c>
      <c r="B641" s="1" t="s">
        <v>814</v>
      </c>
      <c r="C641" s="1" t="s">
        <v>814</v>
      </c>
      <c r="D641" s="1" t="s">
        <v>814</v>
      </c>
    </row>
    <row r="642" ht="15.75" customHeight="1">
      <c r="A642" s="1" t="s">
        <v>814</v>
      </c>
      <c r="B642" s="1" t="s">
        <v>814</v>
      </c>
      <c r="C642" s="1" t="s">
        <v>814</v>
      </c>
      <c r="D642" s="1" t="s">
        <v>814</v>
      </c>
    </row>
    <row r="643" ht="15.75" customHeight="1">
      <c r="A643" s="1" t="s">
        <v>814</v>
      </c>
      <c r="B643" s="1" t="s">
        <v>814</v>
      </c>
      <c r="C643" s="1" t="s">
        <v>814</v>
      </c>
      <c r="D643" s="1" t="s">
        <v>814</v>
      </c>
    </row>
    <row r="644" ht="15.75" customHeight="1">
      <c r="A644" s="1" t="s">
        <v>814</v>
      </c>
      <c r="B644" s="1" t="s">
        <v>814</v>
      </c>
      <c r="C644" s="1" t="s">
        <v>814</v>
      </c>
      <c r="D644" s="1" t="s">
        <v>814</v>
      </c>
    </row>
    <row r="645" ht="15.75" customHeight="1">
      <c r="A645" s="1" t="s">
        <v>814</v>
      </c>
      <c r="B645" s="1" t="s">
        <v>814</v>
      </c>
      <c r="C645" s="1" t="s">
        <v>814</v>
      </c>
      <c r="D645" s="1" t="s">
        <v>814</v>
      </c>
    </row>
    <row r="646" ht="15.75" customHeight="1">
      <c r="A646" s="1" t="s">
        <v>814</v>
      </c>
      <c r="B646" s="1" t="s">
        <v>814</v>
      </c>
      <c r="C646" s="1" t="s">
        <v>814</v>
      </c>
      <c r="D646" s="1" t="s">
        <v>814</v>
      </c>
    </row>
    <row r="647" ht="15.75" customHeight="1">
      <c r="A647" s="1" t="s">
        <v>814</v>
      </c>
      <c r="B647" s="1" t="s">
        <v>814</v>
      </c>
      <c r="C647" s="1" t="s">
        <v>814</v>
      </c>
      <c r="D647" s="1" t="s">
        <v>814</v>
      </c>
    </row>
    <row r="648" ht="15.75" customHeight="1">
      <c r="A648" s="1" t="s">
        <v>814</v>
      </c>
      <c r="B648" s="1" t="s">
        <v>814</v>
      </c>
      <c r="C648" s="1" t="s">
        <v>814</v>
      </c>
      <c r="D648" s="1" t="s">
        <v>814</v>
      </c>
    </row>
    <row r="649" ht="15.75" customHeight="1">
      <c r="A649" s="1" t="s">
        <v>814</v>
      </c>
      <c r="B649" s="1" t="s">
        <v>814</v>
      </c>
      <c r="C649" s="1" t="s">
        <v>814</v>
      </c>
      <c r="D649" s="1" t="s">
        <v>814</v>
      </c>
    </row>
    <row r="650" ht="15.75" customHeight="1">
      <c r="A650" s="1" t="s">
        <v>814</v>
      </c>
      <c r="B650" s="1" t="s">
        <v>814</v>
      </c>
      <c r="C650" s="1" t="s">
        <v>814</v>
      </c>
      <c r="D650" s="1" t="s">
        <v>814</v>
      </c>
    </row>
    <row r="651" ht="15.75" customHeight="1">
      <c r="A651" s="1" t="s">
        <v>814</v>
      </c>
      <c r="B651" s="1" t="s">
        <v>814</v>
      </c>
      <c r="C651" s="1" t="s">
        <v>814</v>
      </c>
      <c r="D651" s="1" t="s">
        <v>814</v>
      </c>
    </row>
    <row r="652" ht="15.75" customHeight="1">
      <c r="A652" s="1" t="s">
        <v>814</v>
      </c>
      <c r="B652" s="1" t="s">
        <v>814</v>
      </c>
      <c r="C652" s="1" t="s">
        <v>814</v>
      </c>
      <c r="D652" s="1" t="s">
        <v>814</v>
      </c>
    </row>
    <row r="653" ht="15.75" customHeight="1">
      <c r="A653" s="1" t="s">
        <v>814</v>
      </c>
      <c r="B653" s="1" t="s">
        <v>814</v>
      </c>
      <c r="C653" s="1" t="s">
        <v>814</v>
      </c>
      <c r="D653" s="1" t="s">
        <v>814</v>
      </c>
    </row>
    <row r="654" ht="15.75" customHeight="1">
      <c r="A654" s="1" t="s">
        <v>814</v>
      </c>
      <c r="B654" s="1" t="s">
        <v>814</v>
      </c>
      <c r="C654" s="1" t="s">
        <v>814</v>
      </c>
      <c r="D654" s="1" t="s">
        <v>814</v>
      </c>
    </row>
    <row r="655" ht="15.75" customHeight="1">
      <c r="A655" s="1" t="s">
        <v>814</v>
      </c>
      <c r="B655" s="1" t="s">
        <v>814</v>
      </c>
      <c r="C655" s="1" t="s">
        <v>814</v>
      </c>
      <c r="D655" s="1" t="s">
        <v>814</v>
      </c>
    </row>
    <row r="656" ht="15.75" customHeight="1">
      <c r="A656" s="1" t="s">
        <v>814</v>
      </c>
      <c r="B656" s="1" t="s">
        <v>814</v>
      </c>
      <c r="C656" s="1" t="s">
        <v>814</v>
      </c>
      <c r="D656" s="1" t="s">
        <v>814</v>
      </c>
    </row>
    <row r="657" ht="15.75" customHeight="1">
      <c r="A657" s="1" t="s">
        <v>814</v>
      </c>
      <c r="B657" s="1" t="s">
        <v>814</v>
      </c>
      <c r="C657" s="1" t="s">
        <v>814</v>
      </c>
      <c r="D657" s="1" t="s">
        <v>814</v>
      </c>
    </row>
    <row r="658" ht="15.75" customHeight="1">
      <c r="A658" s="1" t="s">
        <v>814</v>
      </c>
      <c r="B658" s="1" t="s">
        <v>814</v>
      </c>
      <c r="C658" s="1" t="s">
        <v>814</v>
      </c>
      <c r="D658" s="1" t="s">
        <v>814</v>
      </c>
    </row>
    <row r="659" ht="15.75" customHeight="1">
      <c r="A659" s="1" t="s">
        <v>814</v>
      </c>
      <c r="B659" s="1" t="s">
        <v>814</v>
      </c>
      <c r="C659" s="1" t="s">
        <v>814</v>
      </c>
      <c r="D659" s="1" t="s">
        <v>814</v>
      </c>
    </row>
    <row r="660" ht="15.75" customHeight="1">
      <c r="A660" s="1" t="s">
        <v>814</v>
      </c>
      <c r="B660" s="1" t="s">
        <v>814</v>
      </c>
      <c r="C660" s="1" t="s">
        <v>814</v>
      </c>
      <c r="D660" s="1" t="s">
        <v>814</v>
      </c>
    </row>
    <row r="661" ht="15.75" customHeight="1">
      <c r="A661" s="1" t="s">
        <v>814</v>
      </c>
      <c r="B661" s="1" t="s">
        <v>814</v>
      </c>
      <c r="C661" s="1" t="s">
        <v>814</v>
      </c>
      <c r="D661" s="1" t="s">
        <v>814</v>
      </c>
    </row>
    <row r="662" ht="15.75" customHeight="1">
      <c r="A662" s="1" t="s">
        <v>814</v>
      </c>
      <c r="B662" s="1" t="s">
        <v>814</v>
      </c>
      <c r="C662" s="1" t="s">
        <v>814</v>
      </c>
      <c r="D662" s="1" t="s">
        <v>814</v>
      </c>
    </row>
    <row r="663" ht="15.75" customHeight="1">
      <c r="A663" s="1" t="s">
        <v>814</v>
      </c>
      <c r="B663" s="1" t="s">
        <v>814</v>
      </c>
      <c r="C663" s="1" t="s">
        <v>814</v>
      </c>
      <c r="D663" s="1" t="s">
        <v>814</v>
      </c>
    </row>
    <row r="664" ht="15.75" customHeight="1">
      <c r="A664" s="1" t="s">
        <v>814</v>
      </c>
      <c r="B664" s="1" t="s">
        <v>814</v>
      </c>
      <c r="C664" s="1" t="s">
        <v>814</v>
      </c>
      <c r="D664" s="1" t="s">
        <v>814</v>
      </c>
    </row>
    <row r="665" ht="15.75" customHeight="1">
      <c r="A665" s="1" t="s">
        <v>814</v>
      </c>
      <c r="B665" s="1" t="s">
        <v>814</v>
      </c>
      <c r="C665" s="1" t="s">
        <v>814</v>
      </c>
      <c r="D665" s="1" t="s">
        <v>814</v>
      </c>
    </row>
    <row r="666" ht="15.75" customHeight="1">
      <c r="A666" s="1" t="s">
        <v>814</v>
      </c>
      <c r="B666" s="1" t="s">
        <v>814</v>
      </c>
      <c r="C666" s="1" t="s">
        <v>814</v>
      </c>
      <c r="D666" s="1" t="s">
        <v>814</v>
      </c>
    </row>
    <row r="667" ht="15.75" customHeight="1">
      <c r="A667" s="1" t="s">
        <v>814</v>
      </c>
      <c r="B667" s="1" t="s">
        <v>814</v>
      </c>
      <c r="C667" s="1" t="s">
        <v>814</v>
      </c>
      <c r="D667" s="1" t="s">
        <v>814</v>
      </c>
    </row>
    <row r="668" ht="15.75" customHeight="1">
      <c r="A668" s="1" t="s">
        <v>814</v>
      </c>
      <c r="B668" s="1" t="s">
        <v>814</v>
      </c>
      <c r="C668" s="1" t="s">
        <v>814</v>
      </c>
      <c r="D668" s="1" t="s">
        <v>814</v>
      </c>
    </row>
    <row r="669" ht="15.75" customHeight="1">
      <c r="A669" s="1" t="s">
        <v>814</v>
      </c>
      <c r="B669" s="1" t="s">
        <v>814</v>
      </c>
      <c r="C669" s="1" t="s">
        <v>814</v>
      </c>
      <c r="D669" s="1" t="s">
        <v>814</v>
      </c>
    </row>
    <row r="670" ht="15.75" customHeight="1">
      <c r="A670" s="1" t="s">
        <v>814</v>
      </c>
      <c r="B670" s="1" t="s">
        <v>814</v>
      </c>
      <c r="C670" s="1" t="s">
        <v>814</v>
      </c>
      <c r="D670" s="1" t="s">
        <v>814</v>
      </c>
    </row>
    <row r="671" ht="15.75" customHeight="1">
      <c r="A671" s="1" t="s">
        <v>814</v>
      </c>
      <c r="B671" s="1" t="s">
        <v>814</v>
      </c>
      <c r="C671" s="1" t="s">
        <v>814</v>
      </c>
      <c r="D671" s="1" t="s">
        <v>814</v>
      </c>
    </row>
    <row r="672" ht="15.75" customHeight="1">
      <c r="A672" s="1" t="s">
        <v>814</v>
      </c>
      <c r="B672" s="1" t="s">
        <v>814</v>
      </c>
      <c r="C672" s="1" t="s">
        <v>814</v>
      </c>
      <c r="D672" s="1" t="s">
        <v>814</v>
      </c>
    </row>
    <row r="673" ht="15.75" customHeight="1">
      <c r="A673" s="1" t="s">
        <v>814</v>
      </c>
      <c r="B673" s="1" t="s">
        <v>814</v>
      </c>
      <c r="C673" s="1" t="s">
        <v>814</v>
      </c>
      <c r="D673" s="1" t="s">
        <v>814</v>
      </c>
    </row>
    <row r="674" ht="15.75" customHeight="1">
      <c r="A674" s="1" t="s">
        <v>814</v>
      </c>
      <c r="B674" s="1" t="s">
        <v>814</v>
      </c>
      <c r="C674" s="1" t="s">
        <v>814</v>
      </c>
      <c r="D674" s="1" t="s">
        <v>814</v>
      </c>
    </row>
    <row r="675" ht="15.75" customHeight="1">
      <c r="A675" s="1" t="s">
        <v>814</v>
      </c>
      <c r="B675" s="1" t="s">
        <v>814</v>
      </c>
      <c r="C675" s="1" t="s">
        <v>814</v>
      </c>
      <c r="D675" s="1" t="s">
        <v>814</v>
      </c>
    </row>
    <row r="676" ht="15.75" customHeight="1">
      <c r="A676" s="1" t="s">
        <v>814</v>
      </c>
      <c r="B676" s="1" t="s">
        <v>814</v>
      </c>
      <c r="C676" s="1" t="s">
        <v>814</v>
      </c>
      <c r="D676" s="1" t="s">
        <v>814</v>
      </c>
    </row>
    <row r="677" ht="15.75" customHeight="1">
      <c r="A677" s="1" t="s">
        <v>814</v>
      </c>
      <c r="B677" s="1" t="s">
        <v>814</v>
      </c>
      <c r="C677" s="1" t="s">
        <v>814</v>
      </c>
      <c r="D677" s="1" t="s">
        <v>814</v>
      </c>
    </row>
    <row r="678" ht="15.75" customHeight="1">
      <c r="A678" s="1" t="s">
        <v>814</v>
      </c>
      <c r="B678" s="1" t="s">
        <v>814</v>
      </c>
      <c r="C678" s="1" t="s">
        <v>814</v>
      </c>
      <c r="D678" s="1" t="s">
        <v>814</v>
      </c>
    </row>
    <row r="679" ht="15.75" customHeight="1">
      <c r="A679" s="1" t="s">
        <v>814</v>
      </c>
      <c r="B679" s="1" t="s">
        <v>814</v>
      </c>
      <c r="C679" s="1" t="s">
        <v>814</v>
      </c>
      <c r="D679" s="1" t="s">
        <v>814</v>
      </c>
    </row>
    <row r="680" ht="15.75" customHeight="1">
      <c r="A680" s="1" t="s">
        <v>814</v>
      </c>
      <c r="B680" s="1" t="s">
        <v>814</v>
      </c>
      <c r="C680" s="1" t="s">
        <v>814</v>
      </c>
      <c r="D680" s="1" t="s">
        <v>814</v>
      </c>
    </row>
    <row r="681" ht="15.75" customHeight="1">
      <c r="A681" s="1" t="s">
        <v>814</v>
      </c>
      <c r="B681" s="1" t="s">
        <v>814</v>
      </c>
      <c r="C681" s="1" t="s">
        <v>814</v>
      </c>
      <c r="D681" s="1" t="s">
        <v>814</v>
      </c>
    </row>
    <row r="682" ht="15.75" customHeight="1">
      <c r="A682" s="1" t="s">
        <v>814</v>
      </c>
      <c r="B682" s="1" t="s">
        <v>814</v>
      </c>
      <c r="C682" s="1" t="s">
        <v>814</v>
      </c>
      <c r="D682" s="1" t="s">
        <v>814</v>
      </c>
    </row>
    <row r="683" ht="15.75" customHeight="1">
      <c r="A683" s="1" t="s">
        <v>814</v>
      </c>
      <c r="B683" s="1" t="s">
        <v>814</v>
      </c>
      <c r="C683" s="1" t="s">
        <v>814</v>
      </c>
      <c r="D683" s="1" t="s">
        <v>814</v>
      </c>
    </row>
    <row r="684" ht="15.75" customHeight="1">
      <c r="A684" s="1" t="s">
        <v>814</v>
      </c>
      <c r="B684" s="1" t="s">
        <v>814</v>
      </c>
      <c r="C684" s="1" t="s">
        <v>814</v>
      </c>
      <c r="D684" s="1" t="s">
        <v>814</v>
      </c>
    </row>
    <row r="685" ht="15.75" customHeight="1">
      <c r="A685" s="1" t="s">
        <v>814</v>
      </c>
      <c r="B685" s="1" t="s">
        <v>814</v>
      </c>
      <c r="C685" s="1" t="s">
        <v>814</v>
      </c>
      <c r="D685" s="1" t="s">
        <v>814</v>
      </c>
    </row>
    <row r="686" ht="15.75" customHeight="1">
      <c r="A686" s="1" t="s">
        <v>814</v>
      </c>
      <c r="B686" s="1" t="s">
        <v>814</v>
      </c>
      <c r="C686" s="1" t="s">
        <v>814</v>
      </c>
      <c r="D686" s="1" t="s">
        <v>814</v>
      </c>
    </row>
    <row r="687" ht="15.75" customHeight="1">
      <c r="A687" s="1" t="s">
        <v>814</v>
      </c>
      <c r="B687" s="1" t="s">
        <v>814</v>
      </c>
      <c r="C687" s="1" t="s">
        <v>814</v>
      </c>
      <c r="D687" s="1" t="s">
        <v>814</v>
      </c>
    </row>
    <row r="688" ht="15.75" customHeight="1">
      <c r="A688" s="1" t="s">
        <v>814</v>
      </c>
      <c r="B688" s="1" t="s">
        <v>814</v>
      </c>
      <c r="C688" s="1" t="s">
        <v>814</v>
      </c>
      <c r="D688" s="1" t="s">
        <v>814</v>
      </c>
    </row>
    <row r="689" ht="15.75" customHeight="1">
      <c r="A689" s="1" t="s">
        <v>814</v>
      </c>
      <c r="B689" s="1" t="s">
        <v>814</v>
      </c>
      <c r="C689" s="1" t="s">
        <v>814</v>
      </c>
      <c r="D689" s="1" t="s">
        <v>814</v>
      </c>
    </row>
    <row r="690" ht="15.75" customHeight="1">
      <c r="A690" s="1" t="s">
        <v>814</v>
      </c>
      <c r="B690" s="1" t="s">
        <v>814</v>
      </c>
      <c r="C690" s="1" t="s">
        <v>814</v>
      </c>
      <c r="D690" s="1" t="s">
        <v>814</v>
      </c>
    </row>
    <row r="691" ht="15.75" customHeight="1">
      <c r="A691" s="1" t="s">
        <v>814</v>
      </c>
      <c r="B691" s="1" t="s">
        <v>814</v>
      </c>
      <c r="C691" s="1" t="s">
        <v>814</v>
      </c>
      <c r="D691" s="1" t="s">
        <v>814</v>
      </c>
    </row>
    <row r="692" ht="15.75" customHeight="1">
      <c r="A692" s="1" t="s">
        <v>814</v>
      </c>
      <c r="B692" s="1" t="s">
        <v>814</v>
      </c>
      <c r="C692" s="1" t="s">
        <v>814</v>
      </c>
      <c r="D692" s="1" t="s">
        <v>814</v>
      </c>
    </row>
    <row r="693" ht="15.75" customHeight="1">
      <c r="A693" s="1" t="s">
        <v>814</v>
      </c>
      <c r="B693" s="1" t="s">
        <v>814</v>
      </c>
      <c r="C693" s="1" t="s">
        <v>814</v>
      </c>
      <c r="D693" s="1" t="s">
        <v>814</v>
      </c>
    </row>
    <row r="694" ht="15.75" customHeight="1">
      <c r="A694" s="1" t="s">
        <v>814</v>
      </c>
      <c r="B694" s="1" t="s">
        <v>814</v>
      </c>
      <c r="C694" s="1" t="s">
        <v>814</v>
      </c>
      <c r="D694" s="1" t="s">
        <v>814</v>
      </c>
    </row>
    <row r="695" ht="15.75" customHeight="1">
      <c r="A695" s="1" t="s">
        <v>814</v>
      </c>
      <c r="B695" s="1" t="s">
        <v>814</v>
      </c>
      <c r="C695" s="1" t="s">
        <v>814</v>
      </c>
      <c r="D695" s="1" t="s">
        <v>814</v>
      </c>
    </row>
    <row r="696" ht="15.75" customHeight="1">
      <c r="A696" s="1" t="s">
        <v>814</v>
      </c>
      <c r="B696" s="1" t="s">
        <v>814</v>
      </c>
      <c r="C696" s="1" t="s">
        <v>814</v>
      </c>
      <c r="D696" s="1" t="s">
        <v>814</v>
      </c>
    </row>
    <row r="697" ht="15.75" customHeight="1">
      <c r="A697" s="1" t="s">
        <v>814</v>
      </c>
      <c r="B697" s="1" t="s">
        <v>814</v>
      </c>
      <c r="C697" s="1" t="s">
        <v>814</v>
      </c>
      <c r="D697" s="1" t="s">
        <v>814</v>
      </c>
    </row>
    <row r="698" ht="15.75" customHeight="1">
      <c r="A698" s="1" t="s">
        <v>814</v>
      </c>
      <c r="B698" s="1" t="s">
        <v>814</v>
      </c>
      <c r="C698" s="1" t="s">
        <v>814</v>
      </c>
      <c r="D698" s="1" t="s">
        <v>814</v>
      </c>
    </row>
    <row r="699" ht="15.75" customHeight="1">
      <c r="A699" s="1" t="s">
        <v>814</v>
      </c>
      <c r="B699" s="1" t="s">
        <v>814</v>
      </c>
      <c r="C699" s="1" t="s">
        <v>814</v>
      </c>
      <c r="D699" s="1" t="s">
        <v>814</v>
      </c>
    </row>
    <row r="700" ht="15.75" customHeight="1">
      <c r="A700" s="1" t="s">
        <v>814</v>
      </c>
      <c r="B700" s="1" t="s">
        <v>814</v>
      </c>
      <c r="C700" s="1" t="s">
        <v>814</v>
      </c>
      <c r="D700" s="1" t="s">
        <v>814</v>
      </c>
    </row>
    <row r="701" ht="15.75" customHeight="1">
      <c r="A701" s="1" t="s">
        <v>814</v>
      </c>
      <c r="B701" s="1" t="s">
        <v>814</v>
      </c>
      <c r="C701" s="1" t="s">
        <v>814</v>
      </c>
      <c r="D701" s="1" t="s">
        <v>814</v>
      </c>
    </row>
    <row r="702" ht="15.75" customHeight="1">
      <c r="A702" s="1" t="s">
        <v>814</v>
      </c>
      <c r="B702" s="1" t="s">
        <v>814</v>
      </c>
      <c r="C702" s="1" t="s">
        <v>814</v>
      </c>
      <c r="D702" s="1" t="s">
        <v>814</v>
      </c>
    </row>
    <row r="703" ht="15.75" customHeight="1">
      <c r="A703" s="1" t="s">
        <v>814</v>
      </c>
      <c r="B703" s="1" t="s">
        <v>814</v>
      </c>
      <c r="C703" s="1" t="s">
        <v>814</v>
      </c>
      <c r="D703" s="1" t="s">
        <v>814</v>
      </c>
    </row>
    <row r="704" ht="15.75" customHeight="1">
      <c r="A704" s="1" t="s">
        <v>814</v>
      </c>
      <c r="B704" s="1" t="s">
        <v>814</v>
      </c>
      <c r="C704" s="1" t="s">
        <v>814</v>
      </c>
      <c r="D704" s="1" t="s">
        <v>814</v>
      </c>
    </row>
    <row r="705" ht="15.75" customHeight="1">
      <c r="A705" s="1" t="s">
        <v>814</v>
      </c>
      <c r="B705" s="1" t="s">
        <v>814</v>
      </c>
      <c r="C705" s="1" t="s">
        <v>814</v>
      </c>
      <c r="D705" s="1" t="s">
        <v>814</v>
      </c>
    </row>
    <row r="706" ht="15.75" customHeight="1">
      <c r="A706" s="1" t="s">
        <v>814</v>
      </c>
      <c r="B706" s="1" t="s">
        <v>814</v>
      </c>
      <c r="C706" s="1" t="s">
        <v>814</v>
      </c>
      <c r="D706" s="1" t="s">
        <v>814</v>
      </c>
    </row>
    <row r="707" ht="15.75" customHeight="1">
      <c r="A707" s="1" t="s">
        <v>814</v>
      </c>
      <c r="B707" s="1" t="s">
        <v>814</v>
      </c>
      <c r="C707" s="1" t="s">
        <v>814</v>
      </c>
      <c r="D707" s="1" t="s">
        <v>814</v>
      </c>
    </row>
    <row r="708" ht="15.75" customHeight="1">
      <c r="A708" s="1" t="s">
        <v>814</v>
      </c>
      <c r="B708" s="1" t="s">
        <v>814</v>
      </c>
      <c r="C708" s="1" t="s">
        <v>814</v>
      </c>
      <c r="D708" s="1" t="s">
        <v>814</v>
      </c>
    </row>
    <row r="709" ht="15.75" customHeight="1">
      <c r="A709" s="1" t="s">
        <v>814</v>
      </c>
      <c r="B709" s="1" t="s">
        <v>814</v>
      </c>
      <c r="C709" s="1" t="s">
        <v>814</v>
      </c>
      <c r="D709" s="1" t="s">
        <v>814</v>
      </c>
    </row>
    <row r="710" ht="15.75" customHeight="1">
      <c r="A710" s="1" t="s">
        <v>814</v>
      </c>
      <c r="B710" s="1" t="s">
        <v>814</v>
      </c>
      <c r="C710" s="1" t="s">
        <v>814</v>
      </c>
      <c r="D710" s="1" t="s">
        <v>814</v>
      </c>
    </row>
    <row r="711" ht="15.75" customHeight="1">
      <c r="A711" s="1" t="s">
        <v>814</v>
      </c>
      <c r="B711" s="1" t="s">
        <v>814</v>
      </c>
      <c r="C711" s="1" t="s">
        <v>814</v>
      </c>
      <c r="D711" s="1" t="s">
        <v>814</v>
      </c>
    </row>
    <row r="712" ht="15.75" customHeight="1">
      <c r="A712" s="1" t="s">
        <v>814</v>
      </c>
      <c r="B712" s="1" t="s">
        <v>814</v>
      </c>
      <c r="C712" s="1" t="s">
        <v>814</v>
      </c>
      <c r="D712" s="1" t="s">
        <v>814</v>
      </c>
    </row>
    <row r="713" ht="15.75" customHeight="1">
      <c r="A713" s="1" t="s">
        <v>814</v>
      </c>
      <c r="B713" s="1" t="s">
        <v>814</v>
      </c>
      <c r="C713" s="1" t="s">
        <v>814</v>
      </c>
      <c r="D713" s="1" t="s">
        <v>814</v>
      </c>
    </row>
    <row r="714" ht="15.75" customHeight="1">
      <c r="A714" s="1" t="s">
        <v>814</v>
      </c>
      <c r="B714" s="1" t="s">
        <v>814</v>
      </c>
      <c r="C714" s="1" t="s">
        <v>814</v>
      </c>
      <c r="D714" s="1" t="s">
        <v>814</v>
      </c>
    </row>
    <row r="715" ht="15.75" customHeight="1">
      <c r="A715" s="1" t="s">
        <v>814</v>
      </c>
      <c r="B715" s="1" t="s">
        <v>814</v>
      </c>
      <c r="C715" s="1" t="s">
        <v>814</v>
      </c>
      <c r="D715" s="1" t="s">
        <v>814</v>
      </c>
    </row>
    <row r="716" ht="15.75" customHeight="1">
      <c r="A716" s="1" t="s">
        <v>814</v>
      </c>
      <c r="B716" s="1" t="s">
        <v>814</v>
      </c>
      <c r="C716" s="1" t="s">
        <v>814</v>
      </c>
      <c r="D716" s="1" t="s">
        <v>814</v>
      </c>
    </row>
    <row r="717" ht="15.75" customHeight="1">
      <c r="A717" s="1" t="s">
        <v>814</v>
      </c>
      <c r="B717" s="1" t="s">
        <v>814</v>
      </c>
      <c r="C717" s="1" t="s">
        <v>814</v>
      </c>
      <c r="D717" s="1" t="s">
        <v>814</v>
      </c>
    </row>
    <row r="718" ht="15.75" customHeight="1">
      <c r="A718" s="1" t="s">
        <v>814</v>
      </c>
      <c r="B718" s="1" t="s">
        <v>814</v>
      </c>
      <c r="C718" s="1" t="s">
        <v>814</v>
      </c>
      <c r="D718" s="1" t="s">
        <v>814</v>
      </c>
    </row>
    <row r="719" ht="15.75" customHeight="1">
      <c r="A719" s="1" t="s">
        <v>814</v>
      </c>
      <c r="B719" s="1" t="s">
        <v>814</v>
      </c>
      <c r="C719" s="1" t="s">
        <v>814</v>
      </c>
      <c r="D719" s="1" t="s">
        <v>814</v>
      </c>
    </row>
    <row r="720" ht="15.75" customHeight="1">
      <c r="A720" s="1" t="s">
        <v>814</v>
      </c>
      <c r="B720" s="1" t="s">
        <v>814</v>
      </c>
      <c r="C720" s="1" t="s">
        <v>814</v>
      </c>
      <c r="D720" s="1" t="s">
        <v>814</v>
      </c>
    </row>
    <row r="721" ht="15.75" customHeight="1">
      <c r="A721" s="1" t="s">
        <v>814</v>
      </c>
      <c r="B721" s="1" t="s">
        <v>814</v>
      </c>
      <c r="C721" s="1" t="s">
        <v>814</v>
      </c>
      <c r="D721" s="1" t="s">
        <v>814</v>
      </c>
    </row>
    <row r="722" ht="15.75" customHeight="1">
      <c r="A722" s="1" t="s">
        <v>814</v>
      </c>
      <c r="B722" s="1" t="s">
        <v>814</v>
      </c>
      <c r="C722" s="1" t="s">
        <v>814</v>
      </c>
      <c r="D722" s="1" t="s">
        <v>814</v>
      </c>
    </row>
    <row r="723" ht="15.75" customHeight="1">
      <c r="A723" s="1" t="s">
        <v>814</v>
      </c>
      <c r="B723" s="1" t="s">
        <v>814</v>
      </c>
      <c r="C723" s="1" t="s">
        <v>814</v>
      </c>
      <c r="D723" s="1" t="s">
        <v>814</v>
      </c>
    </row>
    <row r="724" ht="15.75" customHeight="1">
      <c r="A724" s="1" t="s">
        <v>814</v>
      </c>
      <c r="B724" s="1" t="s">
        <v>814</v>
      </c>
      <c r="C724" s="1" t="s">
        <v>814</v>
      </c>
      <c r="D724" s="1" t="s">
        <v>814</v>
      </c>
    </row>
    <row r="725" ht="15.75" customHeight="1">
      <c r="A725" s="1" t="s">
        <v>814</v>
      </c>
      <c r="B725" s="1" t="s">
        <v>814</v>
      </c>
      <c r="C725" s="1" t="s">
        <v>814</v>
      </c>
      <c r="D725" s="1" t="s">
        <v>814</v>
      </c>
    </row>
    <row r="726" ht="15.75" customHeight="1">
      <c r="A726" s="1" t="s">
        <v>814</v>
      </c>
      <c r="B726" s="1" t="s">
        <v>814</v>
      </c>
      <c r="C726" s="1" t="s">
        <v>814</v>
      </c>
      <c r="D726" s="1" t="s">
        <v>814</v>
      </c>
    </row>
    <row r="727" ht="15.75" customHeight="1">
      <c r="A727" s="1" t="s">
        <v>814</v>
      </c>
      <c r="B727" s="1" t="s">
        <v>814</v>
      </c>
      <c r="C727" s="1" t="s">
        <v>814</v>
      </c>
      <c r="D727" s="1" t="s">
        <v>814</v>
      </c>
    </row>
    <row r="728" ht="15.75" customHeight="1">
      <c r="A728" s="1" t="s">
        <v>814</v>
      </c>
      <c r="B728" s="1" t="s">
        <v>814</v>
      </c>
      <c r="C728" s="1" t="s">
        <v>814</v>
      </c>
      <c r="D728" s="1" t="s">
        <v>814</v>
      </c>
    </row>
    <row r="729" ht="15.75" customHeight="1">
      <c r="A729" s="1" t="s">
        <v>814</v>
      </c>
      <c r="B729" s="1" t="s">
        <v>814</v>
      </c>
      <c r="C729" s="1" t="s">
        <v>814</v>
      </c>
      <c r="D729" s="1" t="s">
        <v>814</v>
      </c>
    </row>
    <row r="730" ht="15.75" customHeight="1">
      <c r="A730" s="1" t="s">
        <v>814</v>
      </c>
      <c r="B730" s="1" t="s">
        <v>814</v>
      </c>
      <c r="C730" s="1" t="s">
        <v>814</v>
      </c>
      <c r="D730" s="1" t="s">
        <v>814</v>
      </c>
    </row>
    <row r="731" ht="15.75" customHeight="1">
      <c r="A731" s="1" t="s">
        <v>814</v>
      </c>
      <c r="B731" s="1" t="s">
        <v>814</v>
      </c>
      <c r="C731" s="1" t="s">
        <v>814</v>
      </c>
      <c r="D731" s="1" t="s">
        <v>814</v>
      </c>
    </row>
    <row r="732" ht="15.75" customHeight="1">
      <c r="A732" s="1" t="s">
        <v>814</v>
      </c>
      <c r="B732" s="1" t="s">
        <v>814</v>
      </c>
      <c r="C732" s="1" t="s">
        <v>814</v>
      </c>
      <c r="D732" s="1" t="s">
        <v>814</v>
      </c>
    </row>
    <row r="733" ht="15.75" customHeight="1">
      <c r="A733" s="1" t="s">
        <v>814</v>
      </c>
      <c r="B733" s="1" t="s">
        <v>814</v>
      </c>
      <c r="C733" s="1" t="s">
        <v>814</v>
      </c>
      <c r="D733" s="1" t="s">
        <v>814</v>
      </c>
    </row>
    <row r="734" ht="15.75" customHeight="1">
      <c r="A734" s="1" t="s">
        <v>814</v>
      </c>
      <c r="B734" s="1" t="s">
        <v>814</v>
      </c>
      <c r="C734" s="1" t="s">
        <v>814</v>
      </c>
      <c r="D734" s="1" t="s">
        <v>814</v>
      </c>
    </row>
    <row r="735" ht="15.75" customHeight="1">
      <c r="A735" s="1" t="s">
        <v>814</v>
      </c>
      <c r="B735" s="1" t="s">
        <v>814</v>
      </c>
      <c r="C735" s="1" t="s">
        <v>814</v>
      </c>
      <c r="D735" s="1" t="s">
        <v>814</v>
      </c>
    </row>
    <row r="736" ht="15.75" customHeight="1">
      <c r="A736" s="1" t="s">
        <v>814</v>
      </c>
      <c r="B736" s="1" t="s">
        <v>814</v>
      </c>
      <c r="C736" s="1" t="s">
        <v>814</v>
      </c>
      <c r="D736" s="1" t="s">
        <v>814</v>
      </c>
    </row>
    <row r="737" ht="15.75" customHeight="1">
      <c r="A737" s="1" t="s">
        <v>814</v>
      </c>
      <c r="B737" s="1" t="s">
        <v>814</v>
      </c>
      <c r="C737" s="1" t="s">
        <v>814</v>
      </c>
      <c r="D737" s="1" t="s">
        <v>814</v>
      </c>
    </row>
    <row r="738" ht="15.75" customHeight="1">
      <c r="A738" s="1" t="s">
        <v>814</v>
      </c>
      <c r="B738" s="1" t="s">
        <v>814</v>
      </c>
      <c r="C738" s="1" t="s">
        <v>814</v>
      </c>
      <c r="D738" s="1" t="s">
        <v>814</v>
      </c>
    </row>
    <row r="739" ht="15.75" customHeight="1">
      <c r="A739" s="1" t="s">
        <v>814</v>
      </c>
      <c r="B739" s="1" t="s">
        <v>814</v>
      </c>
      <c r="C739" s="1" t="s">
        <v>814</v>
      </c>
      <c r="D739" s="1" t="s">
        <v>814</v>
      </c>
    </row>
    <row r="740" ht="15.75" customHeight="1">
      <c r="A740" s="1" t="s">
        <v>814</v>
      </c>
      <c r="B740" s="1" t="s">
        <v>814</v>
      </c>
      <c r="C740" s="1" t="s">
        <v>814</v>
      </c>
      <c r="D740" s="1" t="s">
        <v>814</v>
      </c>
    </row>
    <row r="741" ht="15.75" customHeight="1">
      <c r="A741" s="1" t="s">
        <v>814</v>
      </c>
      <c r="B741" s="1" t="s">
        <v>814</v>
      </c>
      <c r="C741" s="1" t="s">
        <v>814</v>
      </c>
      <c r="D741" s="1" t="s">
        <v>814</v>
      </c>
    </row>
    <row r="742" ht="15.75" customHeight="1">
      <c r="A742" s="1" t="s">
        <v>814</v>
      </c>
      <c r="B742" s="1" t="s">
        <v>814</v>
      </c>
      <c r="C742" s="1" t="s">
        <v>814</v>
      </c>
      <c r="D742" s="1" t="s">
        <v>814</v>
      </c>
    </row>
    <row r="743" ht="15.75" customHeight="1">
      <c r="A743" s="1" t="s">
        <v>814</v>
      </c>
      <c r="B743" s="1" t="s">
        <v>814</v>
      </c>
      <c r="C743" s="1" t="s">
        <v>814</v>
      </c>
      <c r="D743" s="1" t="s">
        <v>814</v>
      </c>
    </row>
    <row r="744" ht="15.75" customHeight="1">
      <c r="A744" s="1" t="s">
        <v>814</v>
      </c>
      <c r="B744" s="1" t="s">
        <v>814</v>
      </c>
      <c r="C744" s="1" t="s">
        <v>814</v>
      </c>
      <c r="D744" s="1" t="s">
        <v>814</v>
      </c>
    </row>
    <row r="745" ht="15.75" customHeight="1">
      <c r="A745" s="1" t="s">
        <v>814</v>
      </c>
      <c r="B745" s="1" t="s">
        <v>814</v>
      </c>
      <c r="C745" s="1" t="s">
        <v>814</v>
      </c>
      <c r="D745" s="1" t="s">
        <v>814</v>
      </c>
    </row>
    <row r="746" ht="15.75" customHeight="1">
      <c r="A746" s="1" t="s">
        <v>814</v>
      </c>
      <c r="B746" s="1" t="s">
        <v>814</v>
      </c>
      <c r="C746" s="1" t="s">
        <v>814</v>
      </c>
      <c r="D746" s="1" t="s">
        <v>814</v>
      </c>
    </row>
    <row r="747" ht="15.75" customHeight="1">
      <c r="A747" s="1" t="s">
        <v>814</v>
      </c>
      <c r="B747" s="1" t="s">
        <v>814</v>
      </c>
      <c r="C747" s="1" t="s">
        <v>814</v>
      </c>
      <c r="D747" s="1" t="s">
        <v>814</v>
      </c>
    </row>
    <row r="748" ht="15.75" customHeight="1">
      <c r="A748" s="1" t="s">
        <v>814</v>
      </c>
      <c r="B748" s="1" t="s">
        <v>814</v>
      </c>
      <c r="C748" s="1" t="s">
        <v>814</v>
      </c>
      <c r="D748" s="1" t="s">
        <v>814</v>
      </c>
    </row>
    <row r="749" ht="15.75" customHeight="1">
      <c r="A749" s="1" t="s">
        <v>814</v>
      </c>
      <c r="B749" s="1" t="s">
        <v>814</v>
      </c>
      <c r="C749" s="1" t="s">
        <v>814</v>
      </c>
      <c r="D749" s="1" t="s">
        <v>814</v>
      </c>
    </row>
    <row r="750" ht="15.75" customHeight="1">
      <c r="A750" s="1" t="s">
        <v>814</v>
      </c>
      <c r="B750" s="1" t="s">
        <v>814</v>
      </c>
      <c r="C750" s="1" t="s">
        <v>814</v>
      </c>
      <c r="D750" s="1" t="s">
        <v>814</v>
      </c>
    </row>
    <row r="751" ht="15.75" customHeight="1">
      <c r="A751" s="1" t="s">
        <v>814</v>
      </c>
      <c r="B751" s="1" t="s">
        <v>814</v>
      </c>
      <c r="C751" s="1" t="s">
        <v>814</v>
      </c>
      <c r="D751" s="1" t="s">
        <v>814</v>
      </c>
    </row>
    <row r="752" ht="15.75" customHeight="1">
      <c r="A752" s="1" t="s">
        <v>814</v>
      </c>
      <c r="B752" s="1" t="s">
        <v>814</v>
      </c>
      <c r="C752" s="1" t="s">
        <v>814</v>
      </c>
      <c r="D752" s="1" t="s">
        <v>814</v>
      </c>
    </row>
    <row r="753" ht="15.75" customHeight="1">
      <c r="A753" s="1" t="s">
        <v>814</v>
      </c>
      <c r="B753" s="1" t="s">
        <v>814</v>
      </c>
      <c r="C753" s="1" t="s">
        <v>814</v>
      </c>
      <c r="D753" s="1" t="s">
        <v>814</v>
      </c>
    </row>
    <row r="754" ht="15.75" customHeight="1">
      <c r="A754" s="1" t="s">
        <v>814</v>
      </c>
      <c r="B754" s="1" t="s">
        <v>814</v>
      </c>
      <c r="C754" s="1" t="s">
        <v>814</v>
      </c>
      <c r="D754" s="1" t="s">
        <v>814</v>
      </c>
    </row>
    <row r="755" ht="15.75" customHeight="1">
      <c r="A755" s="1" t="s">
        <v>814</v>
      </c>
      <c r="B755" s="1" t="s">
        <v>814</v>
      </c>
      <c r="C755" s="1" t="s">
        <v>814</v>
      </c>
      <c r="D755" s="1" t="s">
        <v>814</v>
      </c>
    </row>
    <row r="756" ht="15.75" customHeight="1">
      <c r="A756" s="1" t="s">
        <v>814</v>
      </c>
      <c r="B756" s="1" t="s">
        <v>814</v>
      </c>
      <c r="C756" s="1" t="s">
        <v>814</v>
      </c>
      <c r="D756" s="1" t="s">
        <v>814</v>
      </c>
    </row>
    <row r="757" ht="15.75" customHeight="1">
      <c r="A757" s="1" t="s">
        <v>814</v>
      </c>
      <c r="B757" s="1" t="s">
        <v>814</v>
      </c>
      <c r="C757" s="1" t="s">
        <v>814</v>
      </c>
      <c r="D757" s="1" t="s">
        <v>814</v>
      </c>
    </row>
    <row r="758" ht="15.75" customHeight="1">
      <c r="A758" s="1" t="s">
        <v>814</v>
      </c>
      <c r="B758" s="1" t="s">
        <v>814</v>
      </c>
      <c r="C758" s="1" t="s">
        <v>814</v>
      </c>
      <c r="D758" s="1" t="s">
        <v>814</v>
      </c>
    </row>
    <row r="759" ht="15.75" customHeight="1">
      <c r="A759" s="1" t="s">
        <v>814</v>
      </c>
      <c r="B759" s="1" t="s">
        <v>814</v>
      </c>
      <c r="C759" s="1" t="s">
        <v>814</v>
      </c>
      <c r="D759" s="1" t="s">
        <v>814</v>
      </c>
    </row>
    <row r="760" ht="15.75" customHeight="1">
      <c r="A760" s="1" t="s">
        <v>814</v>
      </c>
      <c r="B760" s="1" t="s">
        <v>814</v>
      </c>
      <c r="C760" s="1" t="s">
        <v>814</v>
      </c>
      <c r="D760" s="1" t="s">
        <v>814</v>
      </c>
    </row>
    <row r="761" ht="15.75" customHeight="1">
      <c r="A761" s="1" t="s">
        <v>814</v>
      </c>
      <c r="B761" s="1" t="s">
        <v>814</v>
      </c>
      <c r="C761" s="1" t="s">
        <v>814</v>
      </c>
      <c r="D761" s="1" t="s">
        <v>814</v>
      </c>
    </row>
    <row r="762" ht="15.75" customHeight="1">
      <c r="A762" s="1" t="s">
        <v>814</v>
      </c>
      <c r="B762" s="1" t="s">
        <v>814</v>
      </c>
      <c r="C762" s="1" t="s">
        <v>814</v>
      </c>
      <c r="D762" s="1" t="s">
        <v>814</v>
      </c>
    </row>
    <row r="763" ht="15.75" customHeight="1">
      <c r="A763" s="1" t="s">
        <v>814</v>
      </c>
      <c r="B763" s="1" t="s">
        <v>814</v>
      </c>
      <c r="C763" s="1" t="s">
        <v>814</v>
      </c>
      <c r="D763" s="1" t="s">
        <v>814</v>
      </c>
    </row>
    <row r="764" ht="15.75" customHeight="1">
      <c r="A764" s="1" t="s">
        <v>814</v>
      </c>
      <c r="B764" s="1" t="s">
        <v>814</v>
      </c>
      <c r="C764" s="1" t="s">
        <v>814</v>
      </c>
      <c r="D764" s="1" t="s">
        <v>814</v>
      </c>
    </row>
    <row r="765" ht="15.75" customHeight="1">
      <c r="A765" s="1" t="s">
        <v>814</v>
      </c>
      <c r="B765" s="1" t="s">
        <v>814</v>
      </c>
      <c r="C765" s="1" t="s">
        <v>814</v>
      </c>
      <c r="D765" s="1" t="s">
        <v>814</v>
      </c>
    </row>
    <row r="766" ht="15.75" customHeight="1">
      <c r="A766" s="1" t="s">
        <v>814</v>
      </c>
      <c r="B766" s="1" t="s">
        <v>814</v>
      </c>
      <c r="C766" s="1" t="s">
        <v>814</v>
      </c>
      <c r="D766" s="1" t="s">
        <v>814</v>
      </c>
    </row>
    <row r="767" ht="15.75" customHeight="1">
      <c r="A767" s="1" t="s">
        <v>814</v>
      </c>
      <c r="B767" s="1" t="s">
        <v>814</v>
      </c>
      <c r="C767" s="1" t="s">
        <v>814</v>
      </c>
      <c r="D767" s="1" t="s">
        <v>814</v>
      </c>
    </row>
    <row r="768" ht="15.75" customHeight="1">
      <c r="A768" s="1" t="s">
        <v>814</v>
      </c>
      <c r="B768" s="1" t="s">
        <v>814</v>
      </c>
      <c r="C768" s="1" t="s">
        <v>814</v>
      </c>
      <c r="D768" s="1" t="s">
        <v>814</v>
      </c>
    </row>
    <row r="769" ht="15.75" customHeight="1">
      <c r="A769" s="1" t="s">
        <v>814</v>
      </c>
      <c r="B769" s="1" t="s">
        <v>814</v>
      </c>
      <c r="C769" s="1" t="s">
        <v>814</v>
      </c>
      <c r="D769" s="1" t="s">
        <v>814</v>
      </c>
    </row>
    <row r="770" ht="15.75" customHeight="1">
      <c r="A770" s="1" t="s">
        <v>814</v>
      </c>
      <c r="B770" s="1" t="s">
        <v>814</v>
      </c>
      <c r="C770" s="1" t="s">
        <v>814</v>
      </c>
      <c r="D770" s="1" t="s">
        <v>814</v>
      </c>
    </row>
    <row r="771" ht="15.75" customHeight="1">
      <c r="A771" s="1" t="s">
        <v>814</v>
      </c>
      <c r="B771" s="1" t="s">
        <v>814</v>
      </c>
      <c r="C771" s="1" t="s">
        <v>814</v>
      </c>
      <c r="D771" s="1" t="s">
        <v>814</v>
      </c>
    </row>
    <row r="772" ht="15.75" customHeight="1">
      <c r="A772" s="1" t="s">
        <v>814</v>
      </c>
      <c r="B772" s="1" t="s">
        <v>814</v>
      </c>
      <c r="C772" s="1" t="s">
        <v>814</v>
      </c>
      <c r="D772" s="1" t="s">
        <v>814</v>
      </c>
    </row>
    <row r="773" ht="15.75" customHeight="1">
      <c r="A773" s="1" t="s">
        <v>814</v>
      </c>
      <c r="B773" s="1" t="s">
        <v>814</v>
      </c>
      <c r="C773" s="1" t="s">
        <v>814</v>
      </c>
      <c r="D773" s="1" t="s">
        <v>814</v>
      </c>
    </row>
    <row r="774" ht="15.75" customHeight="1">
      <c r="A774" s="1" t="s">
        <v>814</v>
      </c>
      <c r="B774" s="1" t="s">
        <v>814</v>
      </c>
      <c r="C774" s="1" t="s">
        <v>814</v>
      </c>
      <c r="D774" s="1" t="s">
        <v>814</v>
      </c>
    </row>
    <row r="775" ht="15.75" customHeight="1">
      <c r="A775" s="1" t="s">
        <v>814</v>
      </c>
      <c r="B775" s="1" t="s">
        <v>814</v>
      </c>
      <c r="C775" s="1" t="s">
        <v>814</v>
      </c>
      <c r="D775" s="1" t="s">
        <v>814</v>
      </c>
    </row>
    <row r="776" ht="15.75" customHeight="1">
      <c r="A776" s="1" t="s">
        <v>814</v>
      </c>
      <c r="B776" s="1" t="s">
        <v>814</v>
      </c>
      <c r="C776" s="1" t="s">
        <v>814</v>
      </c>
      <c r="D776" s="1" t="s">
        <v>814</v>
      </c>
    </row>
    <row r="777" ht="15.75" customHeight="1">
      <c r="A777" s="1" t="s">
        <v>814</v>
      </c>
      <c r="B777" s="1" t="s">
        <v>814</v>
      </c>
      <c r="C777" s="1" t="s">
        <v>814</v>
      </c>
      <c r="D777" s="1" t="s">
        <v>814</v>
      </c>
    </row>
    <row r="778" ht="15.75" customHeight="1">
      <c r="A778" s="1" t="s">
        <v>814</v>
      </c>
      <c r="B778" s="1" t="s">
        <v>814</v>
      </c>
      <c r="C778" s="1" t="s">
        <v>814</v>
      </c>
      <c r="D778" s="1" t="s">
        <v>814</v>
      </c>
    </row>
    <row r="779" ht="15.75" customHeight="1">
      <c r="A779" s="1" t="s">
        <v>814</v>
      </c>
      <c r="B779" s="1" t="s">
        <v>814</v>
      </c>
      <c r="C779" s="1" t="s">
        <v>814</v>
      </c>
      <c r="D779" s="1" t="s">
        <v>814</v>
      </c>
    </row>
    <row r="780" ht="15.75" customHeight="1">
      <c r="A780" s="1" t="s">
        <v>814</v>
      </c>
      <c r="B780" s="1" t="s">
        <v>814</v>
      </c>
      <c r="C780" s="1" t="s">
        <v>814</v>
      </c>
      <c r="D780" s="1" t="s">
        <v>814</v>
      </c>
    </row>
    <row r="781" ht="15.75" customHeight="1">
      <c r="A781" s="1" t="s">
        <v>814</v>
      </c>
      <c r="B781" s="1" t="s">
        <v>814</v>
      </c>
      <c r="C781" s="1" t="s">
        <v>814</v>
      </c>
      <c r="D781" s="1" t="s">
        <v>814</v>
      </c>
    </row>
    <row r="782" ht="15.75" customHeight="1">
      <c r="A782" s="1" t="s">
        <v>814</v>
      </c>
      <c r="B782" s="1" t="s">
        <v>814</v>
      </c>
      <c r="C782" s="1" t="s">
        <v>814</v>
      </c>
      <c r="D782" s="1" t="s">
        <v>814</v>
      </c>
    </row>
    <row r="783" ht="15.75" customHeight="1">
      <c r="A783" s="1" t="s">
        <v>814</v>
      </c>
      <c r="B783" s="1" t="s">
        <v>814</v>
      </c>
      <c r="C783" s="1" t="s">
        <v>814</v>
      </c>
      <c r="D783" s="1" t="s">
        <v>814</v>
      </c>
    </row>
    <row r="784" ht="15.75" customHeight="1">
      <c r="A784" s="1" t="s">
        <v>814</v>
      </c>
      <c r="B784" s="1" t="s">
        <v>814</v>
      </c>
      <c r="C784" s="1" t="s">
        <v>814</v>
      </c>
      <c r="D784" s="1" t="s">
        <v>814</v>
      </c>
    </row>
    <row r="785" ht="15.75" customHeight="1">
      <c r="A785" s="1" t="s">
        <v>814</v>
      </c>
      <c r="B785" s="1" t="s">
        <v>814</v>
      </c>
      <c r="C785" s="1" t="s">
        <v>814</v>
      </c>
      <c r="D785" s="1" t="s">
        <v>814</v>
      </c>
    </row>
    <row r="786" ht="15.75" customHeight="1">
      <c r="A786" s="1" t="s">
        <v>814</v>
      </c>
      <c r="B786" s="1" t="s">
        <v>814</v>
      </c>
      <c r="C786" s="1" t="s">
        <v>814</v>
      </c>
      <c r="D786" s="1" t="s">
        <v>814</v>
      </c>
    </row>
    <row r="787" ht="15.75" customHeight="1">
      <c r="A787" s="1" t="s">
        <v>814</v>
      </c>
      <c r="B787" s="1" t="s">
        <v>814</v>
      </c>
      <c r="C787" s="1" t="s">
        <v>814</v>
      </c>
      <c r="D787" s="1" t="s">
        <v>814</v>
      </c>
    </row>
    <row r="788" ht="15.75" customHeight="1">
      <c r="A788" s="1" t="s">
        <v>814</v>
      </c>
      <c r="B788" s="1" t="s">
        <v>814</v>
      </c>
      <c r="C788" s="1" t="s">
        <v>814</v>
      </c>
      <c r="D788" s="1" t="s">
        <v>814</v>
      </c>
    </row>
    <row r="789" ht="15.75" customHeight="1">
      <c r="A789" s="1" t="s">
        <v>814</v>
      </c>
      <c r="B789" s="1" t="s">
        <v>814</v>
      </c>
      <c r="C789" s="1" t="s">
        <v>814</v>
      </c>
      <c r="D789" s="1" t="s">
        <v>814</v>
      </c>
    </row>
    <row r="790" ht="15.75" customHeight="1">
      <c r="A790" s="1" t="s">
        <v>814</v>
      </c>
      <c r="B790" s="1" t="s">
        <v>814</v>
      </c>
      <c r="C790" s="1" t="s">
        <v>814</v>
      </c>
      <c r="D790" s="1" t="s">
        <v>814</v>
      </c>
    </row>
    <row r="791" ht="15.75" customHeight="1">
      <c r="A791" s="1" t="s">
        <v>814</v>
      </c>
      <c r="B791" s="1" t="s">
        <v>814</v>
      </c>
      <c r="C791" s="1" t="s">
        <v>814</v>
      </c>
      <c r="D791" s="1" t="s">
        <v>814</v>
      </c>
    </row>
    <row r="792" ht="15.75" customHeight="1">
      <c r="A792" s="1" t="s">
        <v>814</v>
      </c>
      <c r="B792" s="1" t="s">
        <v>814</v>
      </c>
      <c r="C792" s="1" t="s">
        <v>814</v>
      </c>
      <c r="D792" s="1" t="s">
        <v>814</v>
      </c>
    </row>
    <row r="793" ht="15.75" customHeight="1">
      <c r="A793" s="1" t="s">
        <v>814</v>
      </c>
      <c r="B793" s="1" t="s">
        <v>814</v>
      </c>
      <c r="C793" s="1" t="s">
        <v>814</v>
      </c>
      <c r="D793" s="1" t="s">
        <v>814</v>
      </c>
    </row>
    <row r="794" ht="15.75" customHeight="1">
      <c r="A794" s="1" t="s">
        <v>814</v>
      </c>
      <c r="B794" s="1" t="s">
        <v>814</v>
      </c>
      <c r="C794" s="1" t="s">
        <v>814</v>
      </c>
      <c r="D794" s="1" t="s">
        <v>814</v>
      </c>
    </row>
    <row r="795" ht="15.75" customHeight="1">
      <c r="A795" s="1" t="s">
        <v>814</v>
      </c>
      <c r="B795" s="1" t="s">
        <v>814</v>
      </c>
      <c r="C795" s="1" t="s">
        <v>814</v>
      </c>
      <c r="D795" s="1" t="s">
        <v>814</v>
      </c>
    </row>
    <row r="796" ht="15.75" customHeight="1">
      <c r="A796" s="1" t="s">
        <v>814</v>
      </c>
      <c r="B796" s="1" t="s">
        <v>814</v>
      </c>
      <c r="C796" s="1" t="s">
        <v>814</v>
      </c>
      <c r="D796" s="1" t="s">
        <v>814</v>
      </c>
    </row>
    <row r="797" ht="15.75" customHeight="1">
      <c r="A797" s="1" t="s">
        <v>814</v>
      </c>
      <c r="B797" s="1" t="s">
        <v>814</v>
      </c>
      <c r="C797" s="1" t="s">
        <v>814</v>
      </c>
      <c r="D797" s="1" t="s">
        <v>814</v>
      </c>
    </row>
    <row r="798" ht="15.75" customHeight="1">
      <c r="A798" s="1" t="s">
        <v>814</v>
      </c>
      <c r="B798" s="1" t="s">
        <v>814</v>
      </c>
      <c r="C798" s="1" t="s">
        <v>814</v>
      </c>
      <c r="D798" s="1" t="s">
        <v>814</v>
      </c>
    </row>
    <row r="799" ht="15.75" customHeight="1">
      <c r="A799" s="1" t="s">
        <v>814</v>
      </c>
      <c r="B799" s="1" t="s">
        <v>814</v>
      </c>
      <c r="C799" s="1" t="s">
        <v>814</v>
      </c>
      <c r="D799" s="1" t="s">
        <v>814</v>
      </c>
    </row>
    <row r="800" ht="15.75" customHeight="1">
      <c r="A800" s="1" t="s">
        <v>814</v>
      </c>
      <c r="B800" s="1" t="s">
        <v>814</v>
      </c>
      <c r="C800" s="1" t="s">
        <v>814</v>
      </c>
      <c r="D800" s="1" t="s">
        <v>814</v>
      </c>
    </row>
    <row r="801" ht="15.75" customHeight="1">
      <c r="A801" s="1" t="s">
        <v>814</v>
      </c>
      <c r="B801" s="1" t="s">
        <v>814</v>
      </c>
      <c r="C801" s="1" t="s">
        <v>814</v>
      </c>
      <c r="D801" s="1" t="s">
        <v>814</v>
      </c>
    </row>
    <row r="802" ht="15.75" customHeight="1">
      <c r="A802" s="1" t="s">
        <v>814</v>
      </c>
      <c r="B802" s="1" t="s">
        <v>814</v>
      </c>
      <c r="C802" s="1" t="s">
        <v>814</v>
      </c>
      <c r="D802" s="1" t="s">
        <v>814</v>
      </c>
    </row>
    <row r="803" ht="15.75" customHeight="1">
      <c r="A803" s="1" t="s">
        <v>814</v>
      </c>
      <c r="B803" s="1" t="s">
        <v>814</v>
      </c>
      <c r="C803" s="1" t="s">
        <v>814</v>
      </c>
      <c r="D803" s="1" t="s">
        <v>814</v>
      </c>
    </row>
    <row r="804" ht="15.75" customHeight="1">
      <c r="A804" s="1" t="s">
        <v>814</v>
      </c>
      <c r="B804" s="1" t="s">
        <v>814</v>
      </c>
      <c r="C804" s="1" t="s">
        <v>814</v>
      </c>
      <c r="D804" s="1" t="s">
        <v>814</v>
      </c>
    </row>
    <row r="805" ht="15.75" customHeight="1">
      <c r="A805" s="1" t="s">
        <v>814</v>
      </c>
      <c r="B805" s="1" t="s">
        <v>814</v>
      </c>
      <c r="C805" s="1" t="s">
        <v>814</v>
      </c>
      <c r="D805" s="1" t="s">
        <v>814</v>
      </c>
    </row>
    <row r="806" ht="15.75" customHeight="1">
      <c r="A806" s="1" t="s">
        <v>814</v>
      </c>
      <c r="B806" s="1" t="s">
        <v>814</v>
      </c>
      <c r="C806" s="1" t="s">
        <v>814</v>
      </c>
      <c r="D806" s="1" t="s">
        <v>814</v>
      </c>
    </row>
    <row r="807" ht="15.75" customHeight="1">
      <c r="A807" s="1" t="s">
        <v>814</v>
      </c>
      <c r="B807" s="1" t="s">
        <v>814</v>
      </c>
      <c r="C807" s="1" t="s">
        <v>814</v>
      </c>
      <c r="D807" s="1" t="s">
        <v>814</v>
      </c>
    </row>
    <row r="808" ht="15.75" customHeight="1">
      <c r="A808" s="1" t="s">
        <v>814</v>
      </c>
      <c r="B808" s="1" t="s">
        <v>814</v>
      </c>
      <c r="C808" s="1" t="s">
        <v>814</v>
      </c>
      <c r="D808" s="1" t="s">
        <v>814</v>
      </c>
    </row>
    <row r="809" ht="15.75" customHeight="1">
      <c r="A809" s="1" t="s">
        <v>814</v>
      </c>
      <c r="B809" s="1" t="s">
        <v>814</v>
      </c>
      <c r="C809" s="1" t="s">
        <v>814</v>
      </c>
      <c r="D809" s="1" t="s">
        <v>814</v>
      </c>
    </row>
    <row r="810" ht="15.75" customHeight="1">
      <c r="A810" s="1" t="s">
        <v>814</v>
      </c>
      <c r="B810" s="1" t="s">
        <v>814</v>
      </c>
      <c r="C810" s="1" t="s">
        <v>814</v>
      </c>
      <c r="D810" s="1" t="s">
        <v>814</v>
      </c>
    </row>
    <row r="811" ht="15.75" customHeight="1">
      <c r="A811" s="1" t="s">
        <v>814</v>
      </c>
      <c r="B811" s="1" t="s">
        <v>814</v>
      </c>
      <c r="C811" s="1" t="s">
        <v>814</v>
      </c>
      <c r="D811" s="1" t="s">
        <v>814</v>
      </c>
    </row>
    <row r="812" ht="15.75" customHeight="1">
      <c r="A812" s="1" t="s">
        <v>814</v>
      </c>
      <c r="B812" s="1" t="s">
        <v>814</v>
      </c>
      <c r="C812" s="1" t="s">
        <v>814</v>
      </c>
      <c r="D812" s="1" t="s">
        <v>814</v>
      </c>
    </row>
    <row r="813" ht="15.75" customHeight="1">
      <c r="A813" s="1" t="s">
        <v>814</v>
      </c>
      <c r="B813" s="1" t="s">
        <v>814</v>
      </c>
      <c r="C813" s="1" t="s">
        <v>814</v>
      </c>
      <c r="D813" s="1" t="s">
        <v>814</v>
      </c>
    </row>
    <row r="814" ht="15.75" customHeight="1">
      <c r="A814" s="1" t="s">
        <v>814</v>
      </c>
      <c r="B814" s="1" t="s">
        <v>814</v>
      </c>
      <c r="C814" s="1" t="s">
        <v>814</v>
      </c>
      <c r="D814" s="1" t="s">
        <v>814</v>
      </c>
    </row>
    <row r="815" ht="15.75" customHeight="1">
      <c r="A815" s="1" t="s">
        <v>814</v>
      </c>
      <c r="B815" s="1" t="s">
        <v>814</v>
      </c>
      <c r="C815" s="1" t="s">
        <v>814</v>
      </c>
      <c r="D815" s="1" t="s">
        <v>814</v>
      </c>
    </row>
    <row r="816" ht="15.75" customHeight="1">
      <c r="A816" s="1" t="s">
        <v>814</v>
      </c>
      <c r="B816" s="1" t="s">
        <v>814</v>
      </c>
      <c r="C816" s="1" t="s">
        <v>814</v>
      </c>
      <c r="D816" s="1" t="s">
        <v>814</v>
      </c>
    </row>
    <row r="817" ht="15.75" customHeight="1">
      <c r="A817" s="1" t="s">
        <v>814</v>
      </c>
      <c r="B817" s="1" t="s">
        <v>814</v>
      </c>
      <c r="C817" s="1" t="s">
        <v>814</v>
      </c>
      <c r="D817" s="1" t="s">
        <v>814</v>
      </c>
    </row>
    <row r="818" ht="15.75" customHeight="1">
      <c r="A818" s="1" t="s">
        <v>814</v>
      </c>
      <c r="B818" s="1" t="s">
        <v>814</v>
      </c>
      <c r="C818" s="1" t="s">
        <v>814</v>
      </c>
      <c r="D818" s="1" t="s">
        <v>814</v>
      </c>
    </row>
    <row r="819" ht="15.75" customHeight="1">
      <c r="A819" s="1" t="s">
        <v>814</v>
      </c>
      <c r="B819" s="1" t="s">
        <v>814</v>
      </c>
      <c r="C819" s="1" t="s">
        <v>814</v>
      </c>
      <c r="D819" s="1" t="s">
        <v>814</v>
      </c>
    </row>
    <row r="820" ht="15.75" customHeight="1">
      <c r="A820" s="1" t="s">
        <v>814</v>
      </c>
      <c r="B820" s="1" t="s">
        <v>814</v>
      </c>
      <c r="C820" s="1" t="s">
        <v>814</v>
      </c>
      <c r="D820" s="1" t="s">
        <v>814</v>
      </c>
    </row>
    <row r="821" ht="15.75" customHeight="1">
      <c r="A821" s="1" t="s">
        <v>814</v>
      </c>
      <c r="B821" s="1" t="s">
        <v>814</v>
      </c>
      <c r="C821" s="1" t="s">
        <v>814</v>
      </c>
      <c r="D821" s="1" t="s">
        <v>814</v>
      </c>
    </row>
    <row r="822" ht="15.75" customHeight="1">
      <c r="A822" s="1" t="s">
        <v>814</v>
      </c>
      <c r="B822" s="1" t="s">
        <v>814</v>
      </c>
      <c r="C822" s="1" t="s">
        <v>814</v>
      </c>
      <c r="D822" s="1" t="s">
        <v>814</v>
      </c>
    </row>
    <row r="823" ht="15.75" customHeight="1">
      <c r="A823" s="1" t="s">
        <v>814</v>
      </c>
      <c r="B823" s="1" t="s">
        <v>814</v>
      </c>
      <c r="C823" s="1" t="s">
        <v>814</v>
      </c>
      <c r="D823" s="1" t="s">
        <v>814</v>
      </c>
    </row>
    <row r="824" ht="15.75" customHeight="1">
      <c r="A824" s="1" t="s">
        <v>814</v>
      </c>
      <c r="B824" s="1" t="s">
        <v>814</v>
      </c>
      <c r="C824" s="1" t="s">
        <v>814</v>
      </c>
      <c r="D824" s="1" t="s">
        <v>814</v>
      </c>
    </row>
    <row r="825" ht="15.75" customHeight="1">
      <c r="A825" s="1" t="s">
        <v>814</v>
      </c>
      <c r="B825" s="1" t="s">
        <v>814</v>
      </c>
      <c r="C825" s="1" t="s">
        <v>814</v>
      </c>
      <c r="D825" s="1" t="s">
        <v>814</v>
      </c>
    </row>
    <row r="826" ht="15.75" customHeight="1">
      <c r="A826" s="1" t="s">
        <v>814</v>
      </c>
      <c r="B826" s="1" t="s">
        <v>814</v>
      </c>
      <c r="C826" s="1" t="s">
        <v>814</v>
      </c>
      <c r="D826" s="1" t="s">
        <v>814</v>
      </c>
    </row>
    <row r="827" ht="15.75" customHeight="1">
      <c r="A827" s="1" t="s">
        <v>814</v>
      </c>
      <c r="B827" s="1" t="s">
        <v>814</v>
      </c>
      <c r="C827" s="1" t="s">
        <v>814</v>
      </c>
      <c r="D827" s="1" t="s">
        <v>814</v>
      </c>
    </row>
    <row r="828" ht="15.75" customHeight="1">
      <c r="A828" s="1" t="s">
        <v>814</v>
      </c>
      <c r="B828" s="1" t="s">
        <v>814</v>
      </c>
      <c r="C828" s="1" t="s">
        <v>814</v>
      </c>
      <c r="D828" s="1" t="s">
        <v>814</v>
      </c>
    </row>
    <row r="829" ht="15.75" customHeight="1">
      <c r="A829" s="1" t="s">
        <v>814</v>
      </c>
      <c r="B829" s="1" t="s">
        <v>814</v>
      </c>
      <c r="C829" s="1" t="s">
        <v>814</v>
      </c>
      <c r="D829" s="1" t="s">
        <v>814</v>
      </c>
    </row>
    <row r="830" ht="15.75" customHeight="1">
      <c r="A830" s="1" t="s">
        <v>814</v>
      </c>
      <c r="B830" s="1" t="s">
        <v>814</v>
      </c>
      <c r="C830" s="1" t="s">
        <v>814</v>
      </c>
      <c r="D830" s="1" t="s">
        <v>814</v>
      </c>
    </row>
    <row r="831" ht="15.75" customHeight="1">
      <c r="A831" s="1" t="s">
        <v>814</v>
      </c>
      <c r="B831" s="1" t="s">
        <v>814</v>
      </c>
      <c r="C831" s="1" t="s">
        <v>814</v>
      </c>
      <c r="D831" s="1" t="s">
        <v>814</v>
      </c>
    </row>
    <row r="832" ht="15.75" customHeight="1">
      <c r="A832" s="1" t="s">
        <v>814</v>
      </c>
      <c r="B832" s="1" t="s">
        <v>814</v>
      </c>
      <c r="C832" s="1" t="s">
        <v>814</v>
      </c>
      <c r="D832" s="1" t="s">
        <v>814</v>
      </c>
    </row>
    <row r="833" ht="15.75" customHeight="1">
      <c r="A833" s="1" t="s">
        <v>814</v>
      </c>
      <c r="B833" s="1" t="s">
        <v>814</v>
      </c>
      <c r="C833" s="1" t="s">
        <v>814</v>
      </c>
      <c r="D833" s="1" t="s">
        <v>814</v>
      </c>
    </row>
    <row r="834" ht="15.75" customHeight="1">
      <c r="A834" s="1" t="s">
        <v>814</v>
      </c>
      <c r="B834" s="1" t="s">
        <v>814</v>
      </c>
      <c r="C834" s="1" t="s">
        <v>814</v>
      </c>
      <c r="D834" s="1" t="s">
        <v>814</v>
      </c>
    </row>
    <row r="835" ht="15.75" customHeight="1">
      <c r="A835" s="1" t="s">
        <v>814</v>
      </c>
      <c r="B835" s="1" t="s">
        <v>814</v>
      </c>
      <c r="C835" s="1" t="s">
        <v>814</v>
      </c>
      <c r="D835" s="1" t="s">
        <v>814</v>
      </c>
    </row>
    <row r="836" ht="15.75" customHeight="1">
      <c r="A836" s="1" t="s">
        <v>814</v>
      </c>
      <c r="B836" s="1" t="s">
        <v>814</v>
      </c>
      <c r="C836" s="1" t="s">
        <v>814</v>
      </c>
      <c r="D836" s="1" t="s">
        <v>814</v>
      </c>
    </row>
    <row r="837" ht="15.75" customHeight="1">
      <c r="A837" s="1" t="s">
        <v>814</v>
      </c>
      <c r="B837" s="1" t="s">
        <v>814</v>
      </c>
      <c r="C837" s="1" t="s">
        <v>814</v>
      </c>
      <c r="D837" s="1" t="s">
        <v>814</v>
      </c>
    </row>
    <row r="838" ht="15.75" customHeight="1">
      <c r="A838" s="1" t="s">
        <v>814</v>
      </c>
      <c r="B838" s="1" t="s">
        <v>814</v>
      </c>
      <c r="C838" s="1" t="s">
        <v>814</v>
      </c>
      <c r="D838" s="1" t="s">
        <v>814</v>
      </c>
    </row>
    <row r="839" ht="15.75" customHeight="1">
      <c r="A839" s="1" t="s">
        <v>814</v>
      </c>
      <c r="B839" s="1" t="s">
        <v>814</v>
      </c>
      <c r="C839" s="1" t="s">
        <v>814</v>
      </c>
      <c r="D839" s="1" t="s">
        <v>814</v>
      </c>
    </row>
    <row r="840" ht="15.75" customHeight="1">
      <c r="A840" s="1" t="s">
        <v>814</v>
      </c>
      <c r="B840" s="1" t="s">
        <v>814</v>
      </c>
      <c r="C840" s="1" t="s">
        <v>814</v>
      </c>
      <c r="D840" s="1" t="s">
        <v>814</v>
      </c>
    </row>
    <row r="841" ht="15.75" customHeight="1">
      <c r="A841" s="1" t="s">
        <v>814</v>
      </c>
      <c r="B841" s="1" t="s">
        <v>814</v>
      </c>
      <c r="C841" s="1" t="s">
        <v>814</v>
      </c>
      <c r="D841" s="1" t="s">
        <v>814</v>
      </c>
    </row>
    <row r="842" ht="15.75" customHeight="1">
      <c r="A842" s="1" t="s">
        <v>814</v>
      </c>
      <c r="B842" s="1" t="s">
        <v>814</v>
      </c>
      <c r="C842" s="1" t="s">
        <v>814</v>
      </c>
      <c r="D842" s="1" t="s">
        <v>814</v>
      </c>
    </row>
    <row r="843" ht="15.75" customHeight="1">
      <c r="A843" s="1" t="s">
        <v>814</v>
      </c>
      <c r="B843" s="1" t="s">
        <v>814</v>
      </c>
      <c r="C843" s="1" t="s">
        <v>814</v>
      </c>
      <c r="D843" s="1" t="s">
        <v>814</v>
      </c>
    </row>
    <row r="844" ht="15.75" customHeight="1">
      <c r="A844" s="1" t="s">
        <v>814</v>
      </c>
      <c r="B844" s="1" t="s">
        <v>814</v>
      </c>
      <c r="C844" s="1" t="s">
        <v>814</v>
      </c>
      <c r="D844" s="1" t="s">
        <v>814</v>
      </c>
    </row>
    <row r="845" ht="15.75" customHeight="1">
      <c r="A845" s="1" t="s">
        <v>814</v>
      </c>
      <c r="B845" s="1" t="s">
        <v>814</v>
      </c>
      <c r="C845" s="1" t="s">
        <v>814</v>
      </c>
      <c r="D845" s="1" t="s">
        <v>814</v>
      </c>
    </row>
    <row r="846" ht="15.75" customHeight="1">
      <c r="A846" s="1" t="s">
        <v>814</v>
      </c>
      <c r="B846" s="1" t="s">
        <v>814</v>
      </c>
      <c r="C846" s="1" t="s">
        <v>814</v>
      </c>
      <c r="D846" s="1" t="s">
        <v>814</v>
      </c>
    </row>
    <row r="847" ht="15.75" customHeight="1">
      <c r="A847" s="1" t="s">
        <v>814</v>
      </c>
      <c r="B847" s="1" t="s">
        <v>814</v>
      </c>
      <c r="C847" s="1" t="s">
        <v>814</v>
      </c>
      <c r="D847" s="1" t="s">
        <v>814</v>
      </c>
    </row>
    <row r="848" ht="15.75" customHeight="1">
      <c r="A848" s="1" t="s">
        <v>814</v>
      </c>
      <c r="B848" s="1" t="s">
        <v>814</v>
      </c>
      <c r="C848" s="1" t="s">
        <v>814</v>
      </c>
      <c r="D848" s="1" t="s">
        <v>814</v>
      </c>
    </row>
    <row r="849" ht="15.75" customHeight="1">
      <c r="A849" s="1" t="s">
        <v>814</v>
      </c>
      <c r="B849" s="1" t="s">
        <v>814</v>
      </c>
      <c r="C849" s="1" t="s">
        <v>814</v>
      </c>
      <c r="D849" s="1" t="s">
        <v>814</v>
      </c>
    </row>
    <row r="850" ht="15.75" customHeight="1">
      <c r="A850" s="1" t="s">
        <v>814</v>
      </c>
      <c r="B850" s="1" t="s">
        <v>814</v>
      </c>
      <c r="C850" s="1" t="s">
        <v>814</v>
      </c>
      <c r="D850" s="1" t="s">
        <v>814</v>
      </c>
    </row>
    <row r="851" ht="15.75" customHeight="1">
      <c r="A851" s="1" t="s">
        <v>814</v>
      </c>
      <c r="B851" s="1" t="s">
        <v>814</v>
      </c>
      <c r="C851" s="1" t="s">
        <v>814</v>
      </c>
      <c r="D851" s="1" t="s">
        <v>814</v>
      </c>
    </row>
    <row r="852" ht="15.75" customHeight="1">
      <c r="A852" s="1" t="s">
        <v>814</v>
      </c>
      <c r="B852" s="1" t="s">
        <v>814</v>
      </c>
      <c r="C852" s="1" t="s">
        <v>814</v>
      </c>
      <c r="D852" s="1" t="s">
        <v>814</v>
      </c>
    </row>
    <row r="853" ht="15.75" customHeight="1">
      <c r="A853" s="1" t="s">
        <v>814</v>
      </c>
      <c r="B853" s="1" t="s">
        <v>814</v>
      </c>
      <c r="C853" s="1" t="s">
        <v>814</v>
      </c>
      <c r="D853" s="1" t="s">
        <v>814</v>
      </c>
    </row>
    <row r="854" ht="15.75" customHeight="1">
      <c r="A854" s="1" t="s">
        <v>814</v>
      </c>
      <c r="B854" s="1" t="s">
        <v>814</v>
      </c>
      <c r="C854" s="1" t="s">
        <v>814</v>
      </c>
      <c r="D854" s="1" t="s">
        <v>814</v>
      </c>
    </row>
    <row r="855" ht="15.75" customHeight="1">
      <c r="A855" s="1" t="s">
        <v>814</v>
      </c>
      <c r="B855" s="1" t="s">
        <v>814</v>
      </c>
      <c r="C855" s="1" t="s">
        <v>814</v>
      </c>
      <c r="D855" s="1" t="s">
        <v>814</v>
      </c>
    </row>
    <row r="856" ht="15.75" customHeight="1">
      <c r="A856" s="1" t="s">
        <v>814</v>
      </c>
      <c r="B856" s="1" t="s">
        <v>814</v>
      </c>
      <c r="C856" s="1" t="s">
        <v>814</v>
      </c>
      <c r="D856" s="1" t="s">
        <v>814</v>
      </c>
    </row>
    <row r="857" ht="15.75" customHeight="1">
      <c r="A857" s="1" t="s">
        <v>814</v>
      </c>
      <c r="B857" s="1" t="s">
        <v>814</v>
      </c>
      <c r="C857" s="1" t="s">
        <v>814</v>
      </c>
      <c r="D857" s="1" t="s">
        <v>814</v>
      </c>
    </row>
    <row r="858" ht="15.75" customHeight="1">
      <c r="A858" s="1" t="s">
        <v>814</v>
      </c>
      <c r="B858" s="1" t="s">
        <v>814</v>
      </c>
      <c r="C858" s="1" t="s">
        <v>814</v>
      </c>
      <c r="D858" s="1" t="s">
        <v>814</v>
      </c>
    </row>
    <row r="859" ht="15.75" customHeight="1">
      <c r="A859" s="1" t="s">
        <v>814</v>
      </c>
      <c r="B859" s="1" t="s">
        <v>814</v>
      </c>
      <c r="C859" s="1" t="s">
        <v>814</v>
      </c>
      <c r="D859" s="1" t="s">
        <v>814</v>
      </c>
    </row>
    <row r="860" ht="15.75" customHeight="1">
      <c r="A860" s="1" t="s">
        <v>814</v>
      </c>
      <c r="B860" s="1" t="s">
        <v>814</v>
      </c>
      <c r="C860" s="1" t="s">
        <v>814</v>
      </c>
      <c r="D860" s="1" t="s">
        <v>814</v>
      </c>
    </row>
    <row r="861" ht="15.75" customHeight="1">
      <c r="A861" s="1" t="s">
        <v>814</v>
      </c>
      <c r="B861" s="1" t="s">
        <v>814</v>
      </c>
      <c r="C861" s="1" t="s">
        <v>814</v>
      </c>
      <c r="D861" s="1" t="s">
        <v>814</v>
      </c>
    </row>
    <row r="862" ht="15.75" customHeight="1">
      <c r="A862" s="1" t="s">
        <v>814</v>
      </c>
      <c r="B862" s="1" t="s">
        <v>814</v>
      </c>
      <c r="C862" s="1" t="s">
        <v>814</v>
      </c>
      <c r="D862" s="1" t="s">
        <v>814</v>
      </c>
    </row>
    <row r="863" ht="15.75" customHeight="1">
      <c r="A863" s="1" t="s">
        <v>814</v>
      </c>
      <c r="B863" s="1" t="s">
        <v>814</v>
      </c>
      <c r="C863" s="1" t="s">
        <v>814</v>
      </c>
      <c r="D863" s="1" t="s">
        <v>814</v>
      </c>
    </row>
    <row r="864" ht="15.75" customHeight="1">
      <c r="A864" s="1" t="s">
        <v>814</v>
      </c>
      <c r="B864" s="1" t="s">
        <v>814</v>
      </c>
      <c r="C864" s="1" t="s">
        <v>814</v>
      </c>
      <c r="D864" s="1" t="s">
        <v>814</v>
      </c>
    </row>
    <row r="865" ht="15.75" customHeight="1">
      <c r="A865" s="1" t="s">
        <v>814</v>
      </c>
      <c r="B865" s="1" t="s">
        <v>814</v>
      </c>
      <c r="C865" s="1" t="s">
        <v>814</v>
      </c>
      <c r="D865" s="1" t="s">
        <v>814</v>
      </c>
    </row>
    <row r="866" ht="15.75" customHeight="1">
      <c r="A866" s="1" t="s">
        <v>814</v>
      </c>
      <c r="B866" s="1" t="s">
        <v>814</v>
      </c>
      <c r="C866" s="1" t="s">
        <v>814</v>
      </c>
      <c r="D866" s="1" t="s">
        <v>814</v>
      </c>
    </row>
    <row r="867" ht="15.75" customHeight="1">
      <c r="A867" s="1" t="s">
        <v>814</v>
      </c>
      <c r="B867" s="1" t="s">
        <v>814</v>
      </c>
      <c r="C867" s="1" t="s">
        <v>814</v>
      </c>
      <c r="D867" s="1" t="s">
        <v>814</v>
      </c>
    </row>
    <row r="868" ht="15.75" customHeight="1">
      <c r="A868" s="1" t="s">
        <v>814</v>
      </c>
      <c r="B868" s="1" t="s">
        <v>814</v>
      </c>
      <c r="C868" s="1" t="s">
        <v>814</v>
      </c>
      <c r="D868" s="1" t="s">
        <v>814</v>
      </c>
    </row>
    <row r="869" ht="15.75" customHeight="1">
      <c r="A869" s="1" t="s">
        <v>814</v>
      </c>
      <c r="B869" s="1" t="s">
        <v>814</v>
      </c>
      <c r="C869" s="1" t="s">
        <v>814</v>
      </c>
      <c r="D869" s="1" t="s">
        <v>814</v>
      </c>
    </row>
    <row r="870" ht="15.75" customHeight="1">
      <c r="A870" s="1" t="s">
        <v>814</v>
      </c>
      <c r="B870" s="1" t="s">
        <v>814</v>
      </c>
      <c r="C870" s="1" t="s">
        <v>814</v>
      </c>
      <c r="D870" s="1" t="s">
        <v>814</v>
      </c>
    </row>
    <row r="871" ht="15.75" customHeight="1">
      <c r="A871" s="1" t="s">
        <v>814</v>
      </c>
      <c r="B871" s="1" t="s">
        <v>814</v>
      </c>
      <c r="C871" s="1" t="s">
        <v>814</v>
      </c>
      <c r="D871" s="1" t="s">
        <v>814</v>
      </c>
    </row>
    <row r="872" ht="15.75" customHeight="1">
      <c r="A872" s="1" t="s">
        <v>814</v>
      </c>
      <c r="B872" s="1" t="s">
        <v>814</v>
      </c>
      <c r="C872" s="1" t="s">
        <v>814</v>
      </c>
      <c r="D872" s="1" t="s">
        <v>814</v>
      </c>
    </row>
    <row r="873" ht="15.75" customHeight="1">
      <c r="A873" s="1" t="s">
        <v>814</v>
      </c>
      <c r="B873" s="1" t="s">
        <v>814</v>
      </c>
      <c r="C873" s="1" t="s">
        <v>814</v>
      </c>
      <c r="D873" s="1" t="s">
        <v>814</v>
      </c>
    </row>
    <row r="874" ht="15.75" customHeight="1">
      <c r="A874" s="1" t="s">
        <v>814</v>
      </c>
      <c r="B874" s="1" t="s">
        <v>814</v>
      </c>
      <c r="C874" s="1" t="s">
        <v>814</v>
      </c>
      <c r="D874" s="1" t="s">
        <v>814</v>
      </c>
    </row>
    <row r="875" ht="15.75" customHeight="1">
      <c r="A875" s="1" t="s">
        <v>814</v>
      </c>
      <c r="B875" s="1" t="s">
        <v>814</v>
      </c>
      <c r="C875" s="1" t="s">
        <v>814</v>
      </c>
      <c r="D875" s="1" t="s">
        <v>814</v>
      </c>
    </row>
    <row r="876" ht="15.75" customHeight="1">
      <c r="A876" s="1" t="s">
        <v>814</v>
      </c>
      <c r="B876" s="1" t="s">
        <v>814</v>
      </c>
      <c r="C876" s="1" t="s">
        <v>814</v>
      </c>
      <c r="D876" s="1" t="s">
        <v>814</v>
      </c>
    </row>
    <row r="877" ht="15.75" customHeight="1">
      <c r="A877" s="1" t="s">
        <v>814</v>
      </c>
      <c r="B877" s="1" t="s">
        <v>814</v>
      </c>
      <c r="C877" s="1" t="s">
        <v>814</v>
      </c>
      <c r="D877" s="1" t="s">
        <v>814</v>
      </c>
    </row>
    <row r="878" ht="15.75" customHeight="1">
      <c r="A878" s="1" t="s">
        <v>814</v>
      </c>
      <c r="B878" s="1" t="s">
        <v>814</v>
      </c>
      <c r="C878" s="1" t="s">
        <v>814</v>
      </c>
      <c r="D878" s="1" t="s">
        <v>814</v>
      </c>
    </row>
    <row r="879" ht="15.75" customHeight="1">
      <c r="A879" s="1" t="s">
        <v>814</v>
      </c>
      <c r="B879" s="1" t="s">
        <v>814</v>
      </c>
      <c r="C879" s="1" t="s">
        <v>814</v>
      </c>
      <c r="D879" s="1" t="s">
        <v>814</v>
      </c>
    </row>
    <row r="880" ht="15.75" customHeight="1">
      <c r="A880" s="1" t="s">
        <v>814</v>
      </c>
      <c r="B880" s="1" t="s">
        <v>814</v>
      </c>
      <c r="C880" s="1" t="s">
        <v>814</v>
      </c>
      <c r="D880" s="1" t="s">
        <v>814</v>
      </c>
    </row>
    <row r="881" ht="15.75" customHeight="1">
      <c r="A881" s="1" t="s">
        <v>814</v>
      </c>
      <c r="B881" s="1" t="s">
        <v>814</v>
      </c>
      <c r="C881" s="1" t="s">
        <v>814</v>
      </c>
      <c r="D881" s="1" t="s">
        <v>814</v>
      </c>
    </row>
    <row r="882" ht="15.75" customHeight="1">
      <c r="A882" s="1" t="s">
        <v>814</v>
      </c>
      <c r="B882" s="1" t="s">
        <v>814</v>
      </c>
      <c r="C882" s="1" t="s">
        <v>814</v>
      </c>
      <c r="D882" s="1" t="s">
        <v>814</v>
      </c>
    </row>
    <row r="883" ht="15.75" customHeight="1">
      <c r="A883" s="1" t="s">
        <v>814</v>
      </c>
      <c r="B883" s="1" t="s">
        <v>814</v>
      </c>
      <c r="C883" s="1" t="s">
        <v>814</v>
      </c>
      <c r="D883" s="1" t="s">
        <v>814</v>
      </c>
    </row>
    <row r="884" ht="15.75" customHeight="1">
      <c r="A884" s="1" t="s">
        <v>814</v>
      </c>
      <c r="B884" s="1" t="s">
        <v>814</v>
      </c>
      <c r="C884" s="1" t="s">
        <v>814</v>
      </c>
      <c r="D884" s="1" t="s">
        <v>814</v>
      </c>
    </row>
    <row r="885" ht="15.75" customHeight="1">
      <c r="A885" s="1" t="s">
        <v>814</v>
      </c>
      <c r="B885" s="1" t="s">
        <v>814</v>
      </c>
      <c r="C885" s="1" t="s">
        <v>814</v>
      </c>
      <c r="D885" s="1" t="s">
        <v>814</v>
      </c>
    </row>
    <row r="886" ht="15.75" customHeight="1">
      <c r="A886" s="1" t="s">
        <v>814</v>
      </c>
      <c r="B886" s="1" t="s">
        <v>814</v>
      </c>
      <c r="C886" s="1" t="s">
        <v>814</v>
      </c>
      <c r="D886" s="1" t="s">
        <v>814</v>
      </c>
    </row>
    <row r="887" ht="15.75" customHeight="1">
      <c r="A887" s="1" t="s">
        <v>814</v>
      </c>
      <c r="B887" s="1" t="s">
        <v>814</v>
      </c>
      <c r="C887" s="1" t="s">
        <v>814</v>
      </c>
      <c r="D887" s="1" t="s">
        <v>814</v>
      </c>
    </row>
    <row r="888" ht="15.75" customHeight="1">
      <c r="A888" s="1" t="s">
        <v>814</v>
      </c>
      <c r="B888" s="1" t="s">
        <v>814</v>
      </c>
      <c r="C888" s="1" t="s">
        <v>814</v>
      </c>
      <c r="D888" s="1" t="s">
        <v>814</v>
      </c>
    </row>
    <row r="889" ht="15.75" customHeight="1">
      <c r="A889" s="1" t="s">
        <v>814</v>
      </c>
      <c r="B889" s="1" t="s">
        <v>814</v>
      </c>
      <c r="C889" s="1" t="s">
        <v>814</v>
      </c>
      <c r="D889" s="1" t="s">
        <v>814</v>
      </c>
    </row>
    <row r="890" ht="15.75" customHeight="1">
      <c r="A890" s="1" t="s">
        <v>814</v>
      </c>
      <c r="B890" s="1" t="s">
        <v>814</v>
      </c>
      <c r="C890" s="1" t="s">
        <v>814</v>
      </c>
      <c r="D890" s="1" t="s">
        <v>814</v>
      </c>
    </row>
    <row r="891" ht="15.75" customHeight="1">
      <c r="A891" s="1" t="s">
        <v>814</v>
      </c>
      <c r="B891" s="1" t="s">
        <v>814</v>
      </c>
      <c r="C891" s="1" t="s">
        <v>814</v>
      </c>
      <c r="D891" s="1" t="s">
        <v>814</v>
      </c>
    </row>
    <row r="892" ht="15.75" customHeight="1">
      <c r="A892" s="1" t="s">
        <v>814</v>
      </c>
      <c r="B892" s="1" t="s">
        <v>814</v>
      </c>
      <c r="C892" s="1" t="s">
        <v>814</v>
      </c>
      <c r="D892" s="1" t="s">
        <v>814</v>
      </c>
    </row>
    <row r="893" ht="15.75" customHeight="1">
      <c r="A893" s="1" t="s">
        <v>814</v>
      </c>
      <c r="B893" s="1" t="s">
        <v>814</v>
      </c>
      <c r="C893" s="1" t="s">
        <v>814</v>
      </c>
      <c r="D893" s="1" t="s">
        <v>814</v>
      </c>
    </row>
    <row r="894" ht="15.75" customHeight="1">
      <c r="A894" s="1" t="s">
        <v>814</v>
      </c>
      <c r="B894" s="1" t="s">
        <v>814</v>
      </c>
      <c r="C894" s="1" t="s">
        <v>814</v>
      </c>
      <c r="D894" s="1" t="s">
        <v>814</v>
      </c>
    </row>
    <row r="895" ht="15.75" customHeight="1">
      <c r="A895" s="1" t="s">
        <v>814</v>
      </c>
      <c r="B895" s="1" t="s">
        <v>814</v>
      </c>
      <c r="C895" s="1" t="s">
        <v>814</v>
      </c>
      <c r="D895" s="1" t="s">
        <v>814</v>
      </c>
    </row>
    <row r="896" ht="15.75" customHeight="1">
      <c r="A896" s="1" t="s">
        <v>814</v>
      </c>
      <c r="B896" s="1" t="s">
        <v>814</v>
      </c>
      <c r="C896" s="1" t="s">
        <v>814</v>
      </c>
      <c r="D896" s="1" t="s">
        <v>814</v>
      </c>
    </row>
    <row r="897" ht="15.75" customHeight="1">
      <c r="A897" s="1" t="s">
        <v>814</v>
      </c>
      <c r="B897" s="1" t="s">
        <v>814</v>
      </c>
      <c r="C897" s="1" t="s">
        <v>814</v>
      </c>
      <c r="D897" s="1" t="s">
        <v>814</v>
      </c>
    </row>
    <row r="898" ht="15.75" customHeight="1">
      <c r="A898" s="1" t="s">
        <v>814</v>
      </c>
      <c r="B898" s="1" t="s">
        <v>814</v>
      </c>
      <c r="C898" s="1" t="s">
        <v>814</v>
      </c>
      <c r="D898" s="1" t="s">
        <v>814</v>
      </c>
    </row>
    <row r="899" ht="15.75" customHeight="1">
      <c r="A899" s="1" t="s">
        <v>814</v>
      </c>
      <c r="B899" s="1" t="s">
        <v>814</v>
      </c>
      <c r="C899" s="1" t="s">
        <v>814</v>
      </c>
      <c r="D899" s="1" t="s">
        <v>814</v>
      </c>
    </row>
    <row r="900" ht="15.75" customHeight="1">
      <c r="A900" s="1" t="s">
        <v>814</v>
      </c>
      <c r="B900" s="1" t="s">
        <v>814</v>
      </c>
      <c r="C900" s="1" t="s">
        <v>814</v>
      </c>
      <c r="D900" s="1" t="s">
        <v>814</v>
      </c>
    </row>
    <row r="901" ht="15.75" customHeight="1">
      <c r="A901" s="1" t="s">
        <v>814</v>
      </c>
      <c r="B901" s="1" t="s">
        <v>814</v>
      </c>
      <c r="C901" s="1" t="s">
        <v>814</v>
      </c>
      <c r="D901" s="1" t="s">
        <v>814</v>
      </c>
    </row>
    <row r="902" ht="15.75" customHeight="1">
      <c r="A902" s="1" t="s">
        <v>814</v>
      </c>
      <c r="B902" s="1" t="s">
        <v>814</v>
      </c>
      <c r="C902" s="1" t="s">
        <v>814</v>
      </c>
      <c r="D902" s="1" t="s">
        <v>814</v>
      </c>
    </row>
    <row r="903" ht="15.75" customHeight="1">
      <c r="A903" s="1" t="s">
        <v>814</v>
      </c>
      <c r="B903" s="1" t="s">
        <v>814</v>
      </c>
      <c r="C903" s="1" t="s">
        <v>814</v>
      </c>
      <c r="D903" s="1" t="s">
        <v>814</v>
      </c>
    </row>
    <row r="904" ht="15.75" customHeight="1">
      <c r="A904" s="1" t="s">
        <v>814</v>
      </c>
      <c r="B904" s="1" t="s">
        <v>814</v>
      </c>
      <c r="C904" s="1" t="s">
        <v>814</v>
      </c>
      <c r="D904" s="1" t="s">
        <v>814</v>
      </c>
    </row>
    <row r="905" ht="15.75" customHeight="1">
      <c r="A905" s="1" t="s">
        <v>814</v>
      </c>
      <c r="B905" s="1" t="s">
        <v>814</v>
      </c>
      <c r="C905" s="1" t="s">
        <v>814</v>
      </c>
      <c r="D905" s="1" t="s">
        <v>814</v>
      </c>
    </row>
    <row r="906" ht="15.75" customHeight="1">
      <c r="A906" s="1" t="s">
        <v>814</v>
      </c>
      <c r="B906" s="1" t="s">
        <v>814</v>
      </c>
      <c r="C906" s="1" t="s">
        <v>814</v>
      </c>
      <c r="D906" s="1" t="s">
        <v>814</v>
      </c>
    </row>
    <row r="907" ht="15.75" customHeight="1">
      <c r="A907" s="1" t="s">
        <v>814</v>
      </c>
      <c r="B907" s="1" t="s">
        <v>814</v>
      </c>
      <c r="C907" s="1" t="s">
        <v>814</v>
      </c>
      <c r="D907" s="1" t="s">
        <v>814</v>
      </c>
    </row>
    <row r="908" ht="15.75" customHeight="1">
      <c r="A908" s="1" t="s">
        <v>814</v>
      </c>
      <c r="B908" s="1" t="s">
        <v>814</v>
      </c>
      <c r="C908" s="1" t="s">
        <v>814</v>
      </c>
      <c r="D908" s="1" t="s">
        <v>814</v>
      </c>
    </row>
    <row r="909" ht="15.75" customHeight="1">
      <c r="A909" s="1" t="s">
        <v>814</v>
      </c>
      <c r="B909" s="1" t="s">
        <v>814</v>
      </c>
      <c r="C909" s="1" t="s">
        <v>814</v>
      </c>
      <c r="D909" s="1" t="s">
        <v>814</v>
      </c>
    </row>
    <row r="910" ht="15.75" customHeight="1">
      <c r="A910" s="1" t="s">
        <v>814</v>
      </c>
      <c r="B910" s="1" t="s">
        <v>814</v>
      </c>
      <c r="C910" s="1" t="s">
        <v>814</v>
      </c>
      <c r="D910" s="1" t="s">
        <v>814</v>
      </c>
    </row>
    <row r="911" ht="15.75" customHeight="1">
      <c r="A911" s="1" t="s">
        <v>814</v>
      </c>
      <c r="B911" s="1" t="s">
        <v>814</v>
      </c>
      <c r="C911" s="1" t="s">
        <v>814</v>
      </c>
      <c r="D911" s="1" t="s">
        <v>814</v>
      </c>
    </row>
    <row r="912" ht="15.75" customHeight="1">
      <c r="A912" s="1" t="s">
        <v>814</v>
      </c>
      <c r="B912" s="1" t="s">
        <v>814</v>
      </c>
      <c r="C912" s="1" t="s">
        <v>814</v>
      </c>
      <c r="D912" s="1" t="s">
        <v>814</v>
      </c>
    </row>
    <row r="913" ht="15.75" customHeight="1">
      <c r="A913" s="1" t="s">
        <v>814</v>
      </c>
      <c r="B913" s="1" t="s">
        <v>814</v>
      </c>
      <c r="C913" s="1" t="s">
        <v>814</v>
      </c>
      <c r="D913" s="1" t="s">
        <v>814</v>
      </c>
    </row>
    <row r="914" ht="15.75" customHeight="1">
      <c r="A914" s="1" t="s">
        <v>814</v>
      </c>
      <c r="B914" s="1" t="s">
        <v>814</v>
      </c>
      <c r="C914" s="1" t="s">
        <v>814</v>
      </c>
      <c r="D914" s="1" t="s">
        <v>814</v>
      </c>
    </row>
    <row r="915" ht="15.75" customHeight="1">
      <c r="A915" s="1" t="s">
        <v>814</v>
      </c>
      <c r="B915" s="1" t="s">
        <v>814</v>
      </c>
      <c r="C915" s="1" t="s">
        <v>814</v>
      </c>
      <c r="D915" s="1" t="s">
        <v>814</v>
      </c>
    </row>
    <row r="916" ht="15.75" customHeight="1">
      <c r="A916" s="1" t="s">
        <v>814</v>
      </c>
      <c r="B916" s="1" t="s">
        <v>814</v>
      </c>
      <c r="C916" s="1" t="s">
        <v>814</v>
      </c>
      <c r="D916" s="1" t="s">
        <v>814</v>
      </c>
    </row>
    <row r="917" ht="15.75" customHeight="1">
      <c r="A917" s="1" t="s">
        <v>814</v>
      </c>
      <c r="B917" s="1" t="s">
        <v>814</v>
      </c>
      <c r="C917" s="1" t="s">
        <v>814</v>
      </c>
      <c r="D917" s="1" t="s">
        <v>814</v>
      </c>
    </row>
    <row r="918" ht="15.75" customHeight="1">
      <c r="A918" s="1" t="s">
        <v>814</v>
      </c>
      <c r="B918" s="1" t="s">
        <v>814</v>
      </c>
      <c r="C918" s="1" t="s">
        <v>814</v>
      </c>
      <c r="D918" s="1" t="s">
        <v>814</v>
      </c>
    </row>
    <row r="919" ht="15.75" customHeight="1">
      <c r="A919" s="1" t="s">
        <v>814</v>
      </c>
      <c r="B919" s="1" t="s">
        <v>814</v>
      </c>
      <c r="C919" s="1" t="s">
        <v>814</v>
      </c>
      <c r="D919" s="1" t="s">
        <v>814</v>
      </c>
    </row>
    <row r="920" ht="15.75" customHeight="1">
      <c r="A920" s="1" t="s">
        <v>814</v>
      </c>
      <c r="B920" s="1" t="s">
        <v>814</v>
      </c>
      <c r="C920" s="1" t="s">
        <v>814</v>
      </c>
      <c r="D920" s="1" t="s">
        <v>814</v>
      </c>
    </row>
    <row r="921" ht="15.75" customHeight="1">
      <c r="A921" s="1" t="s">
        <v>814</v>
      </c>
      <c r="B921" s="1" t="s">
        <v>814</v>
      </c>
      <c r="C921" s="1" t="s">
        <v>814</v>
      </c>
      <c r="D921" s="1" t="s">
        <v>814</v>
      </c>
    </row>
    <row r="922" ht="15.75" customHeight="1">
      <c r="A922" s="1" t="s">
        <v>814</v>
      </c>
      <c r="B922" s="1" t="s">
        <v>814</v>
      </c>
      <c r="C922" s="1" t="s">
        <v>814</v>
      </c>
      <c r="D922" s="1" t="s">
        <v>814</v>
      </c>
    </row>
    <row r="923" ht="15.75" customHeight="1">
      <c r="A923" s="1" t="s">
        <v>814</v>
      </c>
      <c r="B923" s="1" t="s">
        <v>814</v>
      </c>
      <c r="C923" s="1" t="s">
        <v>814</v>
      </c>
      <c r="D923" s="1" t="s">
        <v>814</v>
      </c>
    </row>
    <row r="924" ht="15.75" customHeight="1">
      <c r="A924" s="1" t="s">
        <v>814</v>
      </c>
      <c r="B924" s="1" t="s">
        <v>814</v>
      </c>
      <c r="C924" s="1" t="s">
        <v>814</v>
      </c>
      <c r="D924" s="1" t="s">
        <v>814</v>
      </c>
    </row>
    <row r="925" ht="15.75" customHeight="1">
      <c r="A925" s="1" t="s">
        <v>814</v>
      </c>
      <c r="B925" s="1" t="s">
        <v>814</v>
      </c>
      <c r="C925" s="1" t="s">
        <v>814</v>
      </c>
      <c r="D925" s="1" t="s">
        <v>814</v>
      </c>
    </row>
    <row r="926" ht="15.75" customHeight="1">
      <c r="A926" s="1" t="s">
        <v>814</v>
      </c>
      <c r="B926" s="1" t="s">
        <v>814</v>
      </c>
      <c r="C926" s="1" t="s">
        <v>814</v>
      </c>
      <c r="D926" s="1" t="s">
        <v>814</v>
      </c>
    </row>
    <row r="927" ht="15.75" customHeight="1">
      <c r="A927" s="1" t="s">
        <v>814</v>
      </c>
      <c r="B927" s="1" t="s">
        <v>814</v>
      </c>
      <c r="C927" s="1" t="s">
        <v>814</v>
      </c>
      <c r="D927" s="1" t="s">
        <v>814</v>
      </c>
    </row>
    <row r="928" ht="15.75" customHeight="1">
      <c r="A928" s="1" t="s">
        <v>814</v>
      </c>
      <c r="B928" s="1" t="s">
        <v>814</v>
      </c>
      <c r="C928" s="1" t="s">
        <v>814</v>
      </c>
      <c r="D928" s="1" t="s">
        <v>814</v>
      </c>
    </row>
    <row r="929" ht="15.75" customHeight="1">
      <c r="A929" s="1" t="s">
        <v>814</v>
      </c>
      <c r="B929" s="1" t="s">
        <v>814</v>
      </c>
      <c r="C929" s="1" t="s">
        <v>814</v>
      </c>
      <c r="D929" s="1" t="s">
        <v>814</v>
      </c>
    </row>
    <row r="930" ht="15.75" customHeight="1">
      <c r="A930" s="1" t="s">
        <v>814</v>
      </c>
      <c r="B930" s="1" t="s">
        <v>814</v>
      </c>
      <c r="C930" s="1" t="s">
        <v>814</v>
      </c>
      <c r="D930" s="1" t="s">
        <v>814</v>
      </c>
    </row>
    <row r="931" ht="15.75" customHeight="1">
      <c r="A931" s="1" t="s">
        <v>814</v>
      </c>
      <c r="B931" s="1" t="s">
        <v>814</v>
      </c>
      <c r="C931" s="1" t="s">
        <v>814</v>
      </c>
      <c r="D931" s="1" t="s">
        <v>814</v>
      </c>
    </row>
    <row r="932" ht="15.75" customHeight="1">
      <c r="A932" s="1" t="s">
        <v>814</v>
      </c>
      <c r="B932" s="1" t="s">
        <v>814</v>
      </c>
      <c r="C932" s="1" t="s">
        <v>814</v>
      </c>
      <c r="D932" s="1" t="s">
        <v>814</v>
      </c>
    </row>
    <row r="933" ht="15.75" customHeight="1">
      <c r="A933" s="1" t="s">
        <v>814</v>
      </c>
      <c r="B933" s="1" t="s">
        <v>814</v>
      </c>
      <c r="C933" s="1" t="s">
        <v>814</v>
      </c>
      <c r="D933" s="1" t="s">
        <v>814</v>
      </c>
    </row>
    <row r="934" ht="15.75" customHeight="1">
      <c r="A934" s="1" t="s">
        <v>814</v>
      </c>
      <c r="B934" s="1" t="s">
        <v>814</v>
      </c>
      <c r="C934" s="1" t="s">
        <v>814</v>
      </c>
      <c r="D934" s="1" t="s">
        <v>814</v>
      </c>
    </row>
    <row r="935" ht="15.75" customHeight="1">
      <c r="A935" s="1" t="s">
        <v>814</v>
      </c>
      <c r="B935" s="1" t="s">
        <v>814</v>
      </c>
      <c r="C935" s="1" t="s">
        <v>814</v>
      </c>
      <c r="D935" s="1" t="s">
        <v>814</v>
      </c>
    </row>
    <row r="936" ht="15.75" customHeight="1">
      <c r="A936" s="1" t="s">
        <v>814</v>
      </c>
      <c r="B936" s="1" t="s">
        <v>814</v>
      </c>
      <c r="C936" s="1" t="s">
        <v>814</v>
      </c>
      <c r="D936" s="1" t="s">
        <v>814</v>
      </c>
    </row>
    <row r="937" ht="15.75" customHeight="1">
      <c r="A937" s="1" t="s">
        <v>814</v>
      </c>
      <c r="B937" s="1" t="s">
        <v>814</v>
      </c>
      <c r="C937" s="1" t="s">
        <v>814</v>
      </c>
      <c r="D937" s="1" t="s">
        <v>814</v>
      </c>
    </row>
    <row r="938" ht="15.75" customHeight="1">
      <c r="A938" s="1" t="s">
        <v>814</v>
      </c>
      <c r="B938" s="1" t="s">
        <v>814</v>
      </c>
      <c r="C938" s="1" t="s">
        <v>814</v>
      </c>
      <c r="D938" s="1" t="s">
        <v>814</v>
      </c>
    </row>
    <row r="939" ht="15.75" customHeight="1">
      <c r="A939" s="1" t="s">
        <v>814</v>
      </c>
      <c r="B939" s="1" t="s">
        <v>814</v>
      </c>
      <c r="C939" s="1" t="s">
        <v>814</v>
      </c>
      <c r="D939" s="1" t="s">
        <v>814</v>
      </c>
    </row>
    <row r="940" ht="15.75" customHeight="1">
      <c r="A940" s="1" t="s">
        <v>814</v>
      </c>
      <c r="B940" s="1" t="s">
        <v>814</v>
      </c>
      <c r="C940" s="1" t="s">
        <v>814</v>
      </c>
      <c r="D940" s="1" t="s">
        <v>814</v>
      </c>
    </row>
    <row r="941" ht="15.75" customHeight="1">
      <c r="A941" s="1" t="s">
        <v>814</v>
      </c>
      <c r="B941" s="1" t="s">
        <v>814</v>
      </c>
      <c r="C941" s="1" t="s">
        <v>814</v>
      </c>
      <c r="D941" s="1" t="s">
        <v>814</v>
      </c>
    </row>
    <row r="942" ht="15.75" customHeight="1">
      <c r="A942" s="1" t="s">
        <v>814</v>
      </c>
      <c r="B942" s="1" t="s">
        <v>814</v>
      </c>
      <c r="C942" s="1" t="s">
        <v>814</v>
      </c>
      <c r="D942" s="1" t="s">
        <v>814</v>
      </c>
    </row>
    <row r="943" ht="15.75" customHeight="1">
      <c r="A943" s="1" t="s">
        <v>814</v>
      </c>
      <c r="B943" s="1" t="s">
        <v>814</v>
      </c>
      <c r="C943" s="1" t="s">
        <v>814</v>
      </c>
      <c r="D943" s="1" t="s">
        <v>814</v>
      </c>
    </row>
    <row r="944" ht="15.75" customHeight="1">
      <c r="A944" s="1" t="s">
        <v>814</v>
      </c>
      <c r="B944" s="1" t="s">
        <v>814</v>
      </c>
      <c r="C944" s="1" t="s">
        <v>814</v>
      </c>
      <c r="D944" s="1" t="s">
        <v>814</v>
      </c>
    </row>
    <row r="945" ht="15.75" customHeight="1">
      <c r="A945" s="1" t="s">
        <v>814</v>
      </c>
      <c r="B945" s="1" t="s">
        <v>814</v>
      </c>
      <c r="C945" s="1" t="s">
        <v>814</v>
      </c>
      <c r="D945" s="1" t="s">
        <v>814</v>
      </c>
    </row>
    <row r="946" ht="15.75" customHeight="1">
      <c r="A946" s="1" t="s">
        <v>814</v>
      </c>
      <c r="B946" s="1" t="s">
        <v>814</v>
      </c>
      <c r="C946" s="1" t="s">
        <v>814</v>
      </c>
      <c r="D946" s="1" t="s">
        <v>814</v>
      </c>
    </row>
    <row r="947" ht="15.75" customHeight="1">
      <c r="A947" s="1" t="s">
        <v>814</v>
      </c>
      <c r="B947" s="1" t="s">
        <v>814</v>
      </c>
      <c r="C947" s="1" t="s">
        <v>814</v>
      </c>
      <c r="D947" s="1" t="s">
        <v>814</v>
      </c>
    </row>
    <row r="948" ht="15.75" customHeight="1">
      <c r="A948" s="1" t="s">
        <v>814</v>
      </c>
      <c r="B948" s="1" t="s">
        <v>814</v>
      </c>
      <c r="C948" s="1" t="s">
        <v>814</v>
      </c>
      <c r="D948" s="1" t="s">
        <v>814</v>
      </c>
    </row>
    <row r="949" ht="15.75" customHeight="1">
      <c r="A949" s="1" t="s">
        <v>814</v>
      </c>
      <c r="B949" s="1" t="s">
        <v>814</v>
      </c>
      <c r="C949" s="1" t="s">
        <v>814</v>
      </c>
      <c r="D949" s="1" t="s">
        <v>814</v>
      </c>
    </row>
    <row r="950" ht="15.75" customHeight="1">
      <c r="A950" s="1" t="s">
        <v>814</v>
      </c>
      <c r="B950" s="1" t="s">
        <v>814</v>
      </c>
      <c r="C950" s="1" t="s">
        <v>814</v>
      </c>
      <c r="D950" s="1" t="s">
        <v>814</v>
      </c>
    </row>
    <row r="951" ht="15.75" customHeight="1">
      <c r="A951" s="1" t="s">
        <v>814</v>
      </c>
      <c r="B951" s="1" t="s">
        <v>814</v>
      </c>
      <c r="C951" s="1" t="s">
        <v>814</v>
      </c>
      <c r="D951" s="1" t="s">
        <v>814</v>
      </c>
    </row>
    <row r="952" ht="15.75" customHeight="1">
      <c r="A952" s="1" t="s">
        <v>814</v>
      </c>
      <c r="B952" s="1" t="s">
        <v>814</v>
      </c>
      <c r="C952" s="1" t="s">
        <v>814</v>
      </c>
      <c r="D952" s="1" t="s">
        <v>814</v>
      </c>
    </row>
    <row r="953" ht="15.75" customHeight="1">
      <c r="A953" s="1" t="s">
        <v>814</v>
      </c>
      <c r="B953" s="1" t="s">
        <v>814</v>
      </c>
      <c r="C953" s="1" t="s">
        <v>814</v>
      </c>
      <c r="D953" s="1" t="s">
        <v>814</v>
      </c>
    </row>
    <row r="954" ht="15.75" customHeight="1">
      <c r="A954" s="1" t="s">
        <v>814</v>
      </c>
      <c r="B954" s="1" t="s">
        <v>814</v>
      </c>
      <c r="C954" s="1" t="s">
        <v>814</v>
      </c>
      <c r="D954" s="1" t="s">
        <v>814</v>
      </c>
    </row>
    <row r="955" ht="15.75" customHeight="1">
      <c r="A955" s="1" t="s">
        <v>814</v>
      </c>
      <c r="B955" s="1" t="s">
        <v>814</v>
      </c>
      <c r="C955" s="1" t="s">
        <v>814</v>
      </c>
      <c r="D955" s="1" t="s">
        <v>814</v>
      </c>
    </row>
    <row r="956" ht="15.75" customHeight="1">
      <c r="A956" s="1" t="s">
        <v>814</v>
      </c>
      <c r="B956" s="1" t="s">
        <v>814</v>
      </c>
      <c r="C956" s="1" t="s">
        <v>814</v>
      </c>
      <c r="D956" s="1" t="s">
        <v>814</v>
      </c>
    </row>
    <row r="957" ht="15.75" customHeight="1">
      <c r="A957" s="1" t="s">
        <v>814</v>
      </c>
      <c r="B957" s="1" t="s">
        <v>814</v>
      </c>
      <c r="C957" s="1" t="s">
        <v>814</v>
      </c>
      <c r="D957" s="1" t="s">
        <v>814</v>
      </c>
    </row>
    <row r="958" ht="15.75" customHeight="1">
      <c r="A958" s="1" t="s">
        <v>814</v>
      </c>
      <c r="B958" s="1" t="s">
        <v>814</v>
      </c>
      <c r="C958" s="1" t="s">
        <v>814</v>
      </c>
      <c r="D958" s="1" t="s">
        <v>814</v>
      </c>
    </row>
    <row r="959" ht="15.75" customHeight="1">
      <c r="A959" s="1" t="s">
        <v>814</v>
      </c>
      <c r="B959" s="1" t="s">
        <v>814</v>
      </c>
      <c r="C959" s="1" t="s">
        <v>814</v>
      </c>
      <c r="D959" s="1" t="s">
        <v>814</v>
      </c>
    </row>
    <row r="960" ht="15.75" customHeight="1">
      <c r="A960" s="1" t="s">
        <v>814</v>
      </c>
      <c r="B960" s="1" t="s">
        <v>814</v>
      </c>
      <c r="C960" s="1" t="s">
        <v>814</v>
      </c>
      <c r="D960" s="1" t="s">
        <v>814</v>
      </c>
    </row>
    <row r="961" ht="15.75" customHeight="1">
      <c r="A961" s="1" t="s">
        <v>814</v>
      </c>
      <c r="B961" s="1" t="s">
        <v>814</v>
      </c>
      <c r="C961" s="1" t="s">
        <v>814</v>
      </c>
      <c r="D961" s="1" t="s">
        <v>814</v>
      </c>
    </row>
    <row r="962" ht="15.75" customHeight="1">
      <c r="A962" s="1" t="s">
        <v>814</v>
      </c>
      <c r="B962" s="1" t="s">
        <v>814</v>
      </c>
      <c r="C962" s="1" t="s">
        <v>814</v>
      </c>
      <c r="D962" s="1" t="s">
        <v>814</v>
      </c>
    </row>
    <row r="963" ht="15.75" customHeight="1">
      <c r="A963" s="1" t="s">
        <v>814</v>
      </c>
      <c r="B963" s="1" t="s">
        <v>814</v>
      </c>
      <c r="C963" s="1" t="s">
        <v>814</v>
      </c>
      <c r="D963" s="1" t="s">
        <v>814</v>
      </c>
    </row>
    <row r="964" ht="15.75" customHeight="1">
      <c r="A964" s="1" t="s">
        <v>814</v>
      </c>
      <c r="B964" s="1" t="s">
        <v>814</v>
      </c>
      <c r="C964" s="1" t="s">
        <v>814</v>
      </c>
      <c r="D964" s="1" t="s">
        <v>814</v>
      </c>
    </row>
    <row r="965" ht="15.75" customHeight="1">
      <c r="A965" s="1" t="s">
        <v>814</v>
      </c>
      <c r="B965" s="1" t="s">
        <v>814</v>
      </c>
      <c r="C965" s="1" t="s">
        <v>814</v>
      </c>
      <c r="D965" s="1" t="s">
        <v>814</v>
      </c>
    </row>
    <row r="966" ht="15.75" customHeight="1">
      <c r="A966" s="1" t="s">
        <v>814</v>
      </c>
      <c r="B966" s="1" t="s">
        <v>814</v>
      </c>
      <c r="C966" s="1" t="s">
        <v>814</v>
      </c>
      <c r="D966" s="1" t="s">
        <v>814</v>
      </c>
    </row>
    <row r="967" ht="15.75" customHeight="1">
      <c r="A967" s="1" t="s">
        <v>814</v>
      </c>
      <c r="B967" s="1" t="s">
        <v>814</v>
      </c>
      <c r="C967" s="1" t="s">
        <v>814</v>
      </c>
      <c r="D967" s="1" t="s">
        <v>814</v>
      </c>
    </row>
    <row r="968" ht="15.75" customHeight="1">
      <c r="A968" s="1" t="s">
        <v>814</v>
      </c>
      <c r="B968" s="1" t="s">
        <v>814</v>
      </c>
      <c r="C968" s="1" t="s">
        <v>814</v>
      </c>
      <c r="D968" s="1" t="s">
        <v>814</v>
      </c>
    </row>
    <row r="969" ht="15.75" customHeight="1">
      <c r="A969" s="1" t="s">
        <v>814</v>
      </c>
      <c r="B969" s="1" t="s">
        <v>814</v>
      </c>
      <c r="C969" s="1" t="s">
        <v>814</v>
      </c>
      <c r="D969" s="1" t="s">
        <v>814</v>
      </c>
    </row>
    <row r="970" ht="15.75" customHeight="1">
      <c r="A970" s="1" t="s">
        <v>814</v>
      </c>
      <c r="B970" s="1" t="s">
        <v>814</v>
      </c>
      <c r="C970" s="1" t="s">
        <v>814</v>
      </c>
      <c r="D970" s="1" t="s">
        <v>814</v>
      </c>
    </row>
    <row r="971" ht="15.75" customHeight="1">
      <c r="A971" s="1" t="s">
        <v>814</v>
      </c>
      <c r="B971" s="1" t="s">
        <v>814</v>
      </c>
      <c r="C971" s="1" t="s">
        <v>814</v>
      </c>
      <c r="D971" s="1" t="s">
        <v>814</v>
      </c>
    </row>
    <row r="972" ht="15.75" customHeight="1">
      <c r="A972" s="1" t="s">
        <v>814</v>
      </c>
      <c r="B972" s="1" t="s">
        <v>814</v>
      </c>
      <c r="C972" s="1" t="s">
        <v>814</v>
      </c>
      <c r="D972" s="1" t="s">
        <v>814</v>
      </c>
    </row>
    <row r="973" ht="15.75" customHeight="1">
      <c r="A973" s="1" t="s">
        <v>814</v>
      </c>
      <c r="B973" s="1" t="s">
        <v>814</v>
      </c>
      <c r="C973" s="1" t="s">
        <v>814</v>
      </c>
      <c r="D973" s="1" t="s">
        <v>814</v>
      </c>
    </row>
    <row r="974" ht="15.75" customHeight="1">
      <c r="A974" s="1" t="s">
        <v>814</v>
      </c>
      <c r="B974" s="1" t="s">
        <v>814</v>
      </c>
      <c r="C974" s="1" t="s">
        <v>814</v>
      </c>
      <c r="D974" s="1" t="s">
        <v>814</v>
      </c>
    </row>
    <row r="975" ht="15.75" customHeight="1">
      <c r="A975" s="1" t="s">
        <v>814</v>
      </c>
      <c r="B975" s="1" t="s">
        <v>814</v>
      </c>
      <c r="C975" s="1" t="s">
        <v>814</v>
      </c>
      <c r="D975" s="1" t="s">
        <v>814</v>
      </c>
    </row>
    <row r="976" ht="15.75" customHeight="1">
      <c r="A976" s="1" t="s">
        <v>814</v>
      </c>
      <c r="B976" s="1" t="s">
        <v>814</v>
      </c>
      <c r="C976" s="1" t="s">
        <v>814</v>
      </c>
      <c r="D976" s="1" t="s">
        <v>814</v>
      </c>
    </row>
    <row r="977" ht="15.75" customHeight="1">
      <c r="A977" s="1" t="s">
        <v>814</v>
      </c>
      <c r="B977" s="1" t="s">
        <v>814</v>
      </c>
      <c r="C977" s="1" t="s">
        <v>814</v>
      </c>
      <c r="D977" s="1" t="s">
        <v>814</v>
      </c>
    </row>
    <row r="978" ht="15.75" customHeight="1">
      <c r="A978" s="1" t="s">
        <v>814</v>
      </c>
      <c r="B978" s="1" t="s">
        <v>814</v>
      </c>
      <c r="C978" s="1" t="s">
        <v>814</v>
      </c>
      <c r="D978" s="1" t="s">
        <v>814</v>
      </c>
    </row>
    <row r="979" ht="15.75" customHeight="1">
      <c r="A979" s="1" t="s">
        <v>814</v>
      </c>
      <c r="B979" s="1" t="s">
        <v>814</v>
      </c>
      <c r="C979" s="1" t="s">
        <v>814</v>
      </c>
      <c r="D979" s="1" t="s">
        <v>814</v>
      </c>
    </row>
    <row r="980" ht="15.75" customHeight="1">
      <c r="A980" s="1" t="s">
        <v>814</v>
      </c>
      <c r="B980" s="1" t="s">
        <v>814</v>
      </c>
      <c r="C980" s="1" t="s">
        <v>814</v>
      </c>
      <c r="D980" s="1" t="s">
        <v>814</v>
      </c>
    </row>
    <row r="981" ht="15.75" customHeight="1">
      <c r="A981" s="1" t="s">
        <v>814</v>
      </c>
      <c r="B981" s="1" t="s">
        <v>814</v>
      </c>
      <c r="C981" s="1" t="s">
        <v>814</v>
      </c>
      <c r="D981" s="1" t="s">
        <v>814</v>
      </c>
    </row>
    <row r="982" ht="15.75" customHeight="1">
      <c r="A982" s="1" t="s">
        <v>814</v>
      </c>
      <c r="B982" s="1" t="s">
        <v>814</v>
      </c>
      <c r="C982" s="1" t="s">
        <v>814</v>
      </c>
      <c r="D982" s="1" t="s">
        <v>814</v>
      </c>
    </row>
    <row r="983" ht="15.75" customHeight="1">
      <c r="A983" s="1" t="s">
        <v>814</v>
      </c>
      <c r="B983" s="1" t="s">
        <v>814</v>
      </c>
      <c r="C983" s="1" t="s">
        <v>814</v>
      </c>
      <c r="D983" s="1" t="s">
        <v>814</v>
      </c>
    </row>
    <row r="984" ht="15.75" customHeight="1">
      <c r="A984" s="1" t="s">
        <v>814</v>
      </c>
      <c r="B984" s="1" t="s">
        <v>814</v>
      </c>
      <c r="C984" s="1" t="s">
        <v>814</v>
      </c>
      <c r="D984" s="1" t="s">
        <v>814</v>
      </c>
    </row>
    <row r="985" ht="15.75" customHeight="1">
      <c r="A985" s="1" t="s">
        <v>814</v>
      </c>
      <c r="B985" s="1" t="s">
        <v>814</v>
      </c>
      <c r="C985" s="1" t="s">
        <v>814</v>
      </c>
      <c r="D985" s="1" t="s">
        <v>814</v>
      </c>
    </row>
    <row r="986" ht="15.75" customHeight="1">
      <c r="A986" s="1" t="s">
        <v>814</v>
      </c>
      <c r="B986" s="1" t="s">
        <v>814</v>
      </c>
      <c r="C986" s="1" t="s">
        <v>814</v>
      </c>
      <c r="D986" s="1" t="s">
        <v>814</v>
      </c>
    </row>
    <row r="987" ht="15.75" customHeight="1">
      <c r="A987" s="1" t="s">
        <v>814</v>
      </c>
      <c r="B987" s="1" t="s">
        <v>814</v>
      </c>
      <c r="C987" s="1" t="s">
        <v>814</v>
      </c>
      <c r="D987" s="1" t="s">
        <v>814</v>
      </c>
    </row>
    <row r="988" ht="15.75" customHeight="1">
      <c r="A988" s="1" t="s">
        <v>814</v>
      </c>
      <c r="B988" s="1" t="s">
        <v>814</v>
      </c>
      <c r="C988" s="1" t="s">
        <v>814</v>
      </c>
      <c r="D988" s="1" t="s">
        <v>814</v>
      </c>
    </row>
    <row r="989" ht="15.75" customHeight="1">
      <c r="A989" s="1" t="s">
        <v>814</v>
      </c>
      <c r="B989" s="1" t="s">
        <v>814</v>
      </c>
      <c r="C989" s="1" t="s">
        <v>814</v>
      </c>
      <c r="D989" s="1" t="s">
        <v>814</v>
      </c>
    </row>
    <row r="990" ht="15.75" customHeight="1">
      <c r="A990" s="1" t="s">
        <v>814</v>
      </c>
      <c r="B990" s="1" t="s">
        <v>814</v>
      </c>
      <c r="C990" s="1" t="s">
        <v>814</v>
      </c>
      <c r="D990" s="1" t="s">
        <v>814</v>
      </c>
    </row>
    <row r="991" ht="15.75" customHeight="1">
      <c r="A991" s="1" t="s">
        <v>814</v>
      </c>
      <c r="B991" s="1" t="s">
        <v>814</v>
      </c>
      <c r="C991" s="1" t="s">
        <v>814</v>
      </c>
      <c r="D991" s="1" t="s">
        <v>814</v>
      </c>
    </row>
    <row r="992" ht="15.75" customHeight="1">
      <c r="A992" s="1" t="s">
        <v>814</v>
      </c>
      <c r="B992" s="1" t="s">
        <v>814</v>
      </c>
      <c r="C992" s="1" t="s">
        <v>814</v>
      </c>
      <c r="D992" s="1" t="s">
        <v>814</v>
      </c>
    </row>
    <row r="993" ht="15.75" customHeight="1">
      <c r="A993" s="1" t="s">
        <v>814</v>
      </c>
      <c r="B993" s="1" t="s">
        <v>814</v>
      </c>
      <c r="C993" s="1" t="s">
        <v>814</v>
      </c>
      <c r="D993" s="1" t="s">
        <v>814</v>
      </c>
    </row>
    <row r="994" ht="15.75" customHeight="1">
      <c r="A994" s="1" t="s">
        <v>814</v>
      </c>
      <c r="B994" s="1" t="s">
        <v>814</v>
      </c>
      <c r="C994" s="1" t="s">
        <v>814</v>
      </c>
      <c r="D994" s="1" t="s">
        <v>814</v>
      </c>
    </row>
    <row r="995" ht="15.75" customHeight="1">
      <c r="A995" s="1" t="s">
        <v>814</v>
      </c>
      <c r="B995" s="1" t="s">
        <v>814</v>
      </c>
      <c r="C995" s="1" t="s">
        <v>814</v>
      </c>
      <c r="D995" s="1" t="s">
        <v>814</v>
      </c>
    </row>
    <row r="996" ht="15.75" customHeight="1">
      <c r="A996" s="1" t="s">
        <v>814</v>
      </c>
      <c r="B996" s="1" t="s">
        <v>814</v>
      </c>
      <c r="C996" s="1" t="s">
        <v>814</v>
      </c>
      <c r="D996" s="1" t="s">
        <v>814</v>
      </c>
    </row>
    <row r="997" ht="15.75" customHeight="1">
      <c r="A997" s="1" t="s">
        <v>814</v>
      </c>
      <c r="B997" s="1" t="s">
        <v>814</v>
      </c>
      <c r="C997" s="1" t="s">
        <v>814</v>
      </c>
      <c r="D997" s="1" t="s">
        <v>814</v>
      </c>
    </row>
    <row r="998" ht="15.75" customHeight="1">
      <c r="A998" s="1" t="s">
        <v>814</v>
      </c>
      <c r="B998" s="1" t="s">
        <v>814</v>
      </c>
      <c r="C998" s="1" t="s">
        <v>814</v>
      </c>
      <c r="D998" s="1" t="s">
        <v>814</v>
      </c>
    </row>
    <row r="999" ht="15.75" customHeight="1">
      <c r="A999" s="1" t="s">
        <v>814</v>
      </c>
      <c r="B999" s="1" t="s">
        <v>814</v>
      </c>
      <c r="C999" s="1" t="s">
        <v>814</v>
      </c>
      <c r="D999" s="1" t="s">
        <v>814</v>
      </c>
    </row>
    <row r="1000" ht="15.75" customHeight="1">
      <c r="A1000" s="1" t="s">
        <v>814</v>
      </c>
      <c r="B1000" s="1" t="s">
        <v>814</v>
      </c>
      <c r="C1000" s="1" t="s">
        <v>814</v>
      </c>
      <c r="D1000" s="1" t="s">
        <v>814</v>
      </c>
    </row>
    <row r="1001" ht="15.75" customHeight="1">
      <c r="A1001" s="1" t="s">
        <v>814</v>
      </c>
      <c r="B1001" s="1" t="s">
        <v>814</v>
      </c>
      <c r="C1001" s="1" t="s">
        <v>814</v>
      </c>
      <c r="D1001" s="1" t="s">
        <v>814</v>
      </c>
    </row>
    <row r="1002" ht="15.75" customHeight="1">
      <c r="A1002" s="1" t="s">
        <v>814</v>
      </c>
      <c r="B1002" s="1" t="s">
        <v>814</v>
      </c>
      <c r="C1002" s="1" t="s">
        <v>814</v>
      </c>
      <c r="D1002" s="1" t="s">
        <v>814</v>
      </c>
    </row>
  </sheetData>
  <printOptions/>
  <pageMargins bottom="0.75" footer="0.0" header="0.0" left="0.7" right="0.7" top="0.75"/>
  <pageSetup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6" width="14.43"/>
  </cols>
  <sheetData>
    <row r="1">
      <c r="A1" s="2" t="str">
        <f t="array" ref="A1">'Questions Answers'!A20</f>
        <v>19. Identify students with low attendance (below 70%).</v>
      </c>
      <c r="B1" s="2"/>
      <c r="C1" s="2"/>
      <c r="D1" s="2"/>
    </row>
    <row r="2" ht="15.0" customHeight="1">
      <c r="A2" s="2"/>
      <c r="B2" s="2"/>
      <c r="C2" s="2"/>
      <c r="D2" s="2"/>
    </row>
    <row r="3">
      <c r="A3" s="1" t="str">
        <f>IFERROR(__xludf.DUMMYFUNCTION("QUERY(Student_Data!A1:O1000, ""SELECT A, B, N WHERE N &lt; 70"")"),"Student_ID")</f>
        <v>Student_ID</v>
      </c>
      <c r="B3" s="1" t="str">
        <f>IFERROR(__xludf.DUMMYFUNCTION("""COMPUTED_VALUE"""),"Full_Name")</f>
        <v>Full_Name</v>
      </c>
      <c r="C3" s="1" t="str">
        <f>IFERROR(__xludf.DUMMYFUNCTION("""COMPUTED_VALUE"""),"Attendance")</f>
        <v>Attendance</v>
      </c>
    </row>
    <row r="4">
      <c r="A4" s="1" t="str">
        <f>IFERROR(__xludf.DUMMYFUNCTION("""COMPUTED_VALUE"""),"STD-1006")</f>
        <v>STD-1006</v>
      </c>
      <c r="B4" s="1" t="str">
        <f>IFERROR(__xludf.DUMMYFUNCTION("""COMPUTED_VALUE"""),"Aarav Kulkarni")</f>
        <v>Aarav Kulkarni</v>
      </c>
      <c r="C4" s="1">
        <f>IFERROR(__xludf.DUMMYFUNCTION("""COMPUTED_VALUE"""),66.0)</f>
        <v>66</v>
      </c>
    </row>
    <row r="5">
      <c r="A5" s="1" t="str">
        <f>IFERROR(__xludf.DUMMYFUNCTION("""COMPUTED_VALUE"""),"STD-1008")</f>
        <v>STD-1008</v>
      </c>
      <c r="B5" s="1" t="str">
        <f>IFERROR(__xludf.DUMMYFUNCTION("""COMPUTED_VALUE"""),"Kavya Gupta")</f>
        <v>Kavya Gupta</v>
      </c>
      <c r="C5" s="1">
        <f>IFERROR(__xludf.DUMMYFUNCTION("""COMPUTED_VALUE"""),66.0)</f>
        <v>66</v>
      </c>
    </row>
    <row r="6">
      <c r="A6" s="1" t="str">
        <f>IFERROR(__xludf.DUMMYFUNCTION("""COMPUTED_VALUE"""),"STD-1013")</f>
        <v>STD-1013</v>
      </c>
      <c r="B6" s="1" t="str">
        <f>IFERROR(__xludf.DUMMYFUNCTION("""COMPUTED_VALUE"""),"Sai Verma")</f>
        <v>Sai Verma</v>
      </c>
      <c r="C6" s="1">
        <f>IFERROR(__xludf.DUMMYFUNCTION("""COMPUTED_VALUE"""),61.0)</f>
        <v>61</v>
      </c>
    </row>
    <row r="7">
      <c r="A7" s="1" t="str">
        <f>IFERROR(__xludf.DUMMYFUNCTION("""COMPUTED_VALUE"""),"STD-1015")</f>
        <v>STD-1015</v>
      </c>
      <c r="B7" s="1" t="str">
        <f>IFERROR(__xludf.DUMMYFUNCTION("""COMPUTED_VALUE"""),"Pooja Jain")</f>
        <v>Pooja Jain</v>
      </c>
      <c r="C7" s="1">
        <f>IFERROR(__xludf.DUMMYFUNCTION("""COMPUTED_VALUE"""),68.0)</f>
        <v>68</v>
      </c>
    </row>
    <row r="8">
      <c r="A8" s="1" t="str">
        <f>IFERROR(__xludf.DUMMYFUNCTION("""COMPUTED_VALUE"""),"STD-1017")</f>
        <v>STD-1017</v>
      </c>
      <c r="B8" s="1" t="str">
        <f>IFERROR(__xludf.DUMMYFUNCTION("""COMPUTED_VALUE"""),"Rohan Singh")</f>
        <v>Rohan Singh</v>
      </c>
      <c r="C8" s="1">
        <f>IFERROR(__xludf.DUMMYFUNCTION("""COMPUTED_VALUE"""),61.0)</f>
        <v>61</v>
      </c>
    </row>
    <row r="9">
      <c r="A9" s="1" t="str">
        <f>IFERROR(__xludf.DUMMYFUNCTION("""COMPUTED_VALUE"""),"STD-1019")</f>
        <v>STD-1019</v>
      </c>
      <c r="B9" s="1" t="str">
        <f>IFERROR(__xludf.DUMMYFUNCTION("""COMPUTED_VALUE"""),"Karan Iyer")</f>
        <v>Karan Iyer</v>
      </c>
      <c r="C9" s="1">
        <f>IFERROR(__xludf.DUMMYFUNCTION("""COMPUTED_VALUE"""),65.0)</f>
        <v>65</v>
      </c>
    </row>
    <row r="10">
      <c r="A10" s="1" t="str">
        <f>IFERROR(__xludf.DUMMYFUNCTION("""COMPUTED_VALUE"""),"STD-1022")</f>
        <v>STD-1022</v>
      </c>
      <c r="B10" s="1" t="str">
        <f>IFERROR(__xludf.DUMMYFUNCTION("""COMPUTED_VALUE"""),"Rahul Singh")</f>
        <v>Rahul Singh</v>
      </c>
      <c r="C10" s="1">
        <f>IFERROR(__xludf.DUMMYFUNCTION("""COMPUTED_VALUE"""),62.0)</f>
        <v>62</v>
      </c>
    </row>
    <row r="11">
      <c r="A11" s="1" t="str">
        <f>IFERROR(__xludf.DUMMYFUNCTION("""COMPUTED_VALUE"""),"STD-1024")</f>
        <v>STD-1024</v>
      </c>
      <c r="B11" s="1" t="str">
        <f>IFERROR(__xludf.DUMMYFUNCTION("""COMPUTED_VALUE"""),"Shreya Verma")</f>
        <v>Shreya Verma</v>
      </c>
      <c r="C11" s="1">
        <f>IFERROR(__xludf.DUMMYFUNCTION("""COMPUTED_VALUE"""),60.0)</f>
        <v>60</v>
      </c>
    </row>
    <row r="12">
      <c r="A12" s="1" t="str">
        <f>IFERROR(__xludf.DUMMYFUNCTION("""COMPUTED_VALUE"""),"STD-1035")</f>
        <v>STD-1035</v>
      </c>
      <c r="B12" s="1" t="str">
        <f>IFERROR(__xludf.DUMMYFUNCTION("""COMPUTED_VALUE"""),"Kavya Kulkarni")</f>
        <v>Kavya Kulkarni</v>
      </c>
      <c r="C12" s="1">
        <f>IFERROR(__xludf.DUMMYFUNCTION("""COMPUTED_VALUE"""),66.0)</f>
        <v>66</v>
      </c>
    </row>
    <row r="13">
      <c r="A13" s="1" t="str">
        <f>IFERROR(__xludf.DUMMYFUNCTION("""COMPUTED_VALUE"""),"STD-1042")</f>
        <v>STD-1042</v>
      </c>
      <c r="B13" s="1" t="str">
        <f>IFERROR(__xludf.DUMMYFUNCTION("""COMPUTED_VALUE"""),"Tanvi Choudhary")</f>
        <v>Tanvi Choudhary</v>
      </c>
      <c r="C13" s="1">
        <f>IFERROR(__xludf.DUMMYFUNCTION("""COMPUTED_VALUE"""),66.0)</f>
        <v>66</v>
      </c>
    </row>
    <row r="14">
      <c r="A14" s="1" t="str">
        <f>IFERROR(__xludf.DUMMYFUNCTION("""COMPUTED_VALUE"""),"STD-1043")</f>
        <v>STD-1043</v>
      </c>
      <c r="B14" s="1" t="str">
        <f>IFERROR(__xludf.DUMMYFUNCTION("""COMPUTED_VALUE"""),"Priya Jain")</f>
        <v>Priya Jain</v>
      </c>
      <c r="C14" s="1">
        <f>IFERROR(__xludf.DUMMYFUNCTION("""COMPUTED_VALUE"""),63.0)</f>
        <v>63</v>
      </c>
    </row>
    <row r="15">
      <c r="A15" s="1" t="str">
        <f>IFERROR(__xludf.DUMMYFUNCTION("""COMPUTED_VALUE"""),"STD-1048")</f>
        <v>STD-1048</v>
      </c>
      <c r="B15" s="1" t="str">
        <f>IFERROR(__xludf.DUMMYFUNCTION("""COMPUTED_VALUE"""),"Aditya Iyer")</f>
        <v>Aditya Iyer</v>
      </c>
      <c r="C15" s="1">
        <f>IFERROR(__xludf.DUMMYFUNCTION("""COMPUTED_VALUE"""),62.0)</f>
        <v>62</v>
      </c>
    </row>
    <row r="16">
      <c r="A16" s="1" t="str">
        <f>IFERROR(__xludf.DUMMYFUNCTION("""COMPUTED_VALUE"""),"STD-1053")</f>
        <v>STD-1053</v>
      </c>
      <c r="B16" s="1" t="str">
        <f>IFERROR(__xludf.DUMMYFUNCTION("""COMPUTED_VALUE"""),"Karan Kulkarni")</f>
        <v>Karan Kulkarni</v>
      </c>
      <c r="C16" s="1">
        <f>IFERROR(__xludf.DUMMYFUNCTION("""COMPUTED_VALUE"""),61.0)</f>
        <v>61</v>
      </c>
    </row>
    <row r="17">
      <c r="A17" s="1" t="str">
        <f>IFERROR(__xludf.DUMMYFUNCTION("""COMPUTED_VALUE"""),"STD-1055")</f>
        <v>STD-1055</v>
      </c>
      <c r="B17" s="1" t="str">
        <f>IFERROR(__xludf.DUMMYFUNCTION("""COMPUTED_VALUE"""),"Shreya Singh")</f>
        <v>Shreya Singh</v>
      </c>
      <c r="C17" s="1">
        <f>IFERROR(__xludf.DUMMYFUNCTION("""COMPUTED_VALUE"""),60.0)</f>
        <v>60</v>
      </c>
    </row>
    <row r="18">
      <c r="A18" s="1" t="str">
        <f>IFERROR(__xludf.DUMMYFUNCTION("""COMPUTED_VALUE"""),"STD-1057")</f>
        <v>STD-1057</v>
      </c>
      <c r="B18" s="1" t="str">
        <f>IFERROR(__xludf.DUMMYFUNCTION("""COMPUTED_VALUE"""),"Vivaan Verma")</f>
        <v>Vivaan Verma</v>
      </c>
      <c r="C18" s="1">
        <f>IFERROR(__xludf.DUMMYFUNCTION("""COMPUTED_VALUE"""),61.0)</f>
        <v>61</v>
      </c>
    </row>
    <row r="19">
      <c r="A19" s="1" t="str">
        <f>IFERROR(__xludf.DUMMYFUNCTION("""COMPUTED_VALUE"""),"STD-1063")</f>
        <v>STD-1063</v>
      </c>
      <c r="B19" s="1" t="str">
        <f>IFERROR(__xludf.DUMMYFUNCTION("""COMPUTED_VALUE"""),"Karan Sharma")</f>
        <v>Karan Sharma</v>
      </c>
      <c r="C19" s="1">
        <f>IFERROR(__xludf.DUMMYFUNCTION("""COMPUTED_VALUE"""),64.0)</f>
        <v>64</v>
      </c>
    </row>
    <row r="20">
      <c r="A20" s="1" t="str">
        <f>IFERROR(__xludf.DUMMYFUNCTION("""COMPUTED_VALUE"""),"STD-1065")</f>
        <v>STD-1065</v>
      </c>
      <c r="B20" s="1" t="str">
        <f>IFERROR(__xludf.DUMMYFUNCTION("""COMPUTED_VALUE"""),"Karan Nair")</f>
        <v>Karan Nair</v>
      </c>
      <c r="C20" s="1">
        <f>IFERROR(__xludf.DUMMYFUNCTION("""COMPUTED_VALUE"""),66.0)</f>
        <v>66</v>
      </c>
    </row>
    <row r="21" ht="15.75" customHeight="1">
      <c r="A21" s="1" t="str">
        <f>IFERROR(__xludf.DUMMYFUNCTION("""COMPUTED_VALUE"""),"STD-1066")</f>
        <v>STD-1066</v>
      </c>
      <c r="B21" s="1" t="str">
        <f>IFERROR(__xludf.DUMMYFUNCTION("""COMPUTED_VALUE"""),"Kavya Yadav")</f>
        <v>Kavya Yadav</v>
      </c>
      <c r="C21" s="1">
        <f>IFERROR(__xludf.DUMMYFUNCTION("""COMPUTED_VALUE"""),61.0)</f>
        <v>61</v>
      </c>
    </row>
    <row r="22" ht="15.75" customHeight="1">
      <c r="A22" s="1" t="str">
        <f>IFERROR(__xludf.DUMMYFUNCTION("""COMPUTED_VALUE"""),"STD-1067")</f>
        <v>STD-1067</v>
      </c>
      <c r="B22" s="1" t="str">
        <f>IFERROR(__xludf.DUMMYFUNCTION("""COMPUTED_VALUE"""),"Sneha Yadav")</f>
        <v>Sneha Yadav</v>
      </c>
      <c r="C22" s="1">
        <f>IFERROR(__xludf.DUMMYFUNCTION("""COMPUTED_VALUE"""),67.0)</f>
        <v>67</v>
      </c>
    </row>
    <row r="23" ht="15.75" customHeight="1">
      <c r="A23" s="1" t="str">
        <f>IFERROR(__xludf.DUMMYFUNCTION("""COMPUTED_VALUE"""),"STD-1074")</f>
        <v>STD-1074</v>
      </c>
      <c r="B23" s="1" t="str">
        <f>IFERROR(__xludf.DUMMYFUNCTION("""COMPUTED_VALUE"""),"Pooja Verma")</f>
        <v>Pooja Verma</v>
      </c>
      <c r="C23" s="1">
        <f>IFERROR(__xludf.DUMMYFUNCTION("""COMPUTED_VALUE"""),64.0)</f>
        <v>64</v>
      </c>
    </row>
    <row r="24" ht="15.75" customHeight="1">
      <c r="A24" s="1" t="str">
        <f>IFERROR(__xludf.DUMMYFUNCTION("""COMPUTED_VALUE"""),"STD-1076")</f>
        <v>STD-1076</v>
      </c>
      <c r="B24" s="1" t="str">
        <f>IFERROR(__xludf.DUMMYFUNCTION("""COMPUTED_VALUE"""),"Sneha Verma")</f>
        <v>Sneha Verma</v>
      </c>
      <c r="C24" s="1">
        <f>IFERROR(__xludf.DUMMYFUNCTION("""COMPUTED_VALUE"""),64.0)</f>
        <v>64</v>
      </c>
    </row>
    <row r="25" ht="15.75" customHeight="1">
      <c r="A25" s="1" t="str">
        <f>IFERROR(__xludf.DUMMYFUNCTION("""COMPUTED_VALUE"""),"STD-1086")</f>
        <v>STD-1086</v>
      </c>
      <c r="B25" s="1" t="str">
        <f>IFERROR(__xludf.DUMMYFUNCTION("""COMPUTED_VALUE"""),"Sai Yadav")</f>
        <v>Sai Yadav</v>
      </c>
      <c r="C25" s="1">
        <f>IFERROR(__xludf.DUMMYFUNCTION("""COMPUTED_VALUE"""),60.0)</f>
        <v>60</v>
      </c>
    </row>
    <row r="26" ht="15.75" customHeight="1">
      <c r="A26" s="1" t="str">
        <f>IFERROR(__xludf.DUMMYFUNCTION("""COMPUTED_VALUE"""),"STD-1088")</f>
        <v>STD-1088</v>
      </c>
      <c r="B26" s="1" t="str">
        <f>IFERROR(__xludf.DUMMYFUNCTION("""COMPUTED_VALUE"""),"Pooja Kulkarni")</f>
        <v>Pooja Kulkarni</v>
      </c>
      <c r="C26" s="1">
        <f>IFERROR(__xludf.DUMMYFUNCTION("""COMPUTED_VALUE"""),63.0)</f>
        <v>63</v>
      </c>
    </row>
    <row r="27" ht="15.75" customHeight="1">
      <c r="A27" s="1" t="str">
        <f>IFERROR(__xludf.DUMMYFUNCTION("""COMPUTED_VALUE"""),"STD-1097")</f>
        <v>STD-1097</v>
      </c>
      <c r="B27" s="1" t="str">
        <f>IFERROR(__xludf.DUMMYFUNCTION("""COMPUTED_VALUE"""),"Priya Banerjee")</f>
        <v>Priya Banerjee</v>
      </c>
      <c r="C27" s="1">
        <f>IFERROR(__xludf.DUMMYFUNCTION("""COMPUTED_VALUE"""),66.0)</f>
        <v>66</v>
      </c>
    </row>
    <row r="28" ht="15.75" customHeight="1">
      <c r="A28" s="1" t="str">
        <f>IFERROR(__xludf.DUMMYFUNCTION("""COMPUTED_VALUE"""),"STD-1104")</f>
        <v>STD-1104</v>
      </c>
      <c r="B28" s="1" t="str">
        <f>IFERROR(__xludf.DUMMYFUNCTION("""COMPUTED_VALUE"""),"Ananya Choudhary")</f>
        <v>Ananya Choudhary</v>
      </c>
      <c r="C28" s="1">
        <f>IFERROR(__xludf.DUMMYFUNCTION("""COMPUTED_VALUE"""),62.0)</f>
        <v>62</v>
      </c>
    </row>
    <row r="29" ht="15.75" customHeight="1">
      <c r="A29" s="1" t="str">
        <f>IFERROR(__xludf.DUMMYFUNCTION("""COMPUTED_VALUE"""),"STD-1111")</f>
        <v>STD-1111</v>
      </c>
      <c r="B29" s="1" t="str">
        <f>IFERROR(__xludf.DUMMYFUNCTION("""COMPUTED_VALUE"""),"Neha Singh")</f>
        <v>Neha Singh</v>
      </c>
      <c r="C29" s="1">
        <f>IFERROR(__xludf.DUMMYFUNCTION("""COMPUTED_VALUE"""),64.0)</f>
        <v>64</v>
      </c>
    </row>
    <row r="30" ht="15.75" customHeight="1">
      <c r="A30" s="1" t="str">
        <f>IFERROR(__xludf.DUMMYFUNCTION("""COMPUTED_VALUE"""),"STD-1116")</f>
        <v>STD-1116</v>
      </c>
      <c r="B30" s="1" t="str">
        <f>IFERROR(__xludf.DUMMYFUNCTION("""COMPUTED_VALUE"""),"Shreya Jain")</f>
        <v>Shreya Jain</v>
      </c>
      <c r="C30" s="1">
        <f>IFERROR(__xludf.DUMMYFUNCTION("""COMPUTED_VALUE"""),61.0)</f>
        <v>61</v>
      </c>
    </row>
    <row r="31" ht="15.75" customHeight="1">
      <c r="A31" s="1" t="str">
        <f>IFERROR(__xludf.DUMMYFUNCTION("""COMPUTED_VALUE"""),"STD-1121")</f>
        <v>STD-1121</v>
      </c>
      <c r="B31" s="1" t="str">
        <f>IFERROR(__xludf.DUMMYFUNCTION("""COMPUTED_VALUE"""),"Rohan Gupta")</f>
        <v>Rohan Gupta</v>
      </c>
      <c r="C31" s="1">
        <f>IFERROR(__xludf.DUMMYFUNCTION("""COMPUTED_VALUE"""),61.0)</f>
        <v>61</v>
      </c>
    </row>
    <row r="32" ht="15.75" customHeight="1">
      <c r="A32" s="1" t="str">
        <f>IFERROR(__xludf.DUMMYFUNCTION("""COMPUTED_VALUE"""),"STD-1122")</f>
        <v>STD-1122</v>
      </c>
      <c r="B32" s="1" t="str">
        <f>IFERROR(__xludf.DUMMYFUNCTION("""COMPUTED_VALUE"""),"Ishita Nair")</f>
        <v>Ishita Nair</v>
      </c>
      <c r="C32" s="1">
        <f>IFERROR(__xludf.DUMMYFUNCTION("""COMPUTED_VALUE"""),64.0)</f>
        <v>64</v>
      </c>
    </row>
    <row r="33" ht="15.75" customHeight="1">
      <c r="A33" s="1" t="str">
        <f>IFERROR(__xludf.DUMMYFUNCTION("""COMPUTED_VALUE"""),"STD-1126")</f>
        <v>STD-1126</v>
      </c>
      <c r="B33" s="1" t="str">
        <f>IFERROR(__xludf.DUMMYFUNCTION("""COMPUTED_VALUE"""),"Simran Jain")</f>
        <v>Simran Jain</v>
      </c>
      <c r="C33" s="1">
        <f>IFERROR(__xludf.DUMMYFUNCTION("""COMPUTED_VALUE"""),63.0)</f>
        <v>63</v>
      </c>
    </row>
    <row r="34" ht="15.75" customHeight="1">
      <c r="A34" s="1" t="str">
        <f>IFERROR(__xludf.DUMMYFUNCTION("""COMPUTED_VALUE"""),"STD-1133")</f>
        <v>STD-1133</v>
      </c>
      <c r="B34" s="1" t="str">
        <f>IFERROR(__xludf.DUMMYFUNCTION("""COMPUTED_VALUE"""),"Ananya Yadav")</f>
        <v>Ananya Yadav</v>
      </c>
      <c r="C34" s="1">
        <f>IFERROR(__xludf.DUMMYFUNCTION("""COMPUTED_VALUE"""),66.0)</f>
        <v>66</v>
      </c>
    </row>
    <row r="35" ht="15.75" customHeight="1">
      <c r="A35" s="1" t="str">
        <f>IFERROR(__xludf.DUMMYFUNCTION("""COMPUTED_VALUE"""),"STD-1135")</f>
        <v>STD-1135</v>
      </c>
      <c r="B35" s="1" t="str">
        <f>IFERROR(__xludf.DUMMYFUNCTION("""COMPUTED_VALUE"""),"Aditya Choudhary")</f>
        <v>Aditya Choudhary</v>
      </c>
      <c r="C35" s="1">
        <f>IFERROR(__xludf.DUMMYFUNCTION("""COMPUTED_VALUE"""),61.0)</f>
        <v>61</v>
      </c>
    </row>
    <row r="36" ht="15.75" customHeight="1">
      <c r="A36" s="1" t="str">
        <f>IFERROR(__xludf.DUMMYFUNCTION("""COMPUTED_VALUE"""),"STD-1136")</f>
        <v>STD-1136</v>
      </c>
      <c r="B36" s="1" t="str">
        <f>IFERROR(__xludf.DUMMYFUNCTION("""COMPUTED_VALUE"""),"Ritika Verma")</f>
        <v>Ritika Verma</v>
      </c>
      <c r="C36" s="1">
        <f>IFERROR(__xludf.DUMMYFUNCTION("""COMPUTED_VALUE"""),61.0)</f>
        <v>61</v>
      </c>
    </row>
    <row r="37" ht="15.75" customHeight="1">
      <c r="A37" s="1" t="str">
        <f>IFERROR(__xludf.DUMMYFUNCTION("""COMPUTED_VALUE"""),"STD-1138")</f>
        <v>STD-1138</v>
      </c>
      <c r="B37" s="1" t="str">
        <f>IFERROR(__xludf.DUMMYFUNCTION("""COMPUTED_VALUE"""),"Vivaan Iyer")</f>
        <v>Vivaan Iyer</v>
      </c>
      <c r="C37" s="1">
        <f>IFERROR(__xludf.DUMMYFUNCTION("""COMPUTED_VALUE"""),62.0)</f>
        <v>62</v>
      </c>
    </row>
    <row r="38" ht="15.75" customHeight="1">
      <c r="A38" s="1" t="str">
        <f>IFERROR(__xludf.DUMMYFUNCTION("""COMPUTED_VALUE"""),"STD-1139")</f>
        <v>STD-1139</v>
      </c>
      <c r="B38" s="1" t="str">
        <f>IFERROR(__xludf.DUMMYFUNCTION("""COMPUTED_VALUE"""),"Sai Jain")</f>
        <v>Sai Jain</v>
      </c>
      <c r="C38" s="1">
        <f>IFERROR(__xludf.DUMMYFUNCTION("""COMPUTED_VALUE"""),63.0)</f>
        <v>63</v>
      </c>
    </row>
    <row r="39" ht="15.75" customHeight="1">
      <c r="A39" s="1" t="str">
        <f>IFERROR(__xludf.DUMMYFUNCTION("""COMPUTED_VALUE"""),"STD-1141")</f>
        <v>STD-1141</v>
      </c>
      <c r="B39" s="1" t="str">
        <f>IFERROR(__xludf.DUMMYFUNCTION("""COMPUTED_VALUE"""),"Aarav Yadav")</f>
        <v>Aarav Yadav</v>
      </c>
      <c r="C39" s="1">
        <f>IFERROR(__xludf.DUMMYFUNCTION("""COMPUTED_VALUE"""),60.0)</f>
        <v>60</v>
      </c>
    </row>
    <row r="40" ht="15.75" customHeight="1">
      <c r="A40" s="1" t="str">
        <f>IFERROR(__xludf.DUMMYFUNCTION("""COMPUTED_VALUE"""),"STD-1144")</f>
        <v>STD-1144</v>
      </c>
      <c r="B40" s="1" t="str">
        <f>IFERROR(__xludf.DUMMYFUNCTION("""COMPUTED_VALUE"""),"Ritika Verma")</f>
        <v>Ritika Verma</v>
      </c>
      <c r="C40" s="1">
        <f>IFERROR(__xludf.DUMMYFUNCTION("""COMPUTED_VALUE"""),62.0)</f>
        <v>62</v>
      </c>
    </row>
    <row r="41" ht="15.75" customHeight="1">
      <c r="A41" s="1" t="str">
        <f>IFERROR(__xludf.DUMMYFUNCTION("""COMPUTED_VALUE"""),"STD-1145")</f>
        <v>STD-1145</v>
      </c>
      <c r="B41" s="1" t="str">
        <f>IFERROR(__xludf.DUMMYFUNCTION("""COMPUTED_VALUE"""),"Ananya Yadav")</f>
        <v>Ananya Yadav</v>
      </c>
      <c r="C41" s="1">
        <f>IFERROR(__xludf.DUMMYFUNCTION("""COMPUTED_VALUE"""),65.0)</f>
        <v>65</v>
      </c>
    </row>
    <row r="42" ht="15.75" customHeight="1">
      <c r="A42" s="1" t="str">
        <f>IFERROR(__xludf.DUMMYFUNCTION("""COMPUTED_VALUE"""),"STD-1155")</f>
        <v>STD-1155</v>
      </c>
      <c r="B42" s="1" t="str">
        <f>IFERROR(__xludf.DUMMYFUNCTION("""COMPUTED_VALUE"""),"Tanvi Verma")</f>
        <v>Tanvi Verma</v>
      </c>
      <c r="C42" s="1">
        <f>IFERROR(__xludf.DUMMYFUNCTION("""COMPUTED_VALUE"""),60.0)</f>
        <v>60</v>
      </c>
    </row>
    <row r="43" ht="15.75" customHeight="1">
      <c r="A43" s="1" t="str">
        <f>IFERROR(__xludf.DUMMYFUNCTION("""COMPUTED_VALUE"""),"STD-1157")</f>
        <v>STD-1157</v>
      </c>
      <c r="B43" s="1" t="str">
        <f>IFERROR(__xludf.DUMMYFUNCTION("""COMPUTED_VALUE"""),"Aarav Iyer")</f>
        <v>Aarav Iyer</v>
      </c>
      <c r="C43" s="1">
        <f>IFERROR(__xludf.DUMMYFUNCTION("""COMPUTED_VALUE"""),69.0)</f>
        <v>69</v>
      </c>
    </row>
    <row r="44" ht="15.75" customHeight="1">
      <c r="A44" s="1" t="str">
        <f>IFERROR(__xludf.DUMMYFUNCTION("""COMPUTED_VALUE"""),"STD-1163")</f>
        <v>STD-1163</v>
      </c>
      <c r="B44" s="1" t="str">
        <f>IFERROR(__xludf.DUMMYFUNCTION("""COMPUTED_VALUE"""),"Kavya Jain")</f>
        <v>Kavya Jain</v>
      </c>
      <c r="C44" s="1">
        <f>IFERROR(__xludf.DUMMYFUNCTION("""COMPUTED_VALUE"""),63.0)</f>
        <v>63</v>
      </c>
    </row>
    <row r="45" ht="15.75" customHeight="1">
      <c r="A45" s="1" t="str">
        <f>IFERROR(__xludf.DUMMYFUNCTION("""COMPUTED_VALUE"""),"STD-1166")</f>
        <v>STD-1166</v>
      </c>
      <c r="B45" s="1" t="str">
        <f>IFERROR(__xludf.DUMMYFUNCTION("""COMPUTED_VALUE"""),"Priya Iyer")</f>
        <v>Priya Iyer</v>
      </c>
      <c r="C45" s="1">
        <f>IFERROR(__xludf.DUMMYFUNCTION("""COMPUTED_VALUE"""),64.0)</f>
        <v>64</v>
      </c>
    </row>
    <row r="46" ht="15.75" customHeight="1">
      <c r="A46" s="1" t="str">
        <f>IFERROR(__xludf.DUMMYFUNCTION("""COMPUTED_VALUE"""),"STD-1167")</f>
        <v>STD-1167</v>
      </c>
      <c r="B46" s="1" t="str">
        <f>IFERROR(__xludf.DUMMYFUNCTION("""COMPUTED_VALUE"""),"Meera Singh")</f>
        <v>Meera Singh</v>
      </c>
      <c r="C46" s="1">
        <f>IFERROR(__xludf.DUMMYFUNCTION("""COMPUTED_VALUE"""),63.0)</f>
        <v>63</v>
      </c>
    </row>
    <row r="47" ht="15.75" customHeight="1">
      <c r="A47" s="1" t="str">
        <f>IFERROR(__xludf.DUMMYFUNCTION("""COMPUTED_VALUE"""),"STD-1173")</f>
        <v>STD-1173</v>
      </c>
      <c r="B47" s="1" t="str">
        <f>IFERROR(__xludf.DUMMYFUNCTION("""COMPUTED_VALUE"""),"Aditya Sharma")</f>
        <v>Aditya Sharma</v>
      </c>
      <c r="C47" s="1">
        <f>IFERROR(__xludf.DUMMYFUNCTION("""COMPUTED_VALUE"""),61.0)</f>
        <v>61</v>
      </c>
    </row>
    <row r="48" ht="15.75" customHeight="1">
      <c r="A48" s="1" t="str">
        <f>IFERROR(__xludf.DUMMYFUNCTION("""COMPUTED_VALUE"""),"STD-1175")</f>
        <v>STD-1175</v>
      </c>
      <c r="B48" s="1" t="str">
        <f>IFERROR(__xludf.DUMMYFUNCTION("""COMPUTED_VALUE"""),"Rahul Sharma")</f>
        <v>Rahul Sharma</v>
      </c>
      <c r="C48" s="1">
        <f>IFERROR(__xludf.DUMMYFUNCTION("""COMPUTED_VALUE"""),68.0)</f>
        <v>68</v>
      </c>
    </row>
    <row r="49" ht="15.75" customHeight="1">
      <c r="A49" s="1" t="str">
        <f>IFERROR(__xludf.DUMMYFUNCTION("""COMPUTED_VALUE"""),"STD-1177")</f>
        <v>STD-1177</v>
      </c>
      <c r="B49" s="1" t="str">
        <f>IFERROR(__xludf.DUMMYFUNCTION("""COMPUTED_VALUE"""),"Meera Jain")</f>
        <v>Meera Jain</v>
      </c>
      <c r="C49" s="1">
        <f>IFERROR(__xludf.DUMMYFUNCTION("""COMPUTED_VALUE"""),65.0)</f>
        <v>65</v>
      </c>
    </row>
    <row r="50" ht="15.75" customHeight="1">
      <c r="A50" s="1" t="str">
        <f>IFERROR(__xludf.DUMMYFUNCTION("""COMPUTED_VALUE"""),"STD-1179")</f>
        <v>STD-1179</v>
      </c>
      <c r="B50" s="1" t="str">
        <f>IFERROR(__xludf.DUMMYFUNCTION("""COMPUTED_VALUE"""),"Ishita Sharma")</f>
        <v>Ishita Sharma</v>
      </c>
      <c r="C50" s="1">
        <f>IFERROR(__xludf.DUMMYFUNCTION("""COMPUTED_VALUE"""),65.0)</f>
        <v>65</v>
      </c>
    </row>
    <row r="51" ht="15.75" customHeight="1">
      <c r="A51" s="1" t="str">
        <f>IFERROR(__xludf.DUMMYFUNCTION("""COMPUTED_VALUE"""),"STD-1185")</f>
        <v>STD-1185</v>
      </c>
      <c r="B51" s="1" t="str">
        <f>IFERROR(__xludf.DUMMYFUNCTION("""COMPUTED_VALUE"""),"Vivaan Kaur")</f>
        <v>Vivaan Kaur</v>
      </c>
      <c r="C51" s="1">
        <f>IFERROR(__xludf.DUMMYFUNCTION("""COMPUTED_VALUE"""),67.0)</f>
        <v>67</v>
      </c>
    </row>
    <row r="52" ht="15.75" customHeight="1">
      <c r="A52" s="1" t="str">
        <f>IFERROR(__xludf.DUMMYFUNCTION("""COMPUTED_VALUE"""),"STD-1187")</f>
        <v>STD-1187</v>
      </c>
      <c r="B52" s="1" t="str">
        <f>IFERROR(__xludf.DUMMYFUNCTION("""COMPUTED_VALUE"""),"Ritika Gupta")</f>
        <v>Ritika Gupta</v>
      </c>
      <c r="C52" s="1">
        <f>IFERROR(__xludf.DUMMYFUNCTION("""COMPUTED_VALUE"""),65.0)</f>
        <v>65</v>
      </c>
    </row>
    <row r="53" ht="15.75" customHeight="1">
      <c r="A53" s="1" t="str">
        <f>IFERROR(__xludf.DUMMYFUNCTION("""COMPUTED_VALUE"""),"STD-1189")</f>
        <v>STD-1189</v>
      </c>
      <c r="B53" s="1" t="str">
        <f>IFERROR(__xludf.DUMMYFUNCTION("""COMPUTED_VALUE"""),"Kavya Patel")</f>
        <v>Kavya Patel</v>
      </c>
      <c r="C53" s="1">
        <f>IFERROR(__xludf.DUMMYFUNCTION("""COMPUTED_VALUE"""),65.0)</f>
        <v>65</v>
      </c>
    </row>
    <row r="54" ht="15.75" customHeight="1">
      <c r="A54" s="1" t="str">
        <f>IFERROR(__xludf.DUMMYFUNCTION("""COMPUTED_VALUE"""),"STD-1190")</f>
        <v>STD-1190</v>
      </c>
      <c r="B54" s="1" t="str">
        <f>IFERROR(__xludf.DUMMYFUNCTION("""COMPUTED_VALUE"""),"Aarav Choudhary")</f>
        <v>Aarav Choudhary</v>
      </c>
      <c r="C54" s="1">
        <f>IFERROR(__xludf.DUMMYFUNCTION("""COMPUTED_VALUE"""),68.0)</f>
        <v>68</v>
      </c>
    </row>
    <row r="55" ht="15.75" customHeight="1">
      <c r="A55" s="1" t="str">
        <f>IFERROR(__xludf.DUMMYFUNCTION("""COMPUTED_VALUE"""),"STD-1193")</f>
        <v>STD-1193</v>
      </c>
      <c r="B55" s="1" t="str">
        <f>IFERROR(__xludf.DUMMYFUNCTION("""COMPUTED_VALUE"""),"Pooja Iyer")</f>
        <v>Pooja Iyer</v>
      </c>
      <c r="C55" s="1">
        <f>IFERROR(__xludf.DUMMYFUNCTION("""COMPUTED_VALUE"""),66.0)</f>
        <v>66</v>
      </c>
    </row>
    <row r="56" ht="15.75" customHeight="1">
      <c r="A56" s="1" t="str">
        <f>IFERROR(__xludf.DUMMYFUNCTION("""COMPUTED_VALUE"""),"STD-1195")</f>
        <v>STD-1195</v>
      </c>
      <c r="B56" s="1" t="str">
        <f>IFERROR(__xludf.DUMMYFUNCTION("""COMPUTED_VALUE"""),"Aditya Das")</f>
        <v>Aditya Das</v>
      </c>
      <c r="C56" s="1">
        <f>IFERROR(__xludf.DUMMYFUNCTION("""COMPUTED_VALUE"""),68.0)</f>
        <v>68</v>
      </c>
    </row>
    <row r="57" ht="15.75" customHeight="1">
      <c r="A57" s="1" t="str">
        <f>IFERROR(__xludf.DUMMYFUNCTION("""COMPUTED_VALUE"""),"STD-1196")</f>
        <v>STD-1196</v>
      </c>
      <c r="B57" s="1" t="str">
        <f>IFERROR(__xludf.DUMMYFUNCTION("""COMPUTED_VALUE"""),"Kavya Nair")</f>
        <v>Kavya Nair</v>
      </c>
      <c r="C57" s="1">
        <f>IFERROR(__xludf.DUMMYFUNCTION("""COMPUTED_VALUE"""),64.0)</f>
        <v>64</v>
      </c>
    </row>
    <row r="58" ht="15.75" customHeight="1">
      <c r="A58" s="1" t="str">
        <f>IFERROR(__xludf.DUMMYFUNCTION("""COMPUTED_VALUE"""),"STD-1199")</f>
        <v>STD-1199</v>
      </c>
      <c r="B58" s="1" t="str">
        <f>IFERROR(__xludf.DUMMYFUNCTION("""COMPUTED_VALUE"""),"Ritika Das")</f>
        <v>Ritika Das</v>
      </c>
      <c r="C58" s="1">
        <f>IFERROR(__xludf.DUMMYFUNCTION("""COMPUTED_VALUE"""),60.0)</f>
        <v>60</v>
      </c>
    </row>
    <row r="59" ht="15.75" customHeight="1">
      <c r="A59" s="1" t="str">
        <f>IFERROR(__xludf.DUMMYFUNCTION("""COMPUTED_VALUE"""),"STD-1201")</f>
        <v>STD-1201</v>
      </c>
      <c r="B59" s="1" t="str">
        <f>IFERROR(__xludf.DUMMYFUNCTION("""COMPUTED_VALUE"""),"Tanvi Patel")</f>
        <v>Tanvi Patel</v>
      </c>
      <c r="C59" s="1">
        <f>IFERROR(__xludf.DUMMYFUNCTION("""COMPUTED_VALUE"""),66.0)</f>
        <v>66</v>
      </c>
    </row>
    <row r="60" ht="15.75" customHeight="1">
      <c r="A60" s="1" t="str">
        <f>IFERROR(__xludf.DUMMYFUNCTION("""COMPUTED_VALUE"""),"STD-1204")</f>
        <v>STD-1204</v>
      </c>
      <c r="B60" s="1" t="str">
        <f>IFERROR(__xludf.DUMMYFUNCTION("""COMPUTED_VALUE"""),"Ritika Das")</f>
        <v>Ritika Das</v>
      </c>
      <c r="C60" s="1">
        <f>IFERROR(__xludf.DUMMYFUNCTION("""COMPUTED_VALUE"""),66.0)</f>
        <v>66</v>
      </c>
    </row>
    <row r="61" ht="15.75" customHeight="1">
      <c r="A61" s="1" t="str">
        <f>IFERROR(__xludf.DUMMYFUNCTION("""COMPUTED_VALUE"""),"STD-1208")</f>
        <v>STD-1208</v>
      </c>
      <c r="B61" s="1" t="str">
        <f>IFERROR(__xludf.DUMMYFUNCTION("""COMPUTED_VALUE"""),"Aditya Sharma")</f>
        <v>Aditya Sharma</v>
      </c>
      <c r="C61" s="1">
        <f>IFERROR(__xludf.DUMMYFUNCTION("""COMPUTED_VALUE"""),61.0)</f>
        <v>61</v>
      </c>
    </row>
    <row r="62" ht="15.75" customHeight="1">
      <c r="A62" s="1" t="str">
        <f>IFERROR(__xludf.DUMMYFUNCTION("""COMPUTED_VALUE"""),"STD-1210")</f>
        <v>STD-1210</v>
      </c>
      <c r="B62" s="1" t="str">
        <f>IFERROR(__xludf.DUMMYFUNCTION("""COMPUTED_VALUE"""),"Meera Yadav")</f>
        <v>Meera Yadav</v>
      </c>
      <c r="C62" s="1">
        <f>IFERROR(__xludf.DUMMYFUNCTION("""COMPUTED_VALUE"""),68.0)</f>
        <v>68</v>
      </c>
    </row>
    <row r="63" ht="15.75" customHeight="1">
      <c r="A63" s="1" t="str">
        <f>IFERROR(__xludf.DUMMYFUNCTION("""COMPUTED_VALUE"""),"STD-1211")</f>
        <v>STD-1211</v>
      </c>
      <c r="B63" s="1" t="str">
        <f>IFERROR(__xludf.DUMMYFUNCTION("""COMPUTED_VALUE"""),"Simran Nair")</f>
        <v>Simran Nair</v>
      </c>
      <c r="C63" s="1">
        <f>IFERROR(__xludf.DUMMYFUNCTION("""COMPUTED_VALUE"""),68.0)</f>
        <v>68</v>
      </c>
    </row>
    <row r="64" ht="15.75" customHeight="1">
      <c r="A64" s="1" t="str">
        <f>IFERROR(__xludf.DUMMYFUNCTION("""COMPUTED_VALUE"""),"STD-1215")</f>
        <v>STD-1215</v>
      </c>
      <c r="B64" s="1" t="str">
        <f>IFERROR(__xludf.DUMMYFUNCTION("""COMPUTED_VALUE"""),"Priya Reddy")</f>
        <v>Priya Reddy</v>
      </c>
      <c r="C64" s="1">
        <f>IFERROR(__xludf.DUMMYFUNCTION("""COMPUTED_VALUE"""),69.0)</f>
        <v>69</v>
      </c>
    </row>
    <row r="65" ht="15.75" customHeight="1">
      <c r="A65" s="1" t="str">
        <f>IFERROR(__xludf.DUMMYFUNCTION("""COMPUTED_VALUE"""),"STD-1218")</f>
        <v>STD-1218</v>
      </c>
      <c r="B65" s="1" t="str">
        <f>IFERROR(__xludf.DUMMYFUNCTION("""COMPUTED_VALUE"""),"Aditya Kulkarni")</f>
        <v>Aditya Kulkarni</v>
      </c>
      <c r="C65" s="1">
        <f>IFERROR(__xludf.DUMMYFUNCTION("""COMPUTED_VALUE"""),65.0)</f>
        <v>65</v>
      </c>
    </row>
    <row r="66" ht="15.75" customHeight="1">
      <c r="A66" s="1" t="str">
        <f>IFERROR(__xludf.DUMMYFUNCTION("""COMPUTED_VALUE"""),"STD-1219")</f>
        <v>STD-1219</v>
      </c>
      <c r="B66" s="1" t="str">
        <f>IFERROR(__xludf.DUMMYFUNCTION("""COMPUTED_VALUE"""),"Sai Kaur")</f>
        <v>Sai Kaur</v>
      </c>
      <c r="C66" s="1">
        <f>IFERROR(__xludf.DUMMYFUNCTION("""COMPUTED_VALUE"""),69.0)</f>
        <v>69</v>
      </c>
    </row>
    <row r="67" ht="15.75" customHeight="1">
      <c r="A67" s="1" t="str">
        <f>IFERROR(__xludf.DUMMYFUNCTION("""COMPUTED_VALUE"""),"STD-1220")</f>
        <v>STD-1220</v>
      </c>
      <c r="B67" s="1" t="str">
        <f>IFERROR(__xludf.DUMMYFUNCTION("""COMPUTED_VALUE"""),"Priya Jain")</f>
        <v>Priya Jain</v>
      </c>
      <c r="C67" s="1">
        <f>IFERROR(__xludf.DUMMYFUNCTION("""COMPUTED_VALUE"""),64.0)</f>
        <v>64</v>
      </c>
    </row>
    <row r="68" ht="15.75" customHeight="1">
      <c r="A68" s="1" t="str">
        <f>IFERROR(__xludf.DUMMYFUNCTION("""COMPUTED_VALUE"""),"STD-1224")</f>
        <v>STD-1224</v>
      </c>
      <c r="B68" s="1" t="str">
        <f>IFERROR(__xludf.DUMMYFUNCTION("""COMPUTED_VALUE"""),"Ananya Jain")</f>
        <v>Ananya Jain</v>
      </c>
      <c r="C68" s="1">
        <f>IFERROR(__xludf.DUMMYFUNCTION("""COMPUTED_VALUE"""),62.0)</f>
        <v>62</v>
      </c>
    </row>
    <row r="69" ht="15.75" customHeight="1">
      <c r="A69" s="1" t="str">
        <f>IFERROR(__xludf.DUMMYFUNCTION("""COMPUTED_VALUE"""),"STD-1227")</f>
        <v>STD-1227</v>
      </c>
      <c r="B69" s="1" t="str">
        <f>IFERROR(__xludf.DUMMYFUNCTION("""COMPUTED_VALUE"""),"Sneha Nair")</f>
        <v>Sneha Nair</v>
      </c>
      <c r="C69" s="1">
        <f>IFERROR(__xludf.DUMMYFUNCTION("""COMPUTED_VALUE"""),66.0)</f>
        <v>66</v>
      </c>
    </row>
    <row r="70" ht="15.75" customHeight="1">
      <c r="A70" s="1" t="str">
        <f>IFERROR(__xludf.DUMMYFUNCTION("""COMPUTED_VALUE"""),"STD-1232")</f>
        <v>STD-1232</v>
      </c>
      <c r="B70" s="1" t="str">
        <f>IFERROR(__xludf.DUMMYFUNCTION("""COMPUTED_VALUE"""),"Priya Choudhary")</f>
        <v>Priya Choudhary</v>
      </c>
      <c r="C70" s="1">
        <f>IFERROR(__xludf.DUMMYFUNCTION("""COMPUTED_VALUE"""),62.0)</f>
        <v>62</v>
      </c>
    </row>
    <row r="71" ht="15.75" customHeight="1">
      <c r="A71" s="1" t="str">
        <f>IFERROR(__xludf.DUMMYFUNCTION("""COMPUTED_VALUE"""),"STD-1247")</f>
        <v>STD-1247</v>
      </c>
      <c r="B71" s="1" t="str">
        <f>IFERROR(__xludf.DUMMYFUNCTION("""COMPUTED_VALUE"""),"Ananya Das")</f>
        <v>Ananya Das</v>
      </c>
      <c r="C71" s="1">
        <f>IFERROR(__xludf.DUMMYFUNCTION("""COMPUTED_VALUE"""),62.0)</f>
        <v>62</v>
      </c>
    </row>
    <row r="72" ht="15.75" customHeight="1">
      <c r="A72" s="1" t="str">
        <f>IFERROR(__xludf.DUMMYFUNCTION("""COMPUTED_VALUE"""),"STD-1251")</f>
        <v>STD-1251</v>
      </c>
      <c r="B72" s="1" t="str">
        <f>IFERROR(__xludf.DUMMYFUNCTION("""COMPUTED_VALUE"""),"Shreya Choudhary")</f>
        <v>Shreya Choudhary</v>
      </c>
      <c r="C72" s="1">
        <f>IFERROR(__xludf.DUMMYFUNCTION("""COMPUTED_VALUE"""),67.0)</f>
        <v>67</v>
      </c>
    </row>
    <row r="73" ht="15.75" customHeight="1">
      <c r="A73" s="1" t="str">
        <f>IFERROR(__xludf.DUMMYFUNCTION("""COMPUTED_VALUE"""),"STD-1255")</f>
        <v>STD-1255</v>
      </c>
      <c r="B73" s="1" t="str">
        <f>IFERROR(__xludf.DUMMYFUNCTION("""COMPUTED_VALUE"""),"Pooja Iyer")</f>
        <v>Pooja Iyer</v>
      </c>
      <c r="C73" s="1">
        <f>IFERROR(__xludf.DUMMYFUNCTION("""COMPUTED_VALUE"""),65.0)</f>
        <v>65</v>
      </c>
    </row>
    <row r="74" ht="15.75" customHeight="1">
      <c r="A74" s="1" t="str">
        <f>IFERROR(__xludf.DUMMYFUNCTION("""COMPUTED_VALUE"""),"STD-1260")</f>
        <v>STD-1260</v>
      </c>
      <c r="B74" s="1" t="str">
        <f>IFERROR(__xludf.DUMMYFUNCTION("""COMPUTED_VALUE"""),"Sai Das")</f>
        <v>Sai Das</v>
      </c>
      <c r="C74" s="1">
        <f>IFERROR(__xludf.DUMMYFUNCTION("""COMPUTED_VALUE"""),69.0)</f>
        <v>69</v>
      </c>
    </row>
    <row r="75" ht="15.75" customHeight="1">
      <c r="A75" s="1" t="str">
        <f>IFERROR(__xludf.DUMMYFUNCTION("""COMPUTED_VALUE"""),"STD-1269")</f>
        <v>STD-1269</v>
      </c>
      <c r="B75" s="1" t="str">
        <f>IFERROR(__xludf.DUMMYFUNCTION("""COMPUTED_VALUE"""),"Aditya Kulkarni")</f>
        <v>Aditya Kulkarni</v>
      </c>
      <c r="C75" s="1">
        <f>IFERROR(__xludf.DUMMYFUNCTION("""COMPUTED_VALUE"""),62.0)</f>
        <v>62</v>
      </c>
    </row>
    <row r="76" ht="15.75" customHeight="1">
      <c r="A76" s="1" t="str">
        <f>IFERROR(__xludf.DUMMYFUNCTION("""COMPUTED_VALUE"""),"STD-1277")</f>
        <v>STD-1277</v>
      </c>
      <c r="B76" s="1" t="str">
        <f>IFERROR(__xludf.DUMMYFUNCTION("""COMPUTED_VALUE"""),"Ishita Banerjee")</f>
        <v>Ishita Banerjee</v>
      </c>
      <c r="C76" s="1">
        <f>IFERROR(__xludf.DUMMYFUNCTION("""COMPUTED_VALUE"""),64.0)</f>
        <v>64</v>
      </c>
    </row>
    <row r="77" ht="15.75" customHeight="1">
      <c r="A77" s="1" t="str">
        <f>IFERROR(__xludf.DUMMYFUNCTION("""COMPUTED_VALUE"""),"STD-1288")</f>
        <v>STD-1288</v>
      </c>
      <c r="B77" s="1" t="str">
        <f>IFERROR(__xludf.DUMMYFUNCTION("""COMPUTED_VALUE"""),"Rohan Jain")</f>
        <v>Rohan Jain</v>
      </c>
      <c r="C77" s="1">
        <f>IFERROR(__xludf.DUMMYFUNCTION("""COMPUTED_VALUE"""),68.0)</f>
        <v>68</v>
      </c>
    </row>
    <row r="78" ht="15.75" customHeight="1">
      <c r="A78" s="1" t="str">
        <f>IFERROR(__xludf.DUMMYFUNCTION("""COMPUTED_VALUE"""),"STD-1301")</f>
        <v>STD-1301</v>
      </c>
      <c r="B78" s="1" t="str">
        <f>IFERROR(__xludf.DUMMYFUNCTION("""COMPUTED_VALUE"""),"Arjun Kaur")</f>
        <v>Arjun Kaur</v>
      </c>
      <c r="C78" s="1">
        <f>IFERROR(__xludf.DUMMYFUNCTION("""COMPUTED_VALUE"""),60.0)</f>
        <v>60</v>
      </c>
    </row>
    <row r="79" ht="15.75" customHeight="1">
      <c r="A79" s="1" t="str">
        <f>IFERROR(__xludf.DUMMYFUNCTION("""COMPUTED_VALUE"""),"STD-1305")</f>
        <v>STD-1305</v>
      </c>
      <c r="B79" s="1" t="str">
        <f>IFERROR(__xludf.DUMMYFUNCTION("""COMPUTED_VALUE"""),"Vivaan Singh")</f>
        <v>Vivaan Singh</v>
      </c>
      <c r="C79" s="1">
        <f>IFERROR(__xludf.DUMMYFUNCTION("""COMPUTED_VALUE"""),60.0)</f>
        <v>60</v>
      </c>
    </row>
    <row r="80" ht="15.75" customHeight="1">
      <c r="A80" s="1" t="str">
        <f>IFERROR(__xludf.DUMMYFUNCTION("""COMPUTED_VALUE"""),"STD-1310")</f>
        <v>STD-1310</v>
      </c>
      <c r="B80" s="1" t="str">
        <f>IFERROR(__xludf.DUMMYFUNCTION("""COMPUTED_VALUE"""),"Karan Das")</f>
        <v>Karan Das</v>
      </c>
      <c r="C80" s="1">
        <f>IFERROR(__xludf.DUMMYFUNCTION("""COMPUTED_VALUE"""),68.0)</f>
        <v>68</v>
      </c>
    </row>
    <row r="81" ht="15.75" customHeight="1">
      <c r="A81" s="1" t="str">
        <f>IFERROR(__xludf.DUMMYFUNCTION("""COMPUTED_VALUE"""),"STD-1316")</f>
        <v>STD-1316</v>
      </c>
      <c r="B81" s="1" t="str">
        <f>IFERROR(__xludf.DUMMYFUNCTION("""COMPUTED_VALUE"""),"Sai Choudhary")</f>
        <v>Sai Choudhary</v>
      </c>
      <c r="C81" s="1">
        <f>IFERROR(__xludf.DUMMYFUNCTION("""COMPUTED_VALUE"""),62.0)</f>
        <v>62</v>
      </c>
    </row>
    <row r="82" ht="15.75" customHeight="1">
      <c r="A82" s="1" t="str">
        <f>IFERROR(__xludf.DUMMYFUNCTION("""COMPUTED_VALUE"""),"STD-1325")</f>
        <v>STD-1325</v>
      </c>
      <c r="B82" s="1" t="str">
        <f>IFERROR(__xludf.DUMMYFUNCTION("""COMPUTED_VALUE"""),"Pooja Sharma")</f>
        <v>Pooja Sharma</v>
      </c>
      <c r="C82" s="1">
        <f>IFERROR(__xludf.DUMMYFUNCTION("""COMPUTED_VALUE"""),68.0)</f>
        <v>68</v>
      </c>
    </row>
    <row r="83" ht="15.75" customHeight="1">
      <c r="A83" s="1" t="str">
        <f>IFERROR(__xludf.DUMMYFUNCTION("""COMPUTED_VALUE"""),"STD-1328")</f>
        <v>STD-1328</v>
      </c>
      <c r="B83" s="1" t="str">
        <f>IFERROR(__xludf.DUMMYFUNCTION("""COMPUTED_VALUE"""),"Tanvi Gupta")</f>
        <v>Tanvi Gupta</v>
      </c>
      <c r="C83" s="1">
        <f>IFERROR(__xludf.DUMMYFUNCTION("""COMPUTED_VALUE"""),66.0)</f>
        <v>66</v>
      </c>
    </row>
    <row r="84" ht="15.75" customHeight="1">
      <c r="A84" s="1" t="str">
        <f>IFERROR(__xludf.DUMMYFUNCTION("""COMPUTED_VALUE"""),"STD-1329")</f>
        <v>STD-1329</v>
      </c>
      <c r="B84" s="1" t="str">
        <f>IFERROR(__xludf.DUMMYFUNCTION("""COMPUTED_VALUE"""),"Aarav Singh")</f>
        <v>Aarav Singh</v>
      </c>
      <c r="C84" s="1">
        <f>IFERROR(__xludf.DUMMYFUNCTION("""COMPUTED_VALUE"""),68.0)</f>
        <v>68</v>
      </c>
    </row>
    <row r="85" ht="15.75" customHeight="1">
      <c r="A85" s="1" t="str">
        <f>IFERROR(__xludf.DUMMYFUNCTION("""COMPUTED_VALUE"""),"STD-1337")</f>
        <v>STD-1337</v>
      </c>
      <c r="B85" s="1" t="str">
        <f>IFERROR(__xludf.DUMMYFUNCTION("""COMPUTED_VALUE"""),"Shreya Singh")</f>
        <v>Shreya Singh</v>
      </c>
      <c r="C85" s="1">
        <f>IFERROR(__xludf.DUMMYFUNCTION("""COMPUTED_VALUE"""),62.0)</f>
        <v>62</v>
      </c>
    </row>
    <row r="86" ht="15.75" customHeight="1">
      <c r="A86" s="1" t="str">
        <f>IFERROR(__xludf.DUMMYFUNCTION("""COMPUTED_VALUE"""),"STD-1344")</f>
        <v>STD-1344</v>
      </c>
      <c r="B86" s="1" t="str">
        <f>IFERROR(__xludf.DUMMYFUNCTION("""COMPUTED_VALUE"""),"Ananya Choudhary")</f>
        <v>Ananya Choudhary</v>
      </c>
      <c r="C86" s="1">
        <f>IFERROR(__xludf.DUMMYFUNCTION("""COMPUTED_VALUE"""),68.0)</f>
        <v>68</v>
      </c>
    </row>
    <row r="87" ht="15.75" customHeight="1">
      <c r="A87" s="1" t="str">
        <f>IFERROR(__xludf.DUMMYFUNCTION("""COMPUTED_VALUE"""),"STD-1349")</f>
        <v>STD-1349</v>
      </c>
      <c r="B87" s="1" t="str">
        <f>IFERROR(__xludf.DUMMYFUNCTION("""COMPUTED_VALUE"""),"Sneha Verma")</f>
        <v>Sneha Verma</v>
      </c>
      <c r="C87" s="1">
        <f>IFERROR(__xludf.DUMMYFUNCTION("""COMPUTED_VALUE"""),65.0)</f>
        <v>65</v>
      </c>
    </row>
    <row r="88" ht="15.75" customHeight="1">
      <c r="A88" s="1" t="str">
        <f>IFERROR(__xludf.DUMMYFUNCTION("""COMPUTED_VALUE"""),"STD-1354")</f>
        <v>STD-1354</v>
      </c>
      <c r="B88" s="1" t="str">
        <f>IFERROR(__xludf.DUMMYFUNCTION("""COMPUTED_VALUE"""),"Arjun Singh")</f>
        <v>Arjun Singh</v>
      </c>
      <c r="C88" s="1">
        <f>IFERROR(__xludf.DUMMYFUNCTION("""COMPUTED_VALUE"""),60.0)</f>
        <v>60</v>
      </c>
    </row>
    <row r="89" ht="15.75" customHeight="1">
      <c r="A89" s="1" t="str">
        <f>IFERROR(__xludf.DUMMYFUNCTION("""COMPUTED_VALUE"""),"STD-1363")</f>
        <v>STD-1363</v>
      </c>
      <c r="B89" s="1" t="str">
        <f>IFERROR(__xludf.DUMMYFUNCTION("""COMPUTED_VALUE"""),"Shreya Kulkarni")</f>
        <v>Shreya Kulkarni</v>
      </c>
      <c r="C89" s="1">
        <f>IFERROR(__xludf.DUMMYFUNCTION("""COMPUTED_VALUE"""),67.0)</f>
        <v>67</v>
      </c>
    </row>
    <row r="90" ht="15.75" customHeight="1">
      <c r="A90" s="1" t="str">
        <f>IFERROR(__xludf.DUMMYFUNCTION("""COMPUTED_VALUE"""),"STD-1364")</f>
        <v>STD-1364</v>
      </c>
      <c r="B90" s="1" t="str">
        <f>IFERROR(__xludf.DUMMYFUNCTION("""COMPUTED_VALUE"""),"Priya Verma")</f>
        <v>Priya Verma</v>
      </c>
      <c r="C90" s="1">
        <f>IFERROR(__xludf.DUMMYFUNCTION("""COMPUTED_VALUE"""),65.0)</f>
        <v>65</v>
      </c>
    </row>
    <row r="91" ht="15.75" customHeight="1">
      <c r="A91" s="1" t="str">
        <f>IFERROR(__xludf.DUMMYFUNCTION("""COMPUTED_VALUE"""),"STD-1366")</f>
        <v>STD-1366</v>
      </c>
      <c r="B91" s="1" t="str">
        <f>IFERROR(__xludf.DUMMYFUNCTION("""COMPUTED_VALUE"""),"Pooja Verma")</f>
        <v>Pooja Verma</v>
      </c>
      <c r="C91" s="1">
        <f>IFERROR(__xludf.DUMMYFUNCTION("""COMPUTED_VALUE"""),64.0)</f>
        <v>64</v>
      </c>
    </row>
    <row r="92" ht="15.75" customHeight="1">
      <c r="A92" s="1" t="str">
        <f>IFERROR(__xludf.DUMMYFUNCTION("""COMPUTED_VALUE"""),"STD-1367")</f>
        <v>STD-1367</v>
      </c>
      <c r="B92" s="1" t="str">
        <f>IFERROR(__xludf.DUMMYFUNCTION("""COMPUTED_VALUE"""),"Arjun Sharma")</f>
        <v>Arjun Sharma</v>
      </c>
      <c r="C92" s="1">
        <f>IFERROR(__xludf.DUMMYFUNCTION("""COMPUTED_VALUE"""),60.0)</f>
        <v>60</v>
      </c>
    </row>
    <row r="93" ht="15.75" customHeight="1">
      <c r="A93" s="1" t="str">
        <f>IFERROR(__xludf.DUMMYFUNCTION("""COMPUTED_VALUE"""),"STD-1370")</f>
        <v>STD-1370</v>
      </c>
      <c r="B93" s="1" t="str">
        <f>IFERROR(__xludf.DUMMYFUNCTION("""COMPUTED_VALUE"""),"Arjun Banerjee")</f>
        <v>Arjun Banerjee</v>
      </c>
      <c r="C93" s="1">
        <f>IFERROR(__xludf.DUMMYFUNCTION("""COMPUTED_VALUE"""),66.0)</f>
        <v>66</v>
      </c>
    </row>
    <row r="94" ht="15.75" customHeight="1">
      <c r="A94" s="1" t="str">
        <f>IFERROR(__xludf.DUMMYFUNCTION("""COMPUTED_VALUE"""),"STD-1372")</f>
        <v>STD-1372</v>
      </c>
      <c r="B94" s="1" t="str">
        <f>IFERROR(__xludf.DUMMYFUNCTION("""COMPUTED_VALUE"""),"Priya Jain")</f>
        <v>Priya Jain</v>
      </c>
      <c r="C94" s="1">
        <f>IFERROR(__xludf.DUMMYFUNCTION("""COMPUTED_VALUE"""),60.0)</f>
        <v>60</v>
      </c>
    </row>
    <row r="95" ht="15.75" customHeight="1">
      <c r="A95" s="1" t="str">
        <f>IFERROR(__xludf.DUMMYFUNCTION("""COMPUTED_VALUE"""),"STD-1375")</f>
        <v>STD-1375</v>
      </c>
      <c r="B95" s="1" t="str">
        <f>IFERROR(__xludf.DUMMYFUNCTION("""COMPUTED_VALUE"""),"Karan Kulkarni")</f>
        <v>Karan Kulkarni</v>
      </c>
      <c r="C95" s="1">
        <f>IFERROR(__xludf.DUMMYFUNCTION("""COMPUTED_VALUE"""),67.0)</f>
        <v>67</v>
      </c>
    </row>
    <row r="96" ht="15.75" customHeight="1">
      <c r="A96" s="1" t="str">
        <f>IFERROR(__xludf.DUMMYFUNCTION("""COMPUTED_VALUE"""),"STD-1383")</f>
        <v>STD-1383</v>
      </c>
      <c r="B96" s="1" t="str">
        <f>IFERROR(__xludf.DUMMYFUNCTION("""COMPUTED_VALUE"""),"Shreya Das")</f>
        <v>Shreya Das</v>
      </c>
      <c r="C96" s="1">
        <f>IFERROR(__xludf.DUMMYFUNCTION("""COMPUTED_VALUE"""),65.0)</f>
        <v>65</v>
      </c>
    </row>
    <row r="97" ht="15.75" customHeight="1">
      <c r="A97" s="1" t="str">
        <f>IFERROR(__xludf.DUMMYFUNCTION("""COMPUTED_VALUE"""),"STD-1385")</f>
        <v>STD-1385</v>
      </c>
      <c r="B97" s="1" t="str">
        <f>IFERROR(__xludf.DUMMYFUNCTION("""COMPUTED_VALUE"""),"Ritika Das")</f>
        <v>Ritika Das</v>
      </c>
      <c r="C97" s="1">
        <f>IFERROR(__xludf.DUMMYFUNCTION("""COMPUTED_VALUE"""),68.0)</f>
        <v>68</v>
      </c>
    </row>
    <row r="98" ht="15.75" customHeight="1">
      <c r="A98" s="1" t="str">
        <f>IFERROR(__xludf.DUMMYFUNCTION("""COMPUTED_VALUE"""),"STD-1387")</f>
        <v>STD-1387</v>
      </c>
      <c r="B98" s="1" t="str">
        <f>IFERROR(__xludf.DUMMYFUNCTION("""COMPUTED_VALUE"""),"Aditya Banerjee")</f>
        <v>Aditya Banerjee</v>
      </c>
      <c r="C98" s="1">
        <f>IFERROR(__xludf.DUMMYFUNCTION("""COMPUTED_VALUE"""),68.0)</f>
        <v>68</v>
      </c>
    </row>
    <row r="99" ht="15.75" customHeight="1">
      <c r="A99" s="1" t="str">
        <f>IFERROR(__xludf.DUMMYFUNCTION("""COMPUTED_VALUE"""),"STD-1391")</f>
        <v>STD-1391</v>
      </c>
      <c r="B99" s="1" t="str">
        <f>IFERROR(__xludf.DUMMYFUNCTION("""COMPUTED_VALUE"""),"Sneha Jain")</f>
        <v>Sneha Jain</v>
      </c>
      <c r="C99" s="1">
        <f>IFERROR(__xludf.DUMMYFUNCTION("""COMPUTED_VALUE"""),63.0)</f>
        <v>63</v>
      </c>
    </row>
    <row r="100" ht="15.75" customHeight="1">
      <c r="A100" s="1" t="str">
        <f>IFERROR(__xludf.DUMMYFUNCTION("""COMPUTED_VALUE"""),"STD-1405")</f>
        <v>STD-1405</v>
      </c>
      <c r="B100" s="1" t="str">
        <f>IFERROR(__xludf.DUMMYFUNCTION("""COMPUTED_VALUE"""),"Sneha Singh")</f>
        <v>Sneha Singh</v>
      </c>
      <c r="C100" s="1">
        <f>IFERROR(__xludf.DUMMYFUNCTION("""COMPUTED_VALUE"""),66.0)</f>
        <v>66</v>
      </c>
    </row>
    <row r="101" ht="15.75" customHeight="1">
      <c r="A101" s="1" t="str">
        <f>IFERROR(__xludf.DUMMYFUNCTION("""COMPUTED_VALUE"""),"STD-1407")</f>
        <v>STD-1407</v>
      </c>
      <c r="B101" s="1" t="str">
        <f>IFERROR(__xludf.DUMMYFUNCTION("""COMPUTED_VALUE"""),"Karan Sharma")</f>
        <v>Karan Sharma</v>
      </c>
      <c r="C101" s="1">
        <f>IFERROR(__xludf.DUMMYFUNCTION("""COMPUTED_VALUE"""),68.0)</f>
        <v>68</v>
      </c>
    </row>
    <row r="102" ht="15.75" customHeight="1">
      <c r="A102" s="1" t="str">
        <f>IFERROR(__xludf.DUMMYFUNCTION("""COMPUTED_VALUE"""),"STD-1410")</f>
        <v>STD-1410</v>
      </c>
      <c r="B102" s="1" t="str">
        <f>IFERROR(__xludf.DUMMYFUNCTION("""COMPUTED_VALUE"""),"Arjun Yadav")</f>
        <v>Arjun Yadav</v>
      </c>
      <c r="C102" s="1">
        <f>IFERROR(__xludf.DUMMYFUNCTION("""COMPUTED_VALUE"""),62.0)</f>
        <v>62</v>
      </c>
    </row>
    <row r="103" ht="15.75" customHeight="1">
      <c r="A103" s="1" t="str">
        <f>IFERROR(__xludf.DUMMYFUNCTION("""COMPUTED_VALUE"""),"STD-1412")</f>
        <v>STD-1412</v>
      </c>
      <c r="B103" s="1" t="str">
        <f>IFERROR(__xludf.DUMMYFUNCTION("""COMPUTED_VALUE"""),"Aarav Verma")</f>
        <v>Aarav Verma</v>
      </c>
      <c r="C103" s="1">
        <f>IFERROR(__xludf.DUMMYFUNCTION("""COMPUTED_VALUE"""),60.0)</f>
        <v>60</v>
      </c>
    </row>
    <row r="104" ht="15.75" customHeight="1">
      <c r="A104" s="1" t="str">
        <f>IFERROR(__xludf.DUMMYFUNCTION("""COMPUTED_VALUE"""),"STD-1428")</f>
        <v>STD-1428</v>
      </c>
      <c r="B104" s="1" t="str">
        <f>IFERROR(__xludf.DUMMYFUNCTION("""COMPUTED_VALUE"""),"Meera Kulkarni")</f>
        <v>Meera Kulkarni</v>
      </c>
      <c r="C104" s="1">
        <f>IFERROR(__xludf.DUMMYFUNCTION("""COMPUTED_VALUE"""),61.0)</f>
        <v>61</v>
      </c>
    </row>
    <row r="105" ht="15.75" customHeight="1">
      <c r="A105" s="1" t="str">
        <f>IFERROR(__xludf.DUMMYFUNCTION("""COMPUTED_VALUE"""),"STD-1436")</f>
        <v>STD-1436</v>
      </c>
      <c r="B105" s="1" t="str">
        <f>IFERROR(__xludf.DUMMYFUNCTION("""COMPUTED_VALUE"""),"Sneha Reddy")</f>
        <v>Sneha Reddy</v>
      </c>
      <c r="C105" s="1">
        <f>IFERROR(__xludf.DUMMYFUNCTION("""COMPUTED_VALUE"""),68.0)</f>
        <v>68</v>
      </c>
    </row>
    <row r="106" ht="15.75" customHeight="1">
      <c r="A106" s="1" t="str">
        <f>IFERROR(__xludf.DUMMYFUNCTION("""COMPUTED_VALUE"""),"STD-1439")</f>
        <v>STD-1439</v>
      </c>
      <c r="B106" s="1" t="str">
        <f>IFERROR(__xludf.DUMMYFUNCTION("""COMPUTED_VALUE"""),"Ritika Banerjee")</f>
        <v>Ritika Banerjee</v>
      </c>
      <c r="C106" s="1">
        <f>IFERROR(__xludf.DUMMYFUNCTION("""COMPUTED_VALUE"""),68.0)</f>
        <v>68</v>
      </c>
    </row>
    <row r="107" ht="15.75" customHeight="1">
      <c r="A107" s="1" t="str">
        <f>IFERROR(__xludf.DUMMYFUNCTION("""COMPUTED_VALUE"""),"STD-1440")</f>
        <v>STD-1440</v>
      </c>
      <c r="B107" s="1" t="str">
        <f>IFERROR(__xludf.DUMMYFUNCTION("""COMPUTED_VALUE"""),"Pooja Kulkarni")</f>
        <v>Pooja Kulkarni</v>
      </c>
      <c r="C107" s="1">
        <f>IFERROR(__xludf.DUMMYFUNCTION("""COMPUTED_VALUE"""),64.0)</f>
        <v>64</v>
      </c>
    </row>
    <row r="108" ht="15.75" customHeight="1">
      <c r="A108" s="1" t="str">
        <f>IFERROR(__xludf.DUMMYFUNCTION("""COMPUTED_VALUE"""),"STD-1444")</f>
        <v>STD-1444</v>
      </c>
      <c r="B108" s="1" t="str">
        <f>IFERROR(__xludf.DUMMYFUNCTION("""COMPUTED_VALUE"""),"Simran Singh")</f>
        <v>Simran Singh</v>
      </c>
      <c r="C108" s="1">
        <f>IFERROR(__xludf.DUMMYFUNCTION("""COMPUTED_VALUE"""),64.0)</f>
        <v>64</v>
      </c>
    </row>
    <row r="109" ht="15.75" customHeight="1">
      <c r="A109" s="1" t="str">
        <f>IFERROR(__xludf.DUMMYFUNCTION("""COMPUTED_VALUE"""),"STD-1451")</f>
        <v>STD-1451</v>
      </c>
      <c r="B109" s="1" t="str">
        <f>IFERROR(__xludf.DUMMYFUNCTION("""COMPUTED_VALUE"""),"Tanvi Das")</f>
        <v>Tanvi Das</v>
      </c>
      <c r="C109" s="1">
        <f>IFERROR(__xludf.DUMMYFUNCTION("""COMPUTED_VALUE"""),69.0)</f>
        <v>69</v>
      </c>
    </row>
    <row r="110" ht="15.75" customHeight="1">
      <c r="A110" s="1" t="str">
        <f>IFERROR(__xludf.DUMMYFUNCTION("""COMPUTED_VALUE"""),"STD-1457")</f>
        <v>STD-1457</v>
      </c>
      <c r="B110" s="1" t="str">
        <f>IFERROR(__xludf.DUMMYFUNCTION("""COMPUTED_VALUE"""),"Neha Das")</f>
        <v>Neha Das</v>
      </c>
      <c r="C110" s="1">
        <f>IFERROR(__xludf.DUMMYFUNCTION("""COMPUTED_VALUE"""),64.0)</f>
        <v>64</v>
      </c>
    </row>
    <row r="111" ht="15.75" customHeight="1">
      <c r="A111" s="1" t="str">
        <f>IFERROR(__xludf.DUMMYFUNCTION("""COMPUTED_VALUE"""),"STD-1459")</f>
        <v>STD-1459</v>
      </c>
      <c r="B111" s="1" t="str">
        <f>IFERROR(__xludf.DUMMYFUNCTION("""COMPUTED_VALUE"""),"Pooja Kulkarni")</f>
        <v>Pooja Kulkarni</v>
      </c>
      <c r="C111" s="1">
        <f>IFERROR(__xludf.DUMMYFUNCTION("""COMPUTED_VALUE"""),66.0)</f>
        <v>66</v>
      </c>
    </row>
    <row r="112" ht="15.75" customHeight="1">
      <c r="A112" s="1" t="str">
        <f>IFERROR(__xludf.DUMMYFUNCTION("""COMPUTED_VALUE"""),"STD-1462")</f>
        <v>STD-1462</v>
      </c>
      <c r="B112" s="1" t="str">
        <f>IFERROR(__xludf.DUMMYFUNCTION("""COMPUTED_VALUE"""),"Kavya Verma")</f>
        <v>Kavya Verma</v>
      </c>
      <c r="C112" s="1">
        <f>IFERROR(__xludf.DUMMYFUNCTION("""COMPUTED_VALUE"""),60.0)</f>
        <v>60</v>
      </c>
    </row>
    <row r="113" ht="15.75" customHeight="1">
      <c r="A113" s="1" t="str">
        <f>IFERROR(__xludf.DUMMYFUNCTION("""COMPUTED_VALUE"""),"STD-1472")</f>
        <v>STD-1472</v>
      </c>
      <c r="B113" s="1" t="str">
        <f>IFERROR(__xludf.DUMMYFUNCTION("""COMPUTED_VALUE"""),"Ananya Banerjee")</f>
        <v>Ananya Banerjee</v>
      </c>
      <c r="C113" s="1">
        <f>IFERROR(__xludf.DUMMYFUNCTION("""COMPUTED_VALUE"""),61.0)</f>
        <v>61</v>
      </c>
    </row>
    <row r="114" ht="15.75" customHeight="1">
      <c r="A114" s="1" t="str">
        <f>IFERROR(__xludf.DUMMYFUNCTION("""COMPUTED_VALUE"""),"STD-1480")</f>
        <v>STD-1480</v>
      </c>
      <c r="B114" s="1" t="str">
        <f>IFERROR(__xludf.DUMMYFUNCTION("""COMPUTED_VALUE"""),"Vivaan Banerjee")</f>
        <v>Vivaan Banerjee</v>
      </c>
      <c r="C114" s="1">
        <f>IFERROR(__xludf.DUMMYFUNCTION("""COMPUTED_VALUE"""),62.0)</f>
        <v>62</v>
      </c>
    </row>
    <row r="115" ht="15.75" customHeight="1">
      <c r="A115" s="1" t="str">
        <f>IFERROR(__xludf.DUMMYFUNCTION("""COMPUTED_VALUE"""),"STD-1483")</f>
        <v>STD-1483</v>
      </c>
      <c r="B115" s="1" t="str">
        <f>IFERROR(__xludf.DUMMYFUNCTION("""COMPUTED_VALUE"""),"Pooja Yadav")</f>
        <v>Pooja Yadav</v>
      </c>
      <c r="C115" s="1">
        <f>IFERROR(__xludf.DUMMYFUNCTION("""COMPUTED_VALUE"""),64.0)</f>
        <v>64</v>
      </c>
    </row>
    <row r="116" ht="15.75" customHeight="1">
      <c r="A116" s="1" t="str">
        <f>IFERROR(__xludf.DUMMYFUNCTION("""COMPUTED_VALUE"""),"STD-1488")</f>
        <v>STD-1488</v>
      </c>
      <c r="B116" s="1" t="str">
        <f>IFERROR(__xludf.DUMMYFUNCTION("""COMPUTED_VALUE"""),"Kavya Iyer")</f>
        <v>Kavya Iyer</v>
      </c>
      <c r="C116" s="1">
        <f>IFERROR(__xludf.DUMMYFUNCTION("""COMPUTED_VALUE"""),66.0)</f>
        <v>66</v>
      </c>
    </row>
    <row r="117" ht="15.75" customHeight="1">
      <c r="A117" s="1" t="str">
        <f>IFERROR(__xludf.DUMMYFUNCTION("""COMPUTED_VALUE"""),"STD-1489")</f>
        <v>STD-1489</v>
      </c>
      <c r="B117" s="1" t="str">
        <f>IFERROR(__xludf.DUMMYFUNCTION("""COMPUTED_VALUE"""),"Sneha Kaur")</f>
        <v>Sneha Kaur</v>
      </c>
      <c r="C117" s="1">
        <f>IFERROR(__xludf.DUMMYFUNCTION("""COMPUTED_VALUE"""),62.0)</f>
        <v>62</v>
      </c>
    </row>
    <row r="118" ht="15.75" customHeight="1">
      <c r="A118" s="1" t="str">
        <f>IFERROR(__xludf.DUMMYFUNCTION("""COMPUTED_VALUE"""),"STD-1491")</f>
        <v>STD-1491</v>
      </c>
      <c r="B118" s="1" t="str">
        <f>IFERROR(__xludf.DUMMYFUNCTION("""COMPUTED_VALUE"""),"Tanvi Choudhary")</f>
        <v>Tanvi Choudhary</v>
      </c>
      <c r="C118" s="1">
        <f>IFERROR(__xludf.DUMMYFUNCTION("""COMPUTED_VALUE"""),68.0)</f>
        <v>68</v>
      </c>
    </row>
    <row r="119" ht="15.75" customHeight="1">
      <c r="A119" s="1" t="str">
        <f>IFERROR(__xludf.DUMMYFUNCTION("""COMPUTED_VALUE"""),"STD-1492")</f>
        <v>STD-1492</v>
      </c>
      <c r="B119" s="1" t="str">
        <f>IFERROR(__xludf.DUMMYFUNCTION("""COMPUTED_VALUE"""),"Aditya Banerjee")</f>
        <v>Aditya Banerjee</v>
      </c>
      <c r="C119" s="1">
        <f>IFERROR(__xludf.DUMMYFUNCTION("""COMPUTED_VALUE"""),66.0)</f>
        <v>66</v>
      </c>
    </row>
    <row r="120" ht="15.75" customHeight="1">
      <c r="A120" s="1" t="str">
        <f>IFERROR(__xludf.DUMMYFUNCTION("""COMPUTED_VALUE"""),"STD-1494")</f>
        <v>STD-1494</v>
      </c>
      <c r="B120" s="1" t="str">
        <f>IFERROR(__xludf.DUMMYFUNCTION("""COMPUTED_VALUE"""),"Meera Banerjee")</f>
        <v>Meera Banerjee</v>
      </c>
      <c r="C120" s="1">
        <f>IFERROR(__xludf.DUMMYFUNCTION("""COMPUTED_VALUE"""),65.0)</f>
        <v>65</v>
      </c>
    </row>
    <row r="121" ht="15.75" customHeight="1">
      <c r="A121" s="1" t="str">
        <f>IFERROR(__xludf.DUMMYFUNCTION("""COMPUTED_VALUE"""),"STD-1499")</f>
        <v>STD-1499</v>
      </c>
      <c r="B121" s="1" t="str">
        <f>IFERROR(__xludf.DUMMYFUNCTION("""COMPUTED_VALUE"""),"Kavya Iyer")</f>
        <v>Kavya Iyer</v>
      </c>
      <c r="C121" s="1">
        <f>IFERROR(__xludf.DUMMYFUNCTION("""COMPUTED_VALUE"""),64.0)</f>
        <v>64</v>
      </c>
    </row>
    <row r="122" ht="15.75" customHeight="1">
      <c r="A122" s="1"/>
      <c r="B122" s="1"/>
      <c r="C122" s="1"/>
    </row>
    <row r="123" ht="15.75" customHeight="1">
      <c r="A123" s="1"/>
      <c r="B123" s="1"/>
      <c r="C123" s="1"/>
    </row>
    <row r="124" ht="15.75" customHeight="1">
      <c r="A124" s="1"/>
      <c r="B124" s="1"/>
      <c r="C124" s="1"/>
    </row>
    <row r="125" ht="15.75" customHeight="1">
      <c r="A125" s="1"/>
      <c r="B125" s="1"/>
      <c r="C125" s="1"/>
    </row>
    <row r="126" ht="15.75" customHeight="1">
      <c r="A126" s="1"/>
      <c r="B126" s="1"/>
      <c r="C126" s="1"/>
    </row>
    <row r="127" ht="15.75" customHeight="1">
      <c r="A127" s="1"/>
      <c r="B127" s="1"/>
      <c r="C127" s="1"/>
    </row>
    <row r="128" ht="15.75" customHeight="1">
      <c r="A128" s="1"/>
      <c r="B128" s="1"/>
      <c r="C128" s="1"/>
    </row>
    <row r="129" ht="15.75" customHeight="1">
      <c r="A129" s="1"/>
      <c r="B129" s="1"/>
      <c r="C129" s="1"/>
    </row>
    <row r="130" ht="15.75" customHeight="1">
      <c r="A130" s="1"/>
      <c r="B130" s="1"/>
      <c r="C130" s="1"/>
    </row>
    <row r="131" ht="15.75" customHeight="1">
      <c r="A131" s="1"/>
      <c r="B131" s="1"/>
      <c r="C131" s="1"/>
    </row>
    <row r="132" ht="15.75" customHeight="1">
      <c r="A132" s="1"/>
      <c r="B132" s="1"/>
      <c r="C132" s="1"/>
    </row>
    <row r="133" ht="15.75" customHeight="1">
      <c r="A133" s="1"/>
      <c r="B133" s="1"/>
      <c r="C133" s="1"/>
    </row>
    <row r="134" ht="15.75" customHeight="1">
      <c r="A134" s="1"/>
      <c r="B134" s="1"/>
      <c r="C134" s="1"/>
    </row>
    <row r="135" ht="15.75" customHeight="1">
      <c r="A135" s="1"/>
      <c r="B135" s="1"/>
      <c r="C135" s="1"/>
    </row>
    <row r="136" ht="15.75" customHeight="1">
      <c r="A136" s="1"/>
      <c r="B136" s="1"/>
      <c r="C136" s="1"/>
    </row>
    <row r="137" ht="15.75" customHeight="1">
      <c r="A137" s="1"/>
      <c r="B137" s="1"/>
      <c r="C137" s="1"/>
    </row>
    <row r="138" ht="15.75" customHeight="1">
      <c r="A138" s="1"/>
      <c r="B138" s="1"/>
      <c r="C138" s="1"/>
    </row>
    <row r="139" ht="15.75" customHeight="1">
      <c r="A139" s="1"/>
      <c r="B139" s="1"/>
      <c r="C139" s="1"/>
    </row>
    <row r="140" ht="15.75" customHeight="1">
      <c r="A140" s="1"/>
      <c r="B140" s="1"/>
      <c r="C140" s="1"/>
    </row>
    <row r="141" ht="15.75" customHeight="1">
      <c r="A141" s="1"/>
      <c r="B141" s="1"/>
      <c r="C141" s="1"/>
    </row>
    <row r="142" ht="15.75" customHeight="1">
      <c r="A142" s="1"/>
      <c r="B142" s="1"/>
      <c r="C142" s="1"/>
    </row>
    <row r="143" ht="15.75" customHeight="1">
      <c r="A143" s="1"/>
      <c r="B143" s="1"/>
      <c r="C143" s="1"/>
    </row>
    <row r="144" ht="15.75" customHeight="1">
      <c r="A144" s="1"/>
      <c r="B144" s="1"/>
      <c r="C144" s="1"/>
    </row>
    <row r="145" ht="15.75" customHeight="1">
      <c r="A145" s="1"/>
      <c r="B145" s="1"/>
      <c r="C145" s="1"/>
    </row>
    <row r="146" ht="15.75" customHeight="1">
      <c r="A146" s="1"/>
      <c r="B146" s="1"/>
      <c r="C146" s="1"/>
    </row>
    <row r="147" ht="15.75" customHeight="1">
      <c r="A147" s="1"/>
      <c r="B147" s="1"/>
      <c r="C147" s="1"/>
    </row>
    <row r="148" ht="15.75" customHeight="1">
      <c r="A148" s="1"/>
      <c r="B148" s="1"/>
      <c r="C148" s="1"/>
    </row>
    <row r="149" ht="15.75" customHeight="1">
      <c r="A149" s="1"/>
      <c r="B149" s="1"/>
      <c r="C149" s="1"/>
    </row>
    <row r="150" ht="15.75" customHeight="1">
      <c r="A150" s="1"/>
      <c r="B150" s="1"/>
      <c r="C150" s="1"/>
    </row>
    <row r="151" ht="15.75" customHeight="1">
      <c r="A151" s="1"/>
      <c r="B151" s="1"/>
      <c r="C151" s="1"/>
    </row>
    <row r="152" ht="15.75" customHeight="1">
      <c r="A152" s="1"/>
      <c r="B152" s="1"/>
      <c r="C152" s="1"/>
    </row>
    <row r="153" ht="15.75" customHeight="1">
      <c r="A153" s="1"/>
      <c r="B153" s="1"/>
      <c r="C153" s="1"/>
    </row>
    <row r="154" ht="15.75" customHeight="1">
      <c r="A154" s="1"/>
      <c r="B154" s="1"/>
      <c r="C154" s="1"/>
    </row>
    <row r="155" ht="15.75" customHeight="1">
      <c r="A155" s="1"/>
      <c r="B155" s="1"/>
      <c r="C155" s="1"/>
    </row>
    <row r="156" ht="15.75" customHeight="1">
      <c r="A156" s="1"/>
      <c r="B156" s="1"/>
      <c r="C156" s="1"/>
    </row>
    <row r="157" ht="15.75" customHeight="1">
      <c r="A157" s="1"/>
      <c r="B157" s="1"/>
      <c r="C157" s="1"/>
    </row>
    <row r="158" ht="15.75" customHeight="1">
      <c r="A158" s="1"/>
      <c r="B158" s="1"/>
      <c r="C158" s="1"/>
    </row>
    <row r="159" ht="15.75" customHeight="1">
      <c r="A159" s="1"/>
      <c r="B159" s="1"/>
      <c r="C159" s="1"/>
    </row>
    <row r="160" ht="15.75" customHeight="1">
      <c r="A160" s="1"/>
      <c r="B160" s="1"/>
      <c r="C160" s="1"/>
    </row>
    <row r="161" ht="15.75" customHeight="1">
      <c r="A161" s="1"/>
      <c r="B161" s="1"/>
      <c r="C161" s="1"/>
    </row>
    <row r="162" ht="15.75" customHeight="1">
      <c r="A162" s="1"/>
      <c r="B162" s="1"/>
      <c r="C162" s="1"/>
    </row>
    <row r="163" ht="15.75" customHeight="1">
      <c r="A163" s="1"/>
      <c r="B163" s="1"/>
      <c r="C163" s="1"/>
    </row>
    <row r="164" ht="15.75" customHeight="1">
      <c r="A164" s="1"/>
      <c r="B164" s="1"/>
      <c r="C164" s="1"/>
    </row>
    <row r="165" ht="15.75" customHeight="1">
      <c r="A165" s="1"/>
      <c r="B165" s="1"/>
      <c r="C165" s="1"/>
    </row>
    <row r="166" ht="15.75" customHeight="1">
      <c r="A166" s="1"/>
      <c r="B166" s="1"/>
      <c r="C166" s="1"/>
    </row>
    <row r="167" ht="15.75" customHeight="1">
      <c r="A167" s="1"/>
      <c r="B167" s="1"/>
      <c r="C167" s="1"/>
    </row>
    <row r="168" ht="15.75" customHeight="1">
      <c r="A168" s="1"/>
      <c r="B168" s="1"/>
      <c r="C168" s="1"/>
    </row>
    <row r="169" ht="15.75" customHeight="1">
      <c r="A169" s="1"/>
      <c r="B169" s="1"/>
      <c r="C169" s="1"/>
    </row>
    <row r="170" ht="15.75" customHeight="1">
      <c r="A170" s="1"/>
      <c r="B170" s="1"/>
      <c r="C170" s="1"/>
    </row>
    <row r="171" ht="15.75" customHeight="1">
      <c r="A171" s="1"/>
      <c r="B171" s="1"/>
      <c r="C171" s="1"/>
    </row>
    <row r="172" ht="15.75" customHeight="1">
      <c r="A172" s="1"/>
      <c r="B172" s="1"/>
      <c r="C172" s="1"/>
    </row>
    <row r="173" ht="15.75" customHeight="1">
      <c r="A173" s="1"/>
      <c r="B173" s="1"/>
      <c r="C173" s="1"/>
    </row>
    <row r="174" ht="15.75" customHeight="1">
      <c r="A174" s="1"/>
      <c r="B174" s="1"/>
      <c r="C174" s="1"/>
    </row>
    <row r="175" ht="15.75" customHeight="1">
      <c r="A175" s="1"/>
      <c r="B175" s="1"/>
      <c r="C175" s="1"/>
    </row>
    <row r="176" ht="15.75" customHeight="1">
      <c r="A176" s="1"/>
      <c r="B176" s="1"/>
      <c r="C176" s="1"/>
    </row>
    <row r="177" ht="15.75" customHeight="1">
      <c r="A177" s="1"/>
      <c r="B177" s="1"/>
      <c r="C177" s="1"/>
    </row>
    <row r="178" ht="15.75" customHeight="1">
      <c r="A178" s="1"/>
      <c r="B178" s="1"/>
      <c r="C178" s="1"/>
    </row>
    <row r="179" ht="15.75" customHeight="1">
      <c r="A179" s="1"/>
      <c r="B179" s="1"/>
      <c r="C179" s="1"/>
    </row>
    <row r="180" ht="15.75" customHeight="1">
      <c r="A180" s="1"/>
      <c r="B180" s="1"/>
      <c r="C180" s="1"/>
    </row>
    <row r="181" ht="15.75" customHeight="1">
      <c r="A181" s="1"/>
      <c r="B181" s="1"/>
      <c r="C181" s="1"/>
    </row>
    <row r="182" ht="15.75" customHeight="1">
      <c r="A182" s="1"/>
      <c r="B182" s="1"/>
      <c r="C182" s="1"/>
    </row>
    <row r="183" ht="15.75" customHeight="1">
      <c r="A183" s="1"/>
      <c r="B183" s="1"/>
      <c r="C183" s="1"/>
    </row>
    <row r="184" ht="15.75" customHeight="1">
      <c r="A184" s="1"/>
      <c r="B184" s="1"/>
      <c r="C184" s="1"/>
    </row>
    <row r="185" ht="15.75" customHeight="1">
      <c r="A185" s="1"/>
      <c r="B185" s="1"/>
      <c r="C185" s="1"/>
    </row>
    <row r="186" ht="15.75" customHeight="1">
      <c r="A186" s="1"/>
      <c r="B186" s="1"/>
      <c r="C186" s="1"/>
    </row>
    <row r="187" ht="15.75" customHeight="1">
      <c r="A187" s="1"/>
      <c r="B187" s="1"/>
      <c r="C187" s="1"/>
    </row>
    <row r="188" ht="15.75" customHeight="1">
      <c r="A188" s="1"/>
      <c r="B188" s="1"/>
      <c r="C188" s="1"/>
    </row>
    <row r="189" ht="15.75" customHeight="1">
      <c r="A189" s="1"/>
      <c r="B189" s="1"/>
      <c r="C189" s="1"/>
    </row>
    <row r="190" ht="15.75" customHeight="1">
      <c r="A190" s="1"/>
      <c r="B190" s="1"/>
      <c r="C190" s="1"/>
    </row>
    <row r="191" ht="15.75" customHeight="1">
      <c r="A191" s="1"/>
      <c r="B191" s="1"/>
      <c r="C191" s="1"/>
    </row>
    <row r="192" ht="15.75" customHeight="1">
      <c r="A192" s="1"/>
      <c r="B192" s="1"/>
      <c r="C192" s="1"/>
    </row>
    <row r="193" ht="15.75" customHeight="1">
      <c r="A193" s="1"/>
      <c r="B193" s="1"/>
      <c r="C193" s="1"/>
    </row>
    <row r="194" ht="15.75" customHeight="1">
      <c r="A194" s="1"/>
      <c r="B194" s="1"/>
      <c r="C194" s="1"/>
    </row>
    <row r="195" ht="15.75" customHeight="1">
      <c r="A195" s="1"/>
      <c r="B195" s="1"/>
      <c r="C195" s="1"/>
    </row>
    <row r="196" ht="15.75" customHeight="1">
      <c r="A196" s="1"/>
      <c r="B196" s="1"/>
      <c r="C196" s="1"/>
    </row>
    <row r="197" ht="15.75" customHeight="1">
      <c r="A197" s="1"/>
      <c r="B197" s="1"/>
      <c r="C197" s="1"/>
    </row>
    <row r="198" ht="15.75" customHeight="1">
      <c r="A198" s="1"/>
      <c r="B198" s="1"/>
      <c r="C198" s="1"/>
    </row>
    <row r="199" ht="15.75" customHeight="1">
      <c r="A199" s="1"/>
      <c r="B199" s="1"/>
      <c r="C199" s="1"/>
    </row>
    <row r="200" ht="15.75" customHeight="1">
      <c r="A200" s="1"/>
      <c r="B200" s="1"/>
      <c r="C200" s="1"/>
    </row>
    <row r="201" ht="15.75" customHeight="1">
      <c r="A201" s="1"/>
      <c r="B201" s="1"/>
      <c r="C201" s="1"/>
    </row>
    <row r="202" ht="15.75" customHeight="1">
      <c r="A202" s="1"/>
      <c r="B202" s="1"/>
      <c r="C202" s="1"/>
    </row>
    <row r="203" ht="15.75" customHeight="1">
      <c r="A203" s="1"/>
      <c r="B203" s="1"/>
      <c r="C203" s="1"/>
    </row>
    <row r="204" ht="15.75" customHeight="1">
      <c r="A204" s="1"/>
      <c r="B204" s="1"/>
      <c r="C204" s="1"/>
    </row>
    <row r="205" ht="15.75" customHeight="1">
      <c r="A205" s="1"/>
      <c r="B205" s="1"/>
      <c r="C205" s="1"/>
    </row>
    <row r="206" ht="15.75" customHeight="1">
      <c r="A206" s="1"/>
      <c r="B206" s="1"/>
      <c r="C206" s="1"/>
    </row>
    <row r="207" ht="15.75" customHeight="1">
      <c r="A207" s="1"/>
      <c r="B207" s="1"/>
      <c r="C207" s="1"/>
    </row>
    <row r="208" ht="15.75" customHeight="1">
      <c r="A208" s="1"/>
      <c r="B208" s="1"/>
      <c r="C208" s="1"/>
    </row>
    <row r="209" ht="15.75" customHeight="1">
      <c r="A209" s="1"/>
      <c r="B209" s="1"/>
      <c r="C209" s="1"/>
    </row>
    <row r="210" ht="15.75" customHeight="1">
      <c r="A210" s="1"/>
      <c r="B210" s="1"/>
      <c r="C210" s="1"/>
    </row>
    <row r="211" ht="15.75" customHeight="1">
      <c r="A211" s="1"/>
      <c r="B211" s="1"/>
      <c r="C211" s="1"/>
    </row>
    <row r="212" ht="15.75" customHeight="1">
      <c r="A212" s="1"/>
      <c r="B212" s="1"/>
      <c r="C212" s="1"/>
    </row>
    <row r="213" ht="15.75" customHeight="1">
      <c r="A213" s="1"/>
      <c r="B213" s="1"/>
      <c r="C213" s="1"/>
    </row>
    <row r="214" ht="15.75" customHeight="1">
      <c r="A214" s="1"/>
      <c r="B214" s="1"/>
      <c r="C214" s="1"/>
    </row>
    <row r="215" ht="15.75" customHeight="1">
      <c r="A215" s="1"/>
      <c r="B215" s="1"/>
      <c r="C215" s="1"/>
    </row>
    <row r="216" ht="15.75" customHeight="1">
      <c r="A216" s="1"/>
      <c r="B216" s="1"/>
      <c r="C216" s="1"/>
    </row>
    <row r="217" ht="15.75" customHeight="1">
      <c r="A217" s="1"/>
      <c r="B217" s="1"/>
      <c r="C217" s="1"/>
    </row>
    <row r="218" ht="15.75" customHeight="1">
      <c r="A218" s="1"/>
      <c r="B218" s="1"/>
      <c r="C218" s="1"/>
    </row>
    <row r="219" ht="15.75" customHeight="1">
      <c r="A219" s="1"/>
      <c r="B219" s="1"/>
      <c r="C219" s="1"/>
    </row>
    <row r="220" ht="15.75" customHeight="1">
      <c r="A220" s="1"/>
      <c r="B220" s="1"/>
      <c r="C220" s="1"/>
    </row>
    <row r="221" ht="15.75" customHeight="1">
      <c r="A221" s="1"/>
      <c r="B221" s="1"/>
      <c r="C221" s="1"/>
    </row>
    <row r="222" ht="15.75" customHeight="1">
      <c r="A222" s="1"/>
      <c r="B222" s="1"/>
      <c r="C222" s="1"/>
    </row>
    <row r="223" ht="15.75" customHeight="1">
      <c r="A223" s="1"/>
      <c r="B223" s="1"/>
      <c r="C223" s="1"/>
    </row>
    <row r="224" ht="15.75" customHeight="1">
      <c r="A224" s="1"/>
      <c r="B224" s="1"/>
      <c r="C224" s="1"/>
    </row>
    <row r="225" ht="15.75" customHeight="1">
      <c r="A225" s="1"/>
      <c r="B225" s="1"/>
      <c r="C225" s="1"/>
    </row>
    <row r="226" ht="15.75" customHeight="1">
      <c r="A226" s="1"/>
      <c r="B226" s="1"/>
      <c r="C226" s="1"/>
    </row>
    <row r="227" ht="15.75" customHeight="1">
      <c r="A227" s="1"/>
      <c r="B227" s="1"/>
      <c r="C227" s="1"/>
    </row>
    <row r="228" ht="15.75" customHeight="1">
      <c r="A228" s="1"/>
      <c r="B228" s="1"/>
      <c r="C228" s="1"/>
    </row>
    <row r="229" ht="15.75" customHeight="1">
      <c r="A229" s="1"/>
      <c r="B229" s="1"/>
      <c r="C229" s="1"/>
    </row>
    <row r="230" ht="15.75" customHeight="1">
      <c r="A230" s="1"/>
      <c r="B230" s="1"/>
      <c r="C230" s="1"/>
    </row>
    <row r="231" ht="15.75" customHeight="1">
      <c r="A231" s="1"/>
      <c r="B231" s="1"/>
      <c r="C231" s="1"/>
    </row>
    <row r="232" ht="15.75" customHeight="1">
      <c r="A232" s="1"/>
      <c r="B232" s="1"/>
      <c r="C232" s="1"/>
    </row>
    <row r="233" ht="15.75" customHeight="1">
      <c r="A233" s="1"/>
      <c r="B233" s="1"/>
      <c r="C233" s="1"/>
    </row>
    <row r="234" ht="15.75" customHeight="1">
      <c r="A234" s="1"/>
      <c r="B234" s="1"/>
      <c r="C234" s="1"/>
    </row>
    <row r="235" ht="15.75" customHeight="1">
      <c r="A235" s="1"/>
      <c r="B235" s="1"/>
      <c r="C235" s="1"/>
    </row>
    <row r="236" ht="15.75" customHeight="1">
      <c r="A236" s="1"/>
      <c r="B236" s="1"/>
      <c r="C236" s="1"/>
    </row>
    <row r="237" ht="15.75" customHeight="1">
      <c r="A237" s="1"/>
      <c r="B237" s="1"/>
      <c r="C237" s="1"/>
    </row>
    <row r="238" ht="15.75" customHeight="1">
      <c r="A238" s="1"/>
      <c r="B238" s="1"/>
      <c r="C238" s="1"/>
    </row>
    <row r="239" ht="15.75" customHeight="1">
      <c r="A239" s="1"/>
      <c r="B239" s="1"/>
      <c r="C239" s="1"/>
    </row>
    <row r="240" ht="15.75" customHeight="1">
      <c r="A240" s="1"/>
      <c r="B240" s="1"/>
      <c r="C240" s="1"/>
    </row>
    <row r="241" ht="15.75" customHeight="1">
      <c r="A241" s="1"/>
      <c r="B241" s="1"/>
      <c r="C241" s="1"/>
    </row>
    <row r="242" ht="15.75" customHeight="1">
      <c r="A242" s="1"/>
      <c r="B242" s="1"/>
      <c r="C242" s="1"/>
    </row>
    <row r="243" ht="15.75" customHeight="1">
      <c r="A243" s="1"/>
      <c r="B243" s="1"/>
      <c r="C243" s="1"/>
    </row>
    <row r="244" ht="15.75" customHeight="1">
      <c r="A244" s="1"/>
      <c r="B244" s="1"/>
      <c r="C244" s="1"/>
    </row>
    <row r="245" ht="15.75" customHeight="1">
      <c r="A245" s="1"/>
      <c r="B245" s="1"/>
      <c r="C245" s="1"/>
    </row>
    <row r="246" ht="15.75" customHeight="1">
      <c r="A246" s="1"/>
      <c r="B246" s="1"/>
      <c r="C246" s="1"/>
    </row>
    <row r="247" ht="15.75" customHeight="1">
      <c r="A247" s="1"/>
      <c r="B247" s="1"/>
      <c r="C247" s="1"/>
    </row>
    <row r="248" ht="15.75" customHeight="1">
      <c r="A248" s="1"/>
      <c r="B248" s="1"/>
      <c r="C248" s="1"/>
    </row>
    <row r="249" ht="15.75" customHeight="1">
      <c r="A249" s="1"/>
      <c r="B249" s="1"/>
      <c r="C249" s="1"/>
    </row>
    <row r="250" ht="15.75" customHeight="1">
      <c r="A250" s="1"/>
      <c r="B250" s="1"/>
      <c r="C250" s="1"/>
    </row>
    <row r="251" ht="15.75" customHeight="1">
      <c r="A251" s="1"/>
      <c r="B251" s="1"/>
      <c r="C251" s="1"/>
    </row>
    <row r="252" ht="15.75" customHeight="1">
      <c r="A252" s="1"/>
      <c r="B252" s="1"/>
      <c r="C252" s="1"/>
    </row>
    <row r="253" ht="15.75" customHeight="1">
      <c r="A253" s="1"/>
      <c r="B253" s="1"/>
      <c r="C253" s="1"/>
    </row>
    <row r="254" ht="15.75" customHeight="1">
      <c r="A254" s="1"/>
      <c r="B254" s="1"/>
      <c r="C254" s="1"/>
    </row>
    <row r="255" ht="15.75" customHeight="1">
      <c r="A255" s="1"/>
      <c r="B255" s="1"/>
      <c r="C255" s="1"/>
    </row>
    <row r="256" ht="15.75" customHeight="1">
      <c r="A256" s="1"/>
      <c r="B256" s="1"/>
      <c r="C256" s="1"/>
    </row>
    <row r="257" ht="15.75" customHeight="1">
      <c r="A257" s="1"/>
      <c r="B257" s="1"/>
      <c r="C257" s="1"/>
    </row>
    <row r="258" ht="15.75" customHeight="1">
      <c r="A258" s="1"/>
      <c r="B258" s="1"/>
      <c r="C258" s="1"/>
    </row>
    <row r="259" ht="15.75" customHeight="1">
      <c r="A259" s="1"/>
      <c r="B259" s="1"/>
      <c r="C259" s="1"/>
    </row>
    <row r="260" ht="15.75" customHeight="1">
      <c r="A260" s="1"/>
      <c r="B260" s="1"/>
      <c r="C260" s="1"/>
    </row>
    <row r="261" ht="15.75" customHeight="1">
      <c r="A261" s="1"/>
      <c r="B261" s="1"/>
      <c r="C261" s="1"/>
    </row>
    <row r="262" ht="15.75" customHeight="1">
      <c r="A262" s="1"/>
      <c r="B262" s="1"/>
      <c r="C262" s="1"/>
    </row>
    <row r="263" ht="15.75" customHeight="1">
      <c r="A263" s="1"/>
      <c r="B263" s="1"/>
      <c r="C263" s="1"/>
    </row>
    <row r="264" ht="15.75" customHeight="1">
      <c r="A264" s="1"/>
      <c r="B264" s="1"/>
      <c r="C264" s="1"/>
    </row>
    <row r="265" ht="15.75" customHeight="1">
      <c r="A265" s="1"/>
      <c r="B265" s="1"/>
      <c r="C265" s="1"/>
    </row>
    <row r="266" ht="15.75" customHeight="1">
      <c r="A266" s="1"/>
      <c r="B266" s="1"/>
      <c r="C266" s="1"/>
    </row>
    <row r="267" ht="15.75" customHeight="1">
      <c r="A267" s="1"/>
      <c r="B267" s="1"/>
      <c r="C267" s="1"/>
    </row>
    <row r="268" ht="15.75" customHeight="1">
      <c r="A268" s="1"/>
      <c r="B268" s="1"/>
      <c r="C268" s="1"/>
    </row>
    <row r="269" ht="15.75" customHeight="1">
      <c r="A269" s="1"/>
      <c r="B269" s="1"/>
      <c r="C269" s="1"/>
    </row>
    <row r="270" ht="15.75" customHeight="1">
      <c r="A270" s="1"/>
      <c r="B270" s="1"/>
      <c r="C270" s="1"/>
    </row>
    <row r="271" ht="15.75" customHeight="1">
      <c r="A271" s="1"/>
      <c r="B271" s="1"/>
      <c r="C271" s="1"/>
    </row>
    <row r="272" ht="15.75" customHeight="1">
      <c r="A272" s="1"/>
      <c r="B272" s="1"/>
      <c r="C272" s="1"/>
    </row>
    <row r="273" ht="15.75" customHeight="1">
      <c r="A273" s="1"/>
      <c r="B273" s="1"/>
      <c r="C273" s="1"/>
    </row>
    <row r="274" ht="15.75" customHeight="1">
      <c r="A274" s="1"/>
      <c r="B274" s="1"/>
      <c r="C274" s="1"/>
    </row>
    <row r="275" ht="15.75" customHeight="1">
      <c r="A275" s="1"/>
      <c r="B275" s="1"/>
      <c r="C275" s="1"/>
    </row>
    <row r="276" ht="15.75" customHeight="1">
      <c r="A276" s="1"/>
      <c r="B276" s="1"/>
      <c r="C276" s="1"/>
    </row>
    <row r="277" ht="15.75" customHeight="1">
      <c r="A277" s="1"/>
      <c r="B277" s="1"/>
      <c r="C277" s="1"/>
    </row>
    <row r="278" ht="15.75" customHeight="1">
      <c r="A278" s="1"/>
      <c r="B278" s="1"/>
      <c r="C278" s="1"/>
    </row>
    <row r="279" ht="15.75" customHeight="1">
      <c r="A279" s="1"/>
      <c r="B279" s="1"/>
      <c r="C279" s="1"/>
    </row>
    <row r="280" ht="15.75" customHeight="1">
      <c r="A280" s="1"/>
      <c r="B280" s="1"/>
      <c r="C280" s="1"/>
    </row>
    <row r="281" ht="15.75" customHeight="1">
      <c r="A281" s="1"/>
      <c r="B281" s="1"/>
      <c r="C281" s="1"/>
    </row>
    <row r="282" ht="15.75" customHeight="1">
      <c r="A282" s="1"/>
      <c r="B282" s="1"/>
      <c r="C282" s="1"/>
    </row>
    <row r="283" ht="15.75" customHeight="1">
      <c r="A283" s="1"/>
      <c r="B283" s="1"/>
      <c r="C283" s="1"/>
    </row>
    <row r="284" ht="15.75" customHeight="1">
      <c r="A284" s="1"/>
      <c r="B284" s="1"/>
      <c r="C284" s="1"/>
    </row>
    <row r="285" ht="15.75" customHeight="1">
      <c r="A285" s="1"/>
      <c r="B285" s="1"/>
      <c r="C285" s="1"/>
    </row>
    <row r="286" ht="15.75" customHeight="1">
      <c r="A286" s="1"/>
      <c r="B286" s="1"/>
      <c r="C286" s="1"/>
    </row>
    <row r="287" ht="15.75" customHeight="1">
      <c r="A287" s="1"/>
      <c r="B287" s="1"/>
      <c r="C287" s="1"/>
    </row>
    <row r="288" ht="15.75" customHeight="1">
      <c r="A288" s="1"/>
      <c r="B288" s="1"/>
      <c r="C288" s="1"/>
    </row>
    <row r="289" ht="15.75" customHeight="1">
      <c r="A289" s="1"/>
      <c r="B289" s="1"/>
      <c r="C289" s="1"/>
    </row>
    <row r="290" ht="15.75" customHeight="1">
      <c r="A290" s="1"/>
      <c r="B290" s="1"/>
      <c r="C290" s="1"/>
    </row>
    <row r="291" ht="15.75" customHeight="1">
      <c r="A291" s="1"/>
      <c r="B291" s="1"/>
      <c r="C291" s="1"/>
    </row>
    <row r="292" ht="15.75" customHeight="1">
      <c r="A292" s="1"/>
      <c r="B292" s="1"/>
      <c r="C292" s="1"/>
    </row>
    <row r="293" ht="15.75" customHeight="1">
      <c r="A293" s="1"/>
      <c r="B293" s="1"/>
      <c r="C293" s="1"/>
    </row>
    <row r="294" ht="15.75" customHeight="1">
      <c r="A294" s="1"/>
      <c r="B294" s="1"/>
      <c r="C294" s="1"/>
    </row>
    <row r="295" ht="15.75" customHeight="1">
      <c r="A295" s="1"/>
      <c r="B295" s="1"/>
      <c r="C295" s="1"/>
    </row>
    <row r="296" ht="15.75" customHeight="1">
      <c r="A296" s="1"/>
      <c r="B296" s="1"/>
      <c r="C296" s="1"/>
    </row>
    <row r="297" ht="15.75" customHeight="1">
      <c r="A297" s="1"/>
      <c r="B297" s="1"/>
      <c r="C297" s="1"/>
    </row>
    <row r="298" ht="15.75" customHeight="1">
      <c r="A298" s="1"/>
      <c r="B298" s="1"/>
      <c r="C298" s="1"/>
    </row>
    <row r="299" ht="15.75" customHeight="1">
      <c r="A299" s="1"/>
      <c r="B299" s="1"/>
      <c r="C299" s="1"/>
    </row>
    <row r="300" ht="15.75" customHeight="1">
      <c r="A300" s="1"/>
      <c r="B300" s="1"/>
      <c r="C300" s="1"/>
    </row>
    <row r="301" ht="15.75" customHeight="1">
      <c r="A301" s="1"/>
      <c r="B301" s="1"/>
      <c r="C301" s="1"/>
    </row>
    <row r="302" ht="15.75" customHeight="1">
      <c r="A302" s="1"/>
      <c r="B302" s="1"/>
      <c r="C302" s="1"/>
    </row>
    <row r="303" ht="15.75" customHeight="1">
      <c r="A303" s="1"/>
      <c r="B303" s="1"/>
      <c r="C303" s="1"/>
    </row>
    <row r="304" ht="15.75" customHeight="1">
      <c r="A304" s="1"/>
      <c r="B304" s="1"/>
      <c r="C304" s="1"/>
    </row>
    <row r="305" ht="15.75" customHeight="1">
      <c r="A305" s="1"/>
      <c r="B305" s="1"/>
      <c r="C305" s="1"/>
    </row>
    <row r="306" ht="15.75" customHeight="1">
      <c r="A306" s="1"/>
      <c r="B306" s="1"/>
      <c r="C306" s="1"/>
    </row>
    <row r="307" ht="15.75" customHeight="1">
      <c r="A307" s="1"/>
      <c r="B307" s="1"/>
      <c r="C307" s="1"/>
    </row>
    <row r="308" ht="15.75" customHeight="1">
      <c r="A308" s="1"/>
      <c r="B308" s="1"/>
      <c r="C308" s="1"/>
    </row>
    <row r="309" ht="15.75" customHeight="1">
      <c r="A309" s="1"/>
      <c r="B309" s="1"/>
      <c r="C309" s="1"/>
    </row>
    <row r="310" ht="15.75" customHeight="1">
      <c r="A310" s="1"/>
      <c r="B310" s="1"/>
      <c r="C310" s="1"/>
    </row>
    <row r="311" ht="15.75" customHeight="1">
      <c r="A311" s="1"/>
      <c r="B311" s="1"/>
      <c r="C311" s="1"/>
    </row>
    <row r="312" ht="15.75" customHeight="1">
      <c r="A312" s="1"/>
      <c r="B312" s="1"/>
      <c r="C312" s="1"/>
    </row>
    <row r="313" ht="15.75" customHeight="1">
      <c r="A313" s="1"/>
      <c r="B313" s="1"/>
      <c r="C313" s="1"/>
    </row>
    <row r="314" ht="15.75" customHeight="1">
      <c r="A314" s="1"/>
      <c r="B314" s="1"/>
      <c r="C314" s="1"/>
    </row>
    <row r="315" ht="15.75" customHeight="1">
      <c r="A315" s="1"/>
      <c r="B315" s="1"/>
      <c r="C315" s="1"/>
    </row>
    <row r="316" ht="15.75" customHeight="1">
      <c r="A316" s="1"/>
      <c r="B316" s="1"/>
      <c r="C316" s="1"/>
    </row>
    <row r="317" ht="15.75" customHeight="1">
      <c r="A317" s="1"/>
      <c r="B317" s="1"/>
      <c r="C317" s="1"/>
    </row>
    <row r="318" ht="15.75" customHeight="1">
      <c r="A318" s="1"/>
      <c r="B318" s="1"/>
      <c r="C318" s="1"/>
    </row>
    <row r="319" ht="15.75" customHeight="1">
      <c r="A319" s="1"/>
      <c r="B319" s="1"/>
      <c r="C319" s="1"/>
    </row>
    <row r="320" ht="15.75" customHeight="1">
      <c r="A320" s="1"/>
      <c r="B320" s="1"/>
      <c r="C320" s="1"/>
    </row>
    <row r="321" ht="15.75" customHeight="1">
      <c r="A321" s="1"/>
      <c r="B321" s="1"/>
      <c r="C321" s="1"/>
    </row>
    <row r="322" ht="15.75" customHeight="1">
      <c r="A322" s="10"/>
      <c r="B322" s="10"/>
      <c r="C322" s="10"/>
    </row>
    <row r="323" ht="15.75" customHeight="1">
      <c r="A323" s="10"/>
      <c r="B323" s="10"/>
      <c r="C323" s="10"/>
    </row>
    <row r="324" ht="15.75" customHeight="1">
      <c r="A324" s="10"/>
      <c r="B324" s="10"/>
      <c r="C324" s="10"/>
    </row>
    <row r="325" ht="15.75" customHeight="1">
      <c r="A325" s="10"/>
      <c r="B325" s="10"/>
      <c r="C325" s="10"/>
    </row>
    <row r="326" ht="15.75" customHeight="1">
      <c r="A326" s="10"/>
      <c r="B326" s="10"/>
      <c r="C326" s="10"/>
    </row>
    <row r="327" ht="15.75" customHeight="1">
      <c r="A327" s="10"/>
      <c r="B327" s="10"/>
      <c r="C327" s="10"/>
    </row>
    <row r="328" ht="15.75" customHeight="1">
      <c r="A328" s="10"/>
      <c r="B328" s="10"/>
      <c r="C328" s="10"/>
    </row>
    <row r="329" ht="15.75" customHeight="1">
      <c r="A329" s="10"/>
      <c r="B329" s="10"/>
      <c r="C329" s="10"/>
    </row>
    <row r="330" ht="15.75" customHeight="1">
      <c r="A330" s="10"/>
      <c r="B330" s="10"/>
      <c r="C330" s="10"/>
    </row>
    <row r="331" ht="15.75" customHeight="1">
      <c r="A331" s="10"/>
      <c r="B331" s="10"/>
      <c r="C331" s="10"/>
    </row>
    <row r="332" ht="15.75" customHeight="1">
      <c r="A332" s="10"/>
      <c r="B332" s="10"/>
      <c r="C332" s="10"/>
    </row>
    <row r="333" ht="15.75" customHeight="1">
      <c r="A333" s="10"/>
      <c r="B333" s="10"/>
      <c r="C333" s="10"/>
    </row>
    <row r="334" ht="15.75" customHeight="1">
      <c r="A334" s="10"/>
      <c r="B334" s="10"/>
      <c r="C334" s="10"/>
    </row>
    <row r="335" ht="15.75" customHeight="1">
      <c r="A335" s="10"/>
      <c r="B335" s="10"/>
      <c r="C335" s="10"/>
    </row>
    <row r="336" ht="15.75" customHeight="1">
      <c r="A336" s="10"/>
      <c r="B336" s="10"/>
      <c r="C336" s="10"/>
    </row>
    <row r="337" ht="15.75" customHeight="1">
      <c r="A337" s="10"/>
      <c r="B337" s="10"/>
      <c r="C337" s="10"/>
    </row>
    <row r="338" ht="15.75" customHeight="1">
      <c r="A338" s="10"/>
      <c r="B338" s="10"/>
      <c r="C338" s="10"/>
    </row>
    <row r="339" ht="15.75" customHeight="1">
      <c r="A339" s="10"/>
      <c r="B339" s="10"/>
      <c r="C339" s="10"/>
    </row>
    <row r="340" ht="15.75" customHeight="1">
      <c r="A340" s="10"/>
      <c r="B340" s="10"/>
      <c r="C340" s="10"/>
    </row>
    <row r="341" ht="15.75" customHeight="1">
      <c r="A341" s="10"/>
      <c r="B341" s="10"/>
      <c r="C341" s="10"/>
    </row>
    <row r="342" ht="15.75" customHeight="1">
      <c r="A342" s="10"/>
      <c r="B342" s="10"/>
      <c r="C342" s="10"/>
    </row>
    <row r="343" ht="15.75" customHeight="1">
      <c r="A343" s="10"/>
      <c r="B343" s="10"/>
      <c r="C343" s="10"/>
    </row>
    <row r="344" ht="15.75" customHeight="1">
      <c r="A344" s="10"/>
      <c r="B344" s="10"/>
      <c r="C344" s="10"/>
    </row>
    <row r="345" ht="15.75" customHeight="1">
      <c r="A345" s="10"/>
      <c r="B345" s="10"/>
      <c r="C345" s="10"/>
    </row>
    <row r="346" ht="15.75" customHeight="1">
      <c r="A346" s="10"/>
      <c r="B346" s="10"/>
      <c r="C346" s="10"/>
    </row>
    <row r="347" ht="15.75" customHeight="1">
      <c r="A347" s="10"/>
      <c r="B347" s="10"/>
      <c r="C347" s="10"/>
    </row>
    <row r="348" ht="15.75" customHeight="1">
      <c r="A348" s="10"/>
      <c r="B348" s="10"/>
      <c r="C348" s="10"/>
    </row>
    <row r="349" ht="15.75" customHeight="1">
      <c r="A349" s="10"/>
      <c r="B349" s="10"/>
      <c r="C349" s="10"/>
    </row>
    <row r="350" ht="15.75" customHeight="1">
      <c r="A350" s="10"/>
      <c r="B350" s="10"/>
      <c r="C350" s="10"/>
    </row>
    <row r="351" ht="15.75" customHeight="1">
      <c r="A351" s="10"/>
      <c r="B351" s="10"/>
      <c r="C351" s="10"/>
    </row>
    <row r="352" ht="15.75" customHeight="1">
      <c r="A352" s="10"/>
      <c r="B352" s="10"/>
      <c r="C352" s="10"/>
    </row>
    <row r="353" ht="15.75" customHeight="1">
      <c r="A353" s="10"/>
      <c r="B353" s="10"/>
      <c r="C353" s="10"/>
    </row>
    <row r="354" ht="15.75" customHeight="1">
      <c r="A354" s="10"/>
      <c r="B354" s="10"/>
      <c r="C354" s="10"/>
    </row>
    <row r="355" ht="15.75" customHeight="1">
      <c r="A355" s="10"/>
      <c r="B355" s="10"/>
      <c r="C355" s="10"/>
    </row>
    <row r="356" ht="15.75" customHeight="1">
      <c r="A356" s="10"/>
      <c r="B356" s="10"/>
      <c r="C356" s="10"/>
    </row>
    <row r="357" ht="15.75" customHeight="1">
      <c r="A357" s="10"/>
      <c r="B357" s="10"/>
      <c r="C357" s="10"/>
    </row>
    <row r="358" ht="15.75" customHeight="1">
      <c r="A358" s="10"/>
      <c r="B358" s="10"/>
      <c r="C358" s="10"/>
    </row>
    <row r="359" ht="15.75" customHeight="1">
      <c r="A359" s="10"/>
      <c r="B359" s="10"/>
      <c r="C359" s="10"/>
    </row>
    <row r="360" ht="15.75" customHeight="1">
      <c r="A360" s="10"/>
      <c r="B360" s="10"/>
      <c r="C360" s="10"/>
    </row>
    <row r="361" ht="15.75" customHeight="1">
      <c r="A361" s="10"/>
      <c r="B361" s="10"/>
      <c r="C361" s="10"/>
    </row>
    <row r="362" ht="15.75" customHeight="1">
      <c r="A362" s="10"/>
      <c r="B362" s="10"/>
      <c r="C362" s="10"/>
    </row>
    <row r="363" ht="15.75" customHeight="1">
      <c r="A363" s="10"/>
      <c r="B363" s="10"/>
      <c r="C363" s="10"/>
    </row>
    <row r="364" ht="15.75" customHeight="1">
      <c r="A364" s="10"/>
      <c r="B364" s="10"/>
      <c r="C364" s="10"/>
    </row>
    <row r="365" ht="15.75" customHeight="1">
      <c r="A365" s="10"/>
      <c r="B365" s="10"/>
      <c r="C365" s="10"/>
    </row>
    <row r="366" ht="15.75" customHeight="1">
      <c r="A366" s="10"/>
      <c r="B366" s="10"/>
      <c r="C366" s="10"/>
    </row>
    <row r="367" ht="15.75" customHeight="1">
      <c r="A367" s="10"/>
      <c r="B367" s="10"/>
      <c r="C367" s="10"/>
    </row>
    <row r="368" ht="15.75" customHeight="1">
      <c r="A368" s="10"/>
      <c r="B368" s="10"/>
      <c r="C368" s="10"/>
    </row>
    <row r="369" ht="15.75" customHeight="1">
      <c r="A369" s="10"/>
      <c r="B369" s="10"/>
      <c r="C369" s="10"/>
    </row>
    <row r="370" ht="15.75" customHeight="1">
      <c r="A370" s="10"/>
      <c r="B370" s="10"/>
      <c r="C370" s="10"/>
    </row>
    <row r="371" ht="15.75" customHeight="1">
      <c r="A371" s="10"/>
      <c r="B371" s="10"/>
      <c r="C371" s="10"/>
    </row>
    <row r="372" ht="15.75" customHeight="1">
      <c r="A372" s="10"/>
      <c r="B372" s="10"/>
      <c r="C372" s="10"/>
    </row>
    <row r="373" ht="15.75" customHeight="1">
      <c r="A373" s="10"/>
      <c r="B373" s="10"/>
      <c r="C373" s="10"/>
    </row>
    <row r="374" ht="15.75" customHeight="1">
      <c r="A374" s="10"/>
      <c r="B374" s="10"/>
      <c r="C374" s="10"/>
    </row>
    <row r="375" ht="15.75" customHeight="1">
      <c r="A375" s="10"/>
      <c r="B375" s="10"/>
      <c r="C375" s="10"/>
    </row>
    <row r="376" ht="15.75" customHeight="1">
      <c r="A376" s="10"/>
      <c r="B376" s="10"/>
      <c r="C376" s="10"/>
    </row>
    <row r="377" ht="15.75" customHeight="1">
      <c r="A377" s="10"/>
      <c r="B377" s="10"/>
      <c r="C377" s="10"/>
    </row>
    <row r="378" ht="15.75" customHeight="1">
      <c r="A378" s="10"/>
      <c r="B378" s="10"/>
      <c r="C378" s="10"/>
    </row>
    <row r="379" ht="15.75" customHeight="1">
      <c r="A379" s="10"/>
      <c r="B379" s="10"/>
      <c r="C379" s="10"/>
    </row>
    <row r="380" ht="15.75" customHeight="1">
      <c r="A380" s="10"/>
      <c r="B380" s="10"/>
      <c r="C380" s="10"/>
    </row>
    <row r="381" ht="15.75" customHeight="1">
      <c r="A381" s="10"/>
      <c r="B381" s="10"/>
      <c r="C381" s="10"/>
    </row>
    <row r="382" ht="15.75" customHeight="1">
      <c r="A382" s="10"/>
      <c r="B382" s="10"/>
      <c r="C382" s="10"/>
    </row>
    <row r="383" ht="15.75" customHeight="1">
      <c r="A383" s="10"/>
      <c r="B383" s="10"/>
      <c r="C383" s="10"/>
    </row>
    <row r="384" ht="15.75" customHeight="1">
      <c r="A384" s="10"/>
      <c r="B384" s="10"/>
      <c r="C384" s="10"/>
    </row>
    <row r="385" ht="15.75" customHeight="1">
      <c r="A385" s="10"/>
      <c r="B385" s="10"/>
      <c r="C385" s="10"/>
    </row>
    <row r="386" ht="15.75" customHeight="1">
      <c r="A386" s="10"/>
      <c r="B386" s="10"/>
      <c r="C386" s="10"/>
    </row>
    <row r="387" ht="15.75" customHeight="1">
      <c r="A387" s="10"/>
      <c r="B387" s="10"/>
      <c r="C387" s="10"/>
    </row>
    <row r="388" ht="15.75" customHeight="1">
      <c r="A388" s="10"/>
      <c r="B388" s="10"/>
      <c r="C388" s="10"/>
    </row>
    <row r="389" ht="15.75" customHeight="1">
      <c r="A389" s="10"/>
      <c r="B389" s="10"/>
      <c r="C389" s="10"/>
    </row>
    <row r="390" ht="15.75" customHeight="1">
      <c r="A390" s="10"/>
      <c r="B390" s="10"/>
      <c r="C390" s="10"/>
    </row>
    <row r="391" ht="15.75" customHeight="1">
      <c r="A391" s="10"/>
      <c r="B391" s="10"/>
      <c r="C391" s="10"/>
    </row>
    <row r="392" ht="15.75" customHeight="1">
      <c r="A392" s="10"/>
      <c r="B392" s="10"/>
      <c r="C392" s="10"/>
    </row>
    <row r="393" ht="15.75" customHeight="1">
      <c r="A393" s="10"/>
      <c r="B393" s="10"/>
      <c r="C393" s="10"/>
    </row>
    <row r="394" ht="15.75" customHeight="1">
      <c r="A394" s="10"/>
      <c r="B394" s="10"/>
      <c r="C394" s="10"/>
    </row>
    <row r="395" ht="15.75" customHeight="1">
      <c r="A395" s="10"/>
      <c r="B395" s="10"/>
      <c r="C395" s="10"/>
    </row>
    <row r="396" ht="15.75" customHeight="1">
      <c r="A396" s="10"/>
      <c r="B396" s="10"/>
      <c r="C396" s="10"/>
    </row>
    <row r="397" ht="15.75" customHeight="1">
      <c r="A397" s="10"/>
      <c r="B397" s="10"/>
      <c r="C397" s="10"/>
    </row>
    <row r="398" ht="15.75" customHeight="1">
      <c r="A398" s="10"/>
      <c r="B398" s="10"/>
      <c r="C398" s="10"/>
    </row>
    <row r="399" ht="15.75" customHeight="1">
      <c r="A399" s="10"/>
      <c r="B399" s="10"/>
      <c r="C399" s="10"/>
    </row>
    <row r="400" ht="15.75" customHeight="1">
      <c r="A400" s="10"/>
      <c r="B400" s="10"/>
      <c r="C400" s="10"/>
    </row>
    <row r="401" ht="15.75" customHeight="1">
      <c r="A401" s="10"/>
      <c r="B401" s="10"/>
      <c r="C401" s="10"/>
    </row>
    <row r="402" ht="15.75" customHeight="1">
      <c r="A402" s="10"/>
      <c r="B402" s="10"/>
      <c r="C402" s="10"/>
    </row>
    <row r="403" ht="15.75" customHeight="1">
      <c r="A403" s="10"/>
      <c r="B403" s="10"/>
      <c r="C403" s="10"/>
    </row>
    <row r="404" ht="15.75" customHeight="1">
      <c r="A404" s="10"/>
      <c r="B404" s="10"/>
      <c r="C404" s="10"/>
    </row>
    <row r="405" ht="15.75" customHeight="1">
      <c r="A405" s="10"/>
      <c r="B405" s="10"/>
      <c r="C405" s="10"/>
    </row>
    <row r="406" ht="15.75" customHeight="1">
      <c r="A406" s="10"/>
      <c r="B406" s="10"/>
      <c r="C406" s="10"/>
    </row>
    <row r="407" ht="15.75" customHeight="1">
      <c r="A407" s="10"/>
      <c r="B407" s="10"/>
      <c r="C407" s="10"/>
    </row>
    <row r="408" ht="15.75" customHeight="1">
      <c r="A408" s="10"/>
      <c r="B408" s="10"/>
      <c r="C408" s="10"/>
    </row>
    <row r="409" ht="15.75" customHeight="1">
      <c r="A409" s="10"/>
      <c r="B409" s="10"/>
      <c r="C409" s="10"/>
    </row>
    <row r="410" ht="15.75" customHeight="1">
      <c r="A410" s="10"/>
      <c r="B410" s="10"/>
      <c r="C410" s="10"/>
    </row>
    <row r="411" ht="15.75" customHeight="1">
      <c r="A411" s="10"/>
      <c r="B411" s="10"/>
      <c r="C411" s="10"/>
    </row>
    <row r="412" ht="15.75" customHeight="1">
      <c r="A412" s="10"/>
      <c r="B412" s="10"/>
      <c r="C412" s="10"/>
    </row>
    <row r="413" ht="15.75" customHeight="1">
      <c r="A413" s="10"/>
      <c r="B413" s="10"/>
      <c r="C413" s="10"/>
    </row>
    <row r="414" ht="15.75" customHeight="1">
      <c r="A414" s="10"/>
      <c r="B414" s="10"/>
      <c r="C414" s="10"/>
    </row>
    <row r="415" ht="15.75" customHeight="1">
      <c r="A415" s="10"/>
      <c r="B415" s="10"/>
      <c r="C415" s="10"/>
    </row>
    <row r="416" ht="15.75" customHeight="1">
      <c r="A416" s="10"/>
      <c r="B416" s="10"/>
      <c r="C416" s="10"/>
    </row>
    <row r="417" ht="15.75" customHeight="1">
      <c r="A417" s="10"/>
      <c r="B417" s="10"/>
      <c r="C417" s="10"/>
    </row>
    <row r="418" ht="15.75" customHeight="1">
      <c r="A418" s="10"/>
      <c r="B418" s="10"/>
      <c r="C418" s="10"/>
    </row>
    <row r="419" ht="15.75" customHeight="1">
      <c r="A419" s="10"/>
      <c r="B419" s="10"/>
      <c r="C419" s="10"/>
    </row>
    <row r="420" ht="15.75" customHeight="1">
      <c r="A420" s="10"/>
      <c r="B420" s="10"/>
      <c r="C420" s="10"/>
    </row>
    <row r="421" ht="15.75" customHeight="1">
      <c r="A421" s="10"/>
      <c r="B421" s="10"/>
      <c r="C421" s="10"/>
    </row>
    <row r="422" ht="15.75" customHeight="1">
      <c r="A422" s="10"/>
      <c r="B422" s="10"/>
      <c r="C422" s="10"/>
    </row>
    <row r="423" ht="15.75" customHeight="1">
      <c r="A423" s="10"/>
      <c r="B423" s="10"/>
      <c r="C423" s="10"/>
    </row>
    <row r="424" ht="15.75" customHeight="1">
      <c r="A424" s="10"/>
      <c r="B424" s="10"/>
      <c r="C424" s="10"/>
    </row>
    <row r="425" ht="15.75" customHeight="1">
      <c r="A425" s="10"/>
      <c r="B425" s="10"/>
      <c r="C425" s="10"/>
    </row>
    <row r="426" ht="15.75" customHeight="1">
      <c r="A426" s="10"/>
      <c r="B426" s="10"/>
      <c r="C426" s="10"/>
    </row>
    <row r="427" ht="15.75" customHeight="1">
      <c r="A427" s="10"/>
      <c r="B427" s="10"/>
      <c r="C427" s="10"/>
    </row>
    <row r="428" ht="15.75" customHeight="1">
      <c r="A428" s="10"/>
      <c r="B428" s="10"/>
      <c r="C428" s="10"/>
    </row>
    <row r="429" ht="15.75" customHeight="1">
      <c r="A429" s="10"/>
      <c r="B429" s="10"/>
      <c r="C429" s="10"/>
    </row>
    <row r="430" ht="15.75" customHeight="1">
      <c r="A430" s="10"/>
      <c r="B430" s="10"/>
      <c r="C430" s="10"/>
    </row>
    <row r="431" ht="15.75" customHeight="1">
      <c r="A431" s="10"/>
      <c r="B431" s="10"/>
      <c r="C431" s="10"/>
    </row>
    <row r="432" ht="15.75" customHeight="1">
      <c r="A432" s="10"/>
      <c r="B432" s="10"/>
      <c r="C432" s="10"/>
    </row>
    <row r="433" ht="15.75" customHeight="1">
      <c r="A433" s="10"/>
      <c r="B433" s="10"/>
      <c r="C433" s="10"/>
    </row>
    <row r="434" ht="15.75" customHeight="1">
      <c r="A434" s="10"/>
      <c r="B434" s="10"/>
      <c r="C434" s="10"/>
    </row>
    <row r="435" ht="15.75" customHeight="1">
      <c r="A435" s="10"/>
      <c r="B435" s="10"/>
      <c r="C435" s="10"/>
    </row>
    <row r="436" ht="15.75" customHeight="1">
      <c r="A436" s="10"/>
      <c r="B436" s="10"/>
      <c r="C436" s="10"/>
    </row>
    <row r="437" ht="15.75" customHeight="1">
      <c r="A437" s="10"/>
      <c r="B437" s="10"/>
      <c r="C437" s="10"/>
    </row>
    <row r="438" ht="15.75" customHeight="1">
      <c r="A438" s="10"/>
      <c r="B438" s="10"/>
      <c r="C438" s="10"/>
    </row>
    <row r="439" ht="15.75" customHeight="1">
      <c r="A439" s="10"/>
      <c r="B439" s="10"/>
      <c r="C439" s="10"/>
    </row>
    <row r="440" ht="15.75" customHeight="1">
      <c r="A440" s="10"/>
      <c r="B440" s="10"/>
      <c r="C440" s="10"/>
    </row>
    <row r="441" ht="15.75" customHeight="1">
      <c r="A441" s="10"/>
      <c r="B441" s="10"/>
      <c r="C441" s="10"/>
    </row>
    <row r="442" ht="15.75" customHeight="1">
      <c r="A442" s="10"/>
      <c r="B442" s="10"/>
      <c r="C442" s="10"/>
    </row>
    <row r="443" ht="15.75" customHeight="1">
      <c r="A443" s="10"/>
      <c r="B443" s="10"/>
      <c r="C443" s="10"/>
    </row>
    <row r="444" ht="15.75" customHeight="1">
      <c r="A444" s="10"/>
      <c r="B444" s="10"/>
      <c r="C444" s="10"/>
    </row>
    <row r="445" ht="15.75" customHeight="1">
      <c r="A445" s="10"/>
      <c r="B445" s="10"/>
      <c r="C445" s="10"/>
    </row>
    <row r="446" ht="15.75" customHeight="1">
      <c r="A446" s="10"/>
      <c r="B446" s="10"/>
      <c r="C446" s="10"/>
    </row>
    <row r="447" ht="15.75" customHeight="1">
      <c r="A447" s="10"/>
      <c r="B447" s="10"/>
      <c r="C447" s="10"/>
    </row>
    <row r="448" ht="15.75" customHeight="1">
      <c r="A448" s="10"/>
      <c r="B448" s="10"/>
      <c r="C448" s="10"/>
    </row>
    <row r="449" ht="15.75" customHeight="1">
      <c r="A449" s="10"/>
      <c r="B449" s="10"/>
      <c r="C449" s="10"/>
    </row>
    <row r="450" ht="15.75" customHeight="1">
      <c r="A450" s="10"/>
      <c r="B450" s="10"/>
      <c r="C450" s="10"/>
    </row>
    <row r="451" ht="15.75" customHeight="1">
      <c r="A451" s="10"/>
      <c r="B451" s="10"/>
      <c r="C451" s="10"/>
    </row>
    <row r="452" ht="15.75" customHeight="1">
      <c r="A452" s="10"/>
      <c r="B452" s="10"/>
      <c r="C452" s="10"/>
    </row>
    <row r="453" ht="15.75" customHeight="1">
      <c r="A453" s="10"/>
      <c r="B453" s="10"/>
      <c r="C453" s="10"/>
    </row>
    <row r="454" ht="15.75" customHeight="1">
      <c r="A454" s="10"/>
      <c r="B454" s="10"/>
      <c r="C454" s="10"/>
    </row>
    <row r="455" ht="15.75" customHeight="1">
      <c r="A455" s="10"/>
      <c r="B455" s="10"/>
      <c r="C455" s="10"/>
    </row>
    <row r="456" ht="15.75" customHeight="1">
      <c r="A456" s="10"/>
      <c r="B456" s="10"/>
      <c r="C456" s="10"/>
    </row>
    <row r="457" ht="15.75" customHeight="1">
      <c r="A457" s="10"/>
      <c r="B457" s="10"/>
      <c r="C457" s="10"/>
    </row>
    <row r="458" ht="15.75" customHeight="1">
      <c r="A458" s="10"/>
      <c r="B458" s="10"/>
      <c r="C458" s="10"/>
    </row>
    <row r="459" ht="15.75" customHeight="1">
      <c r="A459" s="10"/>
      <c r="B459" s="10"/>
      <c r="C459" s="10"/>
    </row>
    <row r="460" ht="15.75" customHeight="1">
      <c r="A460" s="10"/>
      <c r="B460" s="10"/>
      <c r="C460" s="10"/>
    </row>
    <row r="461" ht="15.75" customHeight="1">
      <c r="A461" s="10"/>
      <c r="B461" s="10"/>
      <c r="C461" s="10"/>
    </row>
    <row r="462" ht="15.75" customHeight="1">
      <c r="A462" s="10"/>
      <c r="B462" s="10"/>
      <c r="C462" s="10"/>
    </row>
    <row r="463" ht="15.75" customHeight="1">
      <c r="A463" s="10"/>
      <c r="B463" s="10"/>
      <c r="C463" s="10"/>
    </row>
    <row r="464" ht="15.75" customHeight="1">
      <c r="A464" s="10"/>
      <c r="B464" s="10"/>
      <c r="C464" s="10"/>
    </row>
    <row r="465" ht="15.75" customHeight="1">
      <c r="A465" s="10"/>
      <c r="B465" s="10"/>
      <c r="C465" s="10"/>
    </row>
    <row r="466" ht="15.75" customHeight="1">
      <c r="A466" s="10"/>
      <c r="B466" s="10"/>
      <c r="C466" s="10"/>
    </row>
    <row r="467" ht="15.75" customHeight="1">
      <c r="A467" s="10"/>
      <c r="B467" s="10"/>
      <c r="C467" s="10"/>
    </row>
    <row r="468" ht="15.75" customHeight="1">
      <c r="A468" s="10"/>
      <c r="B468" s="10"/>
      <c r="C468" s="10"/>
    </row>
    <row r="469" ht="15.75" customHeight="1">
      <c r="A469" s="10"/>
      <c r="B469" s="10"/>
      <c r="C469" s="10"/>
    </row>
    <row r="470" ht="15.75" customHeight="1">
      <c r="A470" s="10"/>
      <c r="B470" s="10"/>
      <c r="C470" s="10"/>
    </row>
    <row r="471" ht="15.75" customHeight="1">
      <c r="A471" s="10"/>
      <c r="B471" s="10"/>
      <c r="C471" s="10"/>
    </row>
    <row r="472" ht="15.75" customHeight="1">
      <c r="A472" s="10"/>
      <c r="B472" s="10"/>
      <c r="C472" s="10"/>
    </row>
    <row r="473" ht="15.75" customHeight="1">
      <c r="A473" s="10"/>
      <c r="B473" s="10"/>
      <c r="C473" s="10"/>
    </row>
    <row r="474" ht="15.75" customHeight="1">
      <c r="A474" s="10"/>
      <c r="B474" s="10"/>
      <c r="C474" s="10"/>
    </row>
    <row r="475" ht="15.75" customHeight="1">
      <c r="A475" s="10"/>
      <c r="B475" s="10"/>
      <c r="C475" s="10"/>
    </row>
    <row r="476" ht="15.75" customHeight="1">
      <c r="A476" s="10"/>
      <c r="B476" s="10"/>
      <c r="C476" s="10"/>
    </row>
    <row r="477" ht="15.75" customHeight="1">
      <c r="A477" s="10"/>
      <c r="B477" s="10"/>
      <c r="C477" s="10"/>
    </row>
    <row r="478" ht="15.75" customHeight="1">
      <c r="A478" s="10"/>
      <c r="B478" s="10"/>
      <c r="C478" s="10"/>
    </row>
    <row r="479" ht="15.75" customHeight="1">
      <c r="A479" s="10"/>
      <c r="B479" s="10"/>
      <c r="C479" s="10"/>
    </row>
    <row r="480" ht="15.75" customHeight="1">
      <c r="A480" s="10"/>
      <c r="B480" s="10"/>
      <c r="C480" s="10"/>
    </row>
    <row r="481" ht="15.75" customHeight="1">
      <c r="A481" s="10"/>
      <c r="B481" s="10"/>
      <c r="C481" s="10"/>
    </row>
    <row r="482" ht="15.75" customHeight="1">
      <c r="A482" s="10"/>
      <c r="B482" s="10"/>
      <c r="C482" s="10"/>
    </row>
    <row r="483" ht="15.75" customHeight="1">
      <c r="A483" s="10"/>
      <c r="B483" s="10"/>
      <c r="C483" s="10"/>
    </row>
    <row r="484" ht="15.75" customHeight="1">
      <c r="A484" s="10"/>
      <c r="B484" s="10"/>
      <c r="C484" s="10"/>
    </row>
    <row r="485" ht="15.75" customHeight="1">
      <c r="A485" s="10"/>
      <c r="B485" s="10"/>
      <c r="C485" s="10"/>
    </row>
    <row r="486" ht="15.75" customHeight="1">
      <c r="A486" s="10"/>
      <c r="B486" s="10"/>
      <c r="C486" s="10"/>
    </row>
    <row r="487" ht="15.75" customHeight="1">
      <c r="A487" s="10"/>
      <c r="B487" s="10"/>
      <c r="C487" s="10"/>
    </row>
    <row r="488" ht="15.75" customHeight="1">
      <c r="A488" s="10"/>
      <c r="B488" s="10"/>
      <c r="C488" s="10"/>
    </row>
    <row r="489" ht="15.75" customHeight="1">
      <c r="A489" s="10"/>
      <c r="B489" s="10"/>
      <c r="C489" s="10"/>
    </row>
    <row r="490" ht="15.75" customHeight="1">
      <c r="A490" s="10"/>
      <c r="B490" s="10"/>
      <c r="C490" s="10"/>
    </row>
    <row r="491" ht="15.75" customHeight="1">
      <c r="A491" s="10"/>
      <c r="B491" s="10"/>
      <c r="C491" s="10"/>
    </row>
    <row r="492" ht="15.75" customHeight="1">
      <c r="A492" s="10"/>
      <c r="B492" s="10"/>
      <c r="C492" s="10"/>
    </row>
    <row r="493" ht="15.75" customHeight="1">
      <c r="A493" s="10"/>
      <c r="B493" s="10"/>
      <c r="C493" s="10"/>
    </row>
    <row r="494" ht="15.75" customHeight="1">
      <c r="A494" s="10"/>
      <c r="B494" s="10"/>
      <c r="C494" s="10"/>
    </row>
    <row r="495" ht="15.75" customHeight="1">
      <c r="A495" s="10"/>
      <c r="B495" s="10"/>
      <c r="C495" s="10"/>
    </row>
    <row r="496" ht="15.75" customHeight="1">
      <c r="A496" s="10"/>
      <c r="B496" s="10"/>
      <c r="C496" s="10"/>
    </row>
    <row r="497" ht="15.75" customHeight="1">
      <c r="A497" s="10"/>
      <c r="B497" s="10"/>
      <c r="C497" s="10"/>
    </row>
    <row r="498" ht="15.75" customHeight="1">
      <c r="A498" s="10"/>
      <c r="B498" s="10"/>
      <c r="C498" s="10"/>
    </row>
    <row r="499" ht="15.75" customHeight="1">
      <c r="A499" s="10"/>
      <c r="B499" s="10"/>
      <c r="C499" s="10"/>
    </row>
    <row r="500" ht="15.75" customHeight="1">
      <c r="A500" s="10"/>
      <c r="B500" s="10"/>
      <c r="C500" s="10"/>
    </row>
    <row r="501" ht="15.75" customHeight="1">
      <c r="A501" s="10"/>
      <c r="B501" s="10"/>
      <c r="C501" s="10"/>
    </row>
    <row r="502" ht="15.75" customHeight="1">
      <c r="A502" s="10"/>
      <c r="B502" s="10"/>
      <c r="C502" s="10"/>
    </row>
    <row r="503" ht="15.75" customHeight="1">
      <c r="A503" s="10"/>
      <c r="B503" s="10"/>
      <c r="C503" s="10"/>
    </row>
    <row r="504" ht="15.75" customHeight="1">
      <c r="A504" s="10"/>
      <c r="B504" s="10"/>
      <c r="C504" s="10"/>
    </row>
    <row r="505" ht="15.75" customHeight="1">
      <c r="A505" s="10"/>
      <c r="B505" s="10"/>
      <c r="C505" s="10"/>
    </row>
    <row r="506" ht="15.75" customHeight="1">
      <c r="A506" s="10"/>
      <c r="B506" s="10"/>
      <c r="C506" s="10"/>
    </row>
    <row r="507" ht="15.75" customHeight="1">
      <c r="A507" s="10"/>
      <c r="B507" s="10"/>
      <c r="C507" s="10"/>
    </row>
    <row r="508" ht="15.75" customHeight="1">
      <c r="A508" s="10"/>
      <c r="B508" s="10"/>
      <c r="C508" s="10"/>
    </row>
    <row r="509" ht="15.75" customHeight="1">
      <c r="A509" s="10"/>
      <c r="B509" s="10"/>
      <c r="C509" s="10"/>
    </row>
    <row r="510" ht="15.75" customHeight="1">
      <c r="A510" s="10"/>
      <c r="B510" s="10"/>
      <c r="C510" s="10"/>
    </row>
    <row r="511" ht="15.75" customHeight="1">
      <c r="A511" s="10"/>
      <c r="B511" s="10"/>
      <c r="C511" s="10"/>
    </row>
    <row r="512" ht="15.75" customHeight="1">
      <c r="A512" s="10"/>
      <c r="B512" s="10"/>
      <c r="C512" s="10"/>
    </row>
    <row r="513" ht="15.75" customHeight="1">
      <c r="A513" s="10"/>
      <c r="B513" s="10"/>
      <c r="C513" s="10"/>
    </row>
    <row r="514" ht="15.75" customHeight="1">
      <c r="A514" s="10"/>
      <c r="B514" s="10"/>
      <c r="C514" s="10"/>
    </row>
    <row r="515" ht="15.75" customHeight="1">
      <c r="A515" s="10"/>
      <c r="B515" s="10"/>
      <c r="C515" s="10"/>
    </row>
    <row r="516" ht="15.75" customHeight="1">
      <c r="A516" s="10"/>
      <c r="B516" s="10"/>
      <c r="C516" s="10"/>
    </row>
    <row r="517" ht="15.75" customHeight="1">
      <c r="A517" s="10"/>
      <c r="B517" s="10"/>
      <c r="C517" s="10"/>
    </row>
    <row r="518" ht="15.75" customHeight="1">
      <c r="A518" s="10"/>
      <c r="B518" s="10"/>
      <c r="C518" s="10"/>
    </row>
    <row r="519" ht="15.75" customHeight="1">
      <c r="A519" s="10"/>
      <c r="B519" s="10"/>
      <c r="C519" s="10"/>
    </row>
    <row r="520" ht="15.75" customHeight="1">
      <c r="A520" s="10"/>
      <c r="B520" s="10"/>
      <c r="C520" s="10"/>
    </row>
    <row r="521" ht="15.75" customHeight="1">
      <c r="A521" s="10"/>
      <c r="B521" s="10"/>
      <c r="C521" s="10"/>
    </row>
    <row r="522" ht="15.75" customHeight="1">
      <c r="A522" s="10"/>
      <c r="B522" s="10"/>
      <c r="C522" s="10"/>
    </row>
    <row r="523" ht="15.75" customHeight="1">
      <c r="A523" s="10"/>
      <c r="B523" s="10"/>
      <c r="C523" s="10"/>
    </row>
    <row r="524" ht="15.75" customHeight="1">
      <c r="A524" s="10"/>
      <c r="B524" s="10"/>
      <c r="C524" s="10"/>
    </row>
    <row r="525" ht="15.75" customHeight="1">
      <c r="A525" s="10"/>
      <c r="B525" s="10"/>
      <c r="C525" s="10"/>
    </row>
    <row r="526" ht="15.75" customHeight="1">
      <c r="A526" s="10"/>
      <c r="B526" s="10"/>
      <c r="C526" s="10"/>
    </row>
    <row r="527" ht="15.75" customHeight="1">
      <c r="A527" s="10"/>
      <c r="B527" s="10"/>
      <c r="C527" s="10"/>
    </row>
    <row r="528" ht="15.75" customHeight="1">
      <c r="A528" s="10"/>
      <c r="B528" s="10"/>
      <c r="C528" s="10"/>
    </row>
    <row r="529" ht="15.75" customHeight="1">
      <c r="A529" s="10"/>
      <c r="B529" s="10"/>
      <c r="C529" s="10"/>
    </row>
    <row r="530" ht="15.75" customHeight="1">
      <c r="A530" s="10"/>
      <c r="B530" s="10"/>
      <c r="C530" s="10"/>
    </row>
    <row r="531" ht="15.75" customHeight="1">
      <c r="A531" s="10"/>
      <c r="B531" s="10"/>
      <c r="C531" s="10"/>
    </row>
    <row r="532" ht="15.75" customHeight="1">
      <c r="A532" s="10"/>
      <c r="B532" s="10"/>
      <c r="C532" s="10"/>
    </row>
    <row r="533" ht="15.75" customHeight="1">
      <c r="A533" s="10"/>
      <c r="B533" s="10"/>
      <c r="C533" s="10"/>
    </row>
    <row r="534" ht="15.75" customHeight="1">
      <c r="A534" s="10"/>
      <c r="B534" s="10"/>
      <c r="C534" s="10"/>
    </row>
    <row r="535" ht="15.75" customHeight="1">
      <c r="A535" s="10"/>
      <c r="B535" s="10"/>
      <c r="C535" s="10"/>
    </row>
    <row r="536" ht="15.75" customHeight="1">
      <c r="A536" s="10"/>
      <c r="B536" s="10"/>
      <c r="C536" s="10"/>
    </row>
    <row r="537" ht="15.75" customHeight="1">
      <c r="A537" s="10"/>
      <c r="B537" s="10"/>
      <c r="C537" s="10"/>
    </row>
    <row r="538" ht="15.75" customHeight="1">
      <c r="A538" s="10"/>
      <c r="B538" s="10"/>
      <c r="C538" s="10"/>
    </row>
    <row r="539" ht="15.75" customHeight="1">
      <c r="A539" s="10"/>
      <c r="B539" s="10"/>
      <c r="C539" s="10"/>
    </row>
    <row r="540" ht="15.75" customHeight="1">
      <c r="A540" s="10"/>
      <c r="B540" s="10"/>
      <c r="C540" s="10"/>
    </row>
    <row r="541" ht="15.75" customHeight="1">
      <c r="A541" s="10"/>
      <c r="B541" s="10"/>
      <c r="C541" s="10"/>
    </row>
    <row r="542" ht="15.75" customHeight="1">
      <c r="A542" s="10"/>
      <c r="B542" s="10"/>
      <c r="C542" s="10"/>
    </row>
    <row r="543" ht="15.75" customHeight="1">
      <c r="A543" s="10"/>
      <c r="B543" s="10"/>
      <c r="C543" s="10"/>
    </row>
    <row r="544" ht="15.75" customHeight="1">
      <c r="A544" s="10"/>
      <c r="B544" s="10"/>
      <c r="C544" s="10"/>
    </row>
    <row r="545" ht="15.75" customHeight="1">
      <c r="A545" s="10"/>
      <c r="B545" s="10"/>
      <c r="C545" s="10"/>
    </row>
    <row r="546" ht="15.75" customHeight="1">
      <c r="A546" s="10"/>
      <c r="B546" s="10"/>
      <c r="C546" s="10"/>
    </row>
    <row r="547" ht="15.75" customHeight="1">
      <c r="A547" s="10"/>
      <c r="B547" s="10"/>
      <c r="C547" s="10"/>
    </row>
    <row r="548" ht="15.75" customHeight="1">
      <c r="A548" s="10"/>
      <c r="B548" s="10"/>
      <c r="C548" s="10"/>
    </row>
    <row r="549" ht="15.75" customHeight="1">
      <c r="A549" s="10"/>
      <c r="B549" s="10"/>
      <c r="C549" s="10"/>
    </row>
    <row r="550" ht="15.75" customHeight="1">
      <c r="A550" s="10"/>
      <c r="B550" s="10"/>
      <c r="C550" s="10"/>
    </row>
    <row r="551" ht="15.75" customHeight="1">
      <c r="A551" s="10"/>
      <c r="B551" s="10"/>
      <c r="C551" s="10"/>
    </row>
    <row r="552" ht="15.75" customHeight="1">
      <c r="A552" s="10"/>
      <c r="B552" s="10"/>
      <c r="C552" s="10"/>
    </row>
    <row r="553" ht="15.75" customHeight="1">
      <c r="A553" s="10"/>
      <c r="B553" s="10"/>
      <c r="C553" s="10"/>
    </row>
    <row r="554" ht="15.75" customHeight="1">
      <c r="A554" s="10"/>
      <c r="B554" s="10"/>
      <c r="C554" s="10"/>
    </row>
    <row r="555" ht="15.75" customHeight="1">
      <c r="A555" s="10"/>
      <c r="B555" s="10"/>
      <c r="C555" s="10"/>
    </row>
    <row r="556" ht="15.75" customHeight="1">
      <c r="A556" s="10"/>
      <c r="B556" s="10"/>
      <c r="C556" s="10"/>
    </row>
    <row r="557" ht="15.75" customHeight="1">
      <c r="A557" s="10"/>
      <c r="B557" s="10"/>
      <c r="C557" s="10"/>
    </row>
    <row r="558" ht="15.75" customHeight="1">
      <c r="A558" s="10"/>
      <c r="B558" s="10"/>
      <c r="C558" s="10"/>
    </row>
    <row r="559" ht="15.75" customHeight="1">
      <c r="A559" s="10"/>
      <c r="B559" s="10"/>
      <c r="C559" s="10"/>
    </row>
    <row r="560" ht="15.75" customHeight="1">
      <c r="A560" s="10"/>
      <c r="B560" s="10"/>
      <c r="C560" s="10"/>
    </row>
    <row r="561" ht="15.75" customHeight="1">
      <c r="A561" s="10"/>
      <c r="B561" s="10"/>
      <c r="C561" s="10"/>
    </row>
    <row r="562" ht="15.75" customHeight="1">
      <c r="A562" s="10"/>
      <c r="B562" s="10"/>
      <c r="C562" s="10"/>
    </row>
    <row r="563" ht="15.75" customHeight="1">
      <c r="A563" s="10"/>
      <c r="B563" s="10"/>
      <c r="C563" s="10"/>
    </row>
    <row r="564" ht="15.75" customHeight="1">
      <c r="A564" s="10"/>
      <c r="B564" s="10"/>
      <c r="C564" s="10"/>
    </row>
    <row r="565" ht="15.75" customHeight="1">
      <c r="A565" s="10"/>
      <c r="B565" s="10"/>
      <c r="C565" s="10"/>
    </row>
    <row r="566" ht="15.75" customHeight="1">
      <c r="A566" s="10"/>
      <c r="B566" s="10"/>
      <c r="C566" s="10"/>
    </row>
    <row r="567" ht="15.75" customHeight="1">
      <c r="A567" s="10"/>
      <c r="B567" s="10"/>
      <c r="C567" s="10"/>
    </row>
    <row r="568" ht="15.75" customHeight="1">
      <c r="A568" s="10"/>
      <c r="B568" s="10"/>
      <c r="C568" s="10"/>
    </row>
    <row r="569" ht="15.75" customHeight="1">
      <c r="A569" s="10"/>
      <c r="B569" s="10"/>
      <c r="C569" s="10"/>
    </row>
    <row r="570" ht="15.75" customHeight="1">
      <c r="A570" s="10"/>
      <c r="B570" s="10"/>
      <c r="C570" s="10"/>
    </row>
    <row r="571" ht="15.75" customHeight="1">
      <c r="A571" s="10"/>
      <c r="B571" s="10"/>
      <c r="C571" s="10"/>
    </row>
    <row r="572" ht="15.75" customHeight="1">
      <c r="A572" s="10"/>
      <c r="B572" s="10"/>
      <c r="C572" s="10"/>
    </row>
    <row r="573" ht="15.75" customHeight="1">
      <c r="A573" s="10"/>
      <c r="B573" s="10"/>
      <c r="C573" s="10"/>
    </row>
    <row r="574" ht="15.75" customHeight="1">
      <c r="A574" s="10"/>
      <c r="B574" s="10"/>
      <c r="C574" s="10"/>
    </row>
    <row r="575" ht="15.75" customHeight="1">
      <c r="A575" s="10"/>
      <c r="B575" s="10"/>
      <c r="C575" s="10"/>
    </row>
    <row r="576" ht="15.75" customHeight="1">
      <c r="A576" s="10"/>
      <c r="B576" s="10"/>
      <c r="C576" s="10"/>
    </row>
    <row r="577" ht="15.75" customHeight="1">
      <c r="A577" s="10"/>
      <c r="B577" s="10"/>
      <c r="C577" s="10"/>
    </row>
    <row r="578" ht="15.75" customHeight="1">
      <c r="A578" s="10"/>
      <c r="B578" s="10"/>
      <c r="C578" s="10"/>
    </row>
    <row r="579" ht="15.75" customHeight="1">
      <c r="A579" s="10"/>
      <c r="B579" s="10"/>
      <c r="C579" s="10"/>
    </row>
    <row r="580" ht="15.75" customHeight="1">
      <c r="A580" s="10"/>
      <c r="B580" s="10"/>
      <c r="C580" s="10"/>
    </row>
    <row r="581" ht="15.75" customHeight="1">
      <c r="A581" s="10"/>
      <c r="B581" s="10"/>
      <c r="C581" s="10"/>
    </row>
    <row r="582" ht="15.75" customHeight="1">
      <c r="A582" s="10"/>
      <c r="B582" s="10"/>
      <c r="C582" s="10"/>
    </row>
    <row r="583" ht="15.75" customHeight="1">
      <c r="A583" s="10"/>
      <c r="B583" s="10"/>
      <c r="C583" s="10"/>
    </row>
    <row r="584" ht="15.75" customHeight="1">
      <c r="A584" s="10"/>
      <c r="B584" s="10"/>
      <c r="C584" s="10"/>
    </row>
    <row r="585" ht="15.75" customHeight="1">
      <c r="A585" s="10"/>
      <c r="B585" s="10"/>
      <c r="C585" s="10"/>
    </row>
    <row r="586" ht="15.75" customHeight="1">
      <c r="A586" s="10"/>
      <c r="B586" s="10"/>
      <c r="C586" s="10"/>
    </row>
    <row r="587" ht="15.75" customHeight="1">
      <c r="A587" s="10"/>
      <c r="B587" s="10"/>
      <c r="C587" s="10"/>
    </row>
    <row r="588" ht="15.75" customHeight="1">
      <c r="A588" s="10"/>
      <c r="B588" s="10"/>
      <c r="C588" s="10"/>
    </row>
    <row r="589" ht="15.75" customHeight="1">
      <c r="A589" s="10"/>
      <c r="B589" s="10"/>
      <c r="C589" s="10"/>
    </row>
    <row r="590" ht="15.75" customHeight="1">
      <c r="A590" s="10"/>
      <c r="B590" s="10"/>
      <c r="C590" s="10"/>
    </row>
    <row r="591" ht="15.75" customHeight="1">
      <c r="A591" s="10"/>
      <c r="B591" s="10"/>
      <c r="C591" s="10"/>
    </row>
    <row r="592" ht="15.75" customHeight="1">
      <c r="A592" s="10"/>
      <c r="B592" s="10"/>
      <c r="C592" s="10"/>
    </row>
    <row r="593" ht="15.75" customHeight="1">
      <c r="A593" s="10"/>
      <c r="B593" s="10"/>
      <c r="C593" s="10"/>
    </row>
    <row r="594" ht="15.75" customHeight="1">
      <c r="A594" s="10"/>
      <c r="B594" s="10"/>
      <c r="C594" s="10"/>
    </row>
    <row r="595" ht="15.75" customHeight="1">
      <c r="A595" s="10"/>
      <c r="B595" s="10"/>
      <c r="C595" s="10"/>
    </row>
    <row r="596" ht="15.75" customHeight="1">
      <c r="A596" s="10"/>
      <c r="B596" s="10"/>
      <c r="C596" s="10"/>
    </row>
    <row r="597" ht="15.75" customHeight="1">
      <c r="A597" s="10"/>
      <c r="B597" s="10"/>
      <c r="C597" s="10"/>
    </row>
    <row r="598" ht="15.75" customHeight="1">
      <c r="A598" s="10"/>
      <c r="B598" s="10"/>
      <c r="C598" s="10"/>
    </row>
    <row r="599" ht="15.75" customHeight="1">
      <c r="A599" s="10"/>
      <c r="B599" s="10"/>
      <c r="C599" s="10"/>
    </row>
    <row r="600" ht="15.75" customHeight="1">
      <c r="A600" s="10"/>
      <c r="B600" s="10"/>
      <c r="C600" s="10"/>
    </row>
    <row r="601" ht="15.75" customHeight="1">
      <c r="A601" s="10"/>
      <c r="B601" s="10"/>
      <c r="C601" s="10"/>
    </row>
    <row r="602" ht="15.75" customHeight="1">
      <c r="A602" s="10"/>
      <c r="B602" s="10"/>
      <c r="C602" s="10"/>
    </row>
    <row r="603" ht="15.75" customHeight="1">
      <c r="A603" s="10"/>
      <c r="B603" s="10"/>
      <c r="C603" s="10"/>
    </row>
    <row r="604" ht="15.75" customHeight="1">
      <c r="A604" s="10"/>
      <c r="B604" s="10"/>
      <c r="C604" s="10"/>
    </row>
    <row r="605" ht="15.75" customHeight="1">
      <c r="A605" s="10"/>
      <c r="B605" s="10"/>
      <c r="C605" s="10"/>
    </row>
    <row r="606" ht="15.75" customHeight="1">
      <c r="A606" s="10"/>
      <c r="B606" s="10"/>
      <c r="C606" s="10"/>
    </row>
    <row r="607" ht="15.75" customHeight="1">
      <c r="A607" s="10"/>
      <c r="B607" s="10"/>
      <c r="C607" s="10"/>
    </row>
    <row r="608" ht="15.75" customHeight="1">
      <c r="A608" s="10"/>
      <c r="B608" s="10"/>
      <c r="C608" s="10"/>
    </row>
    <row r="609" ht="15.75" customHeight="1">
      <c r="A609" s="10"/>
      <c r="B609" s="10"/>
      <c r="C609" s="10"/>
    </row>
    <row r="610" ht="15.75" customHeight="1">
      <c r="A610" s="10"/>
      <c r="B610" s="10"/>
      <c r="C610" s="10"/>
    </row>
    <row r="611" ht="15.75" customHeight="1">
      <c r="A611" s="10"/>
      <c r="B611" s="10"/>
      <c r="C611" s="10"/>
    </row>
    <row r="612" ht="15.75" customHeight="1">
      <c r="A612" s="10"/>
      <c r="B612" s="10"/>
      <c r="C612" s="10"/>
    </row>
    <row r="613" ht="15.75" customHeight="1">
      <c r="A613" s="10"/>
      <c r="B613" s="10"/>
      <c r="C613" s="10"/>
    </row>
    <row r="614" ht="15.75" customHeight="1">
      <c r="A614" s="10"/>
      <c r="B614" s="10"/>
      <c r="C614" s="10"/>
    </row>
    <row r="615" ht="15.75" customHeight="1">
      <c r="A615" s="10"/>
      <c r="B615" s="10"/>
      <c r="C615" s="10"/>
    </row>
    <row r="616" ht="15.75" customHeight="1">
      <c r="A616" s="10"/>
      <c r="B616" s="10"/>
      <c r="C616" s="10"/>
    </row>
    <row r="617" ht="15.75" customHeight="1">
      <c r="A617" s="10"/>
      <c r="B617" s="10"/>
      <c r="C617" s="10"/>
    </row>
    <row r="618" ht="15.75" customHeight="1">
      <c r="A618" s="10"/>
      <c r="B618" s="10"/>
      <c r="C618" s="10"/>
    </row>
    <row r="619" ht="15.75" customHeight="1">
      <c r="A619" s="10"/>
      <c r="B619" s="10"/>
      <c r="C619" s="10"/>
    </row>
    <row r="620" ht="15.75" customHeight="1">
      <c r="A620" s="10"/>
      <c r="B620" s="10"/>
      <c r="C620" s="10"/>
    </row>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6" width="14.43"/>
  </cols>
  <sheetData>
    <row r="1">
      <c r="A1" s="2" t="str">
        <f t="array" ref="A1">'Questions Answers'!A21</f>
        <v>20. Flag students who failed in any subject (marks below 40 in any subject).</v>
      </c>
      <c r="B1" s="2"/>
      <c r="C1" s="2"/>
      <c r="D1" s="2"/>
      <c r="E1" s="2"/>
    </row>
    <row r="2" ht="15.0" customHeight="1">
      <c r="A2" s="2"/>
      <c r="B2" s="2"/>
      <c r="C2" s="2"/>
      <c r="D2" s="2"/>
      <c r="E2" s="2"/>
    </row>
    <row r="3">
      <c r="A3" s="1" t="s">
        <v>809</v>
      </c>
      <c r="B3" s="1" t="s">
        <v>815</v>
      </c>
    </row>
    <row r="4">
      <c r="A4" s="1" t="s">
        <v>0</v>
      </c>
      <c r="B4" s="1" t="s">
        <v>1</v>
      </c>
      <c r="C4" s="1" t="s">
        <v>2</v>
      </c>
      <c r="D4" s="1" t="s">
        <v>3</v>
      </c>
      <c r="E4" s="1" t="s">
        <v>4</v>
      </c>
      <c r="F4" s="1" t="s">
        <v>5</v>
      </c>
      <c r="G4" s="1" t="s">
        <v>6</v>
      </c>
      <c r="H4" s="1" t="s">
        <v>7</v>
      </c>
      <c r="I4" s="1" t="s">
        <v>8</v>
      </c>
      <c r="J4" s="1" t="s">
        <v>9</v>
      </c>
      <c r="K4" s="1" t="s">
        <v>10</v>
      </c>
      <c r="L4" s="1" t="s">
        <v>11</v>
      </c>
      <c r="M4" s="1" t="s">
        <v>12</v>
      </c>
      <c r="N4" s="1" t="s">
        <v>13</v>
      </c>
      <c r="O4" s="1" t="s">
        <v>14</v>
      </c>
    </row>
    <row r="5">
      <c r="A5" s="1" t="str">
        <f>IFERROR(__xludf.DUMMYFUNCTION("IFERROR(FILTER(Student_Data!A2:O1000, (IF(Student_Data!G2:G1000="""", 100, Student_Data!G2:G1000*1)&lt;40) + (IF(Student_Data!H2:H1000="""", 100, Student_Data!H2:H1000*1)&lt;40) + (IF(Student_Data!I2:I1000="""", 100, Student_Data!I2:I1000*1)&lt;40) + (IF(Student_D"&amp;"ata!J2:J1000="""", 100, Student_Data!J2:J1000*1)&lt;40) + (IF(Student_Data!K2:K1000="""", 100, Student_Data!K2:K1000*1)&lt;40)), ""No Data Found"")"),"No Data Found")</f>
        <v>No Data Found</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6" width="14.43"/>
  </cols>
  <sheetData>
    <row r="1">
      <c r="A1" s="2" t="str">
        <f t="array" ref="A1">'Questions Answers'!A22</f>
        <v>21. Retrieve full details of a student using their Student ID.</v>
      </c>
      <c r="B1" s="2"/>
      <c r="C1" s="2"/>
      <c r="D1" s="2"/>
    </row>
    <row r="2" ht="15.0" customHeight="1">
      <c r="A2" s="2"/>
      <c r="B2" s="2"/>
      <c r="C2" s="2"/>
      <c r="D2" s="2"/>
    </row>
    <row r="3">
      <c r="A3" s="1" t="str">
        <f>IFERROR(__xludf.DUMMYFUNCTION("QUERY(Student_Data!A1:O1000, ""SELECT * WHERE A = 'STD-1001'"")"),"Student_ID")</f>
        <v>Student_ID</v>
      </c>
      <c r="B3" s="1" t="str">
        <f>IFERROR(__xludf.DUMMYFUNCTION("""COMPUTED_VALUE"""),"Full_Name")</f>
        <v>Full_Name</v>
      </c>
      <c r="C3" s="1" t="str">
        <f>IFERROR(__xludf.DUMMYFUNCTION("""COMPUTED_VALUE"""),"Gender")</f>
        <v>Gender</v>
      </c>
      <c r="D3" s="1" t="str">
        <f>IFERROR(__xludf.DUMMYFUNCTION("""COMPUTED_VALUE"""),"Class")</f>
        <v>Class</v>
      </c>
      <c r="E3" s="1" t="str">
        <f>IFERROR(__xludf.DUMMYFUNCTION("""COMPUTED_VALUE"""),"Section")</f>
        <v>Section</v>
      </c>
      <c r="F3" s="1" t="str">
        <f>IFERROR(__xludf.DUMMYFUNCTION("""COMPUTED_VALUE"""),"City")</f>
        <v>City</v>
      </c>
      <c r="G3" s="1" t="str">
        <f>IFERROR(__xludf.DUMMYFUNCTION("""COMPUTED_VALUE"""),"Maths")</f>
        <v>Maths</v>
      </c>
      <c r="H3" s="1" t="str">
        <f>IFERROR(__xludf.DUMMYFUNCTION("""COMPUTED_VALUE"""),"Science")</f>
        <v>Science</v>
      </c>
      <c r="I3" s="1" t="str">
        <f>IFERROR(__xludf.DUMMYFUNCTION("""COMPUTED_VALUE"""),"English")</f>
        <v>English</v>
      </c>
      <c r="J3" s="1" t="str">
        <f>IFERROR(__xludf.DUMMYFUNCTION("""COMPUTED_VALUE"""),"Hindi")</f>
        <v>Hindi</v>
      </c>
      <c r="K3" s="1" t="str">
        <f>IFERROR(__xludf.DUMMYFUNCTION("""COMPUTED_VALUE"""),"Social_Studies")</f>
        <v>Social_Studies</v>
      </c>
      <c r="L3" s="1" t="str">
        <f>IFERROR(__xludf.DUMMYFUNCTION("""COMPUTED_VALUE"""),"Total")</f>
        <v>Total</v>
      </c>
      <c r="M3" s="1" t="str">
        <f>IFERROR(__xludf.DUMMYFUNCTION("""COMPUTED_VALUE"""),"Percentage")</f>
        <v>Percentage</v>
      </c>
      <c r="N3" s="1" t="str">
        <f>IFERROR(__xludf.DUMMYFUNCTION("""COMPUTED_VALUE"""),"Attendance")</f>
        <v>Attendance</v>
      </c>
      <c r="O3" s="1" t="str">
        <f>IFERROR(__xludf.DUMMYFUNCTION("""COMPUTED_VALUE"""),"Status")</f>
        <v>Status</v>
      </c>
    </row>
    <row r="4">
      <c r="A4" s="1" t="str">
        <f>IFERROR(__xludf.DUMMYFUNCTION("""COMPUTED_VALUE"""),"STD-1001")</f>
        <v>STD-1001</v>
      </c>
      <c r="B4" s="1" t="str">
        <f>IFERROR(__xludf.DUMMYFUNCTION("""COMPUTED_VALUE"""),"Priya Choudhary")</f>
        <v>Priya Choudhary</v>
      </c>
      <c r="C4" s="1" t="str">
        <f>IFERROR(__xludf.DUMMYFUNCTION("""COMPUTED_VALUE"""),"Male")</f>
        <v>Male</v>
      </c>
      <c r="D4" s="1" t="str">
        <f>IFERROR(__xludf.DUMMYFUNCTION("""COMPUTED_VALUE"""),"10")</f>
        <v>10</v>
      </c>
      <c r="E4" s="1" t="str">
        <f>IFERROR(__xludf.DUMMYFUNCTION("""COMPUTED_VALUE"""),"A")</f>
        <v>A</v>
      </c>
      <c r="F4" s="1" t="str">
        <f>IFERROR(__xludf.DUMMYFUNCTION("""COMPUTED_VALUE"""),"Chandigarh")</f>
        <v>Chandigarh</v>
      </c>
      <c r="G4" s="1">
        <f>IFERROR(__xludf.DUMMYFUNCTION("""COMPUTED_VALUE"""),45.0)</f>
        <v>45</v>
      </c>
      <c r="H4" s="1">
        <f>IFERROR(__xludf.DUMMYFUNCTION("""COMPUTED_VALUE"""),97.0)</f>
        <v>97</v>
      </c>
      <c r="I4" s="1">
        <f>IFERROR(__xludf.DUMMYFUNCTION("""COMPUTED_VALUE"""),58.0)</f>
        <v>58</v>
      </c>
      <c r="J4" s="1">
        <f>IFERROR(__xludf.DUMMYFUNCTION("""COMPUTED_VALUE"""),76.0)</f>
        <v>76</v>
      </c>
      <c r="K4" s="1">
        <f>IFERROR(__xludf.DUMMYFUNCTION("""COMPUTED_VALUE"""),71.0)</f>
        <v>71</v>
      </c>
      <c r="L4" s="1">
        <f>IFERROR(__xludf.DUMMYFUNCTION("""COMPUTED_VALUE"""),347.0)</f>
        <v>347</v>
      </c>
      <c r="M4" s="1">
        <f>IFERROR(__xludf.DUMMYFUNCTION("""COMPUTED_VALUE"""),69.4)</f>
        <v>69.4</v>
      </c>
      <c r="N4" s="1">
        <f>IFERROR(__xludf.DUMMYFUNCTION("""COMPUTED_VALUE"""),84.0)</f>
        <v>84</v>
      </c>
      <c r="O4" s="1" t="str">
        <f>IFERROR(__xludf.DUMMYFUNCTION("""COMPUTED_VALUE"""),"Pass")</f>
        <v>Pass</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6" width="14.43"/>
  </cols>
  <sheetData>
    <row r="1">
      <c r="A1" s="2" t="str">
        <f t="array" ref="A1">'Questions Answers'!A23</f>
        <v>22. Fetch the percentage of a specific student using their ID.</v>
      </c>
      <c r="B1" s="2"/>
      <c r="C1" s="2"/>
      <c r="D1" s="2"/>
    </row>
    <row r="2" ht="15.0" customHeight="1">
      <c r="A2" s="2"/>
      <c r="B2" s="2"/>
      <c r="C2" s="2"/>
      <c r="D2" s="2"/>
    </row>
    <row r="3">
      <c r="A3" s="1" t="str">
        <f>IFERROR(__xludf.DUMMYFUNCTION("QUERY(Student_Data!A1:O1000, ""SELECT A, B, M WHERE A = 'STD-1001'"")"),"Student_ID")</f>
        <v>Student_ID</v>
      </c>
      <c r="B3" s="1" t="str">
        <f>IFERROR(__xludf.DUMMYFUNCTION("""COMPUTED_VALUE"""),"Full_Name")</f>
        <v>Full_Name</v>
      </c>
      <c r="C3" s="1" t="str">
        <f>IFERROR(__xludf.DUMMYFUNCTION("""COMPUTED_VALUE"""),"Percentage")</f>
        <v>Percentage</v>
      </c>
    </row>
    <row r="4">
      <c r="A4" s="1" t="str">
        <f>IFERROR(__xludf.DUMMYFUNCTION("""COMPUTED_VALUE"""),"STD-1001")</f>
        <v>STD-1001</v>
      </c>
      <c r="B4" s="1" t="str">
        <f>IFERROR(__xludf.DUMMYFUNCTION("""COMPUTED_VALUE"""),"Priya Choudhary")</f>
        <v>Priya Choudhary</v>
      </c>
      <c r="C4" s="1">
        <f>IFERROR(__xludf.DUMMYFUNCTION("""COMPUTED_VALUE"""),69.4)</f>
        <v>69.4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6" width="14.43"/>
  </cols>
  <sheetData>
    <row r="1">
      <c r="A1" s="1" t="str">
        <f t="array" ref="A1">'Questions Answers'!A24</f>
        <v>23. Retrieve the city of a student using Student ID.</v>
      </c>
    </row>
    <row r="3">
      <c r="A3" s="1" t="str">
        <f>IFERROR(__xludf.DUMMYFUNCTION("QUERY(Student_Data!A1:O1000, ""SELECT A, B, F WHERE A = 'STD-1001'"")"),"Student_ID")</f>
        <v>Student_ID</v>
      </c>
      <c r="B3" s="1" t="str">
        <f>IFERROR(__xludf.DUMMYFUNCTION("""COMPUTED_VALUE"""),"Full_Name")</f>
        <v>Full_Name</v>
      </c>
      <c r="C3" s="1" t="str">
        <f>IFERROR(__xludf.DUMMYFUNCTION("""COMPUTED_VALUE"""),"City")</f>
        <v>City</v>
      </c>
    </row>
    <row r="4">
      <c r="A4" s="1" t="str">
        <f>IFERROR(__xludf.DUMMYFUNCTION("""COMPUTED_VALUE"""),"STD-1001")</f>
        <v>STD-1001</v>
      </c>
      <c r="B4" s="1" t="str">
        <f>IFERROR(__xludf.DUMMYFUNCTION("""COMPUTED_VALUE"""),"Priya Choudhary")</f>
        <v>Priya Choudhary</v>
      </c>
      <c r="C4" s="1" t="str">
        <f>IFERROR(__xludf.DUMMYFUNCTION("""COMPUTED_VALUE"""),"Chandigarh")</f>
        <v>Chandigarh</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6" width="14.43"/>
  </cols>
  <sheetData>
    <row r="1">
      <c r="A1" s="2" t="str">
        <f t="array" ref="A1">'Questions Answers'!A25</f>
        <v>24. Display all students whose percentage is greater than 80.</v>
      </c>
      <c r="B1" s="2"/>
      <c r="C1" s="2"/>
      <c r="D1" s="2"/>
    </row>
    <row r="2" ht="15.0" customHeight="1">
      <c r="A2" s="2"/>
      <c r="B2" s="2"/>
      <c r="C2" s="2"/>
      <c r="D2" s="2"/>
    </row>
    <row r="3">
      <c r="A3" s="1" t="str">
        <f>IFERROR(__xludf.DUMMYFUNCTION("QUERY(Student_Data!A1:O1000, ""SELECT A, B, M WHERE M &gt; 80"")"),"Student_ID")</f>
        <v>Student_ID</v>
      </c>
      <c r="B3" s="1" t="str">
        <f>IFERROR(__xludf.DUMMYFUNCTION("""COMPUTED_VALUE"""),"Full_Name")</f>
        <v>Full_Name</v>
      </c>
      <c r="C3" s="1" t="str">
        <f>IFERROR(__xludf.DUMMYFUNCTION("""COMPUTED_VALUE"""),"Percentage")</f>
        <v>Percentage</v>
      </c>
    </row>
    <row r="4">
      <c r="A4" s="1" t="str">
        <f>IFERROR(__xludf.DUMMYFUNCTION("""COMPUTED_VALUE"""),"STD-1019")</f>
        <v>STD-1019</v>
      </c>
      <c r="B4" s="1" t="str">
        <f>IFERROR(__xludf.DUMMYFUNCTION("""COMPUTED_VALUE"""),"Karan Iyer")</f>
        <v>Karan Iyer</v>
      </c>
      <c r="C4" s="1">
        <f>IFERROR(__xludf.DUMMYFUNCTION("""COMPUTED_VALUE"""),80.6)</f>
        <v>80.6</v>
      </c>
    </row>
    <row r="5">
      <c r="A5" s="1" t="str">
        <f>IFERROR(__xludf.DUMMYFUNCTION("""COMPUTED_VALUE"""),"STD-1055")</f>
        <v>STD-1055</v>
      </c>
      <c r="B5" s="1" t="str">
        <f>IFERROR(__xludf.DUMMYFUNCTION("""COMPUTED_VALUE"""),"Shreya Singh")</f>
        <v>Shreya Singh</v>
      </c>
      <c r="C5" s="1">
        <f>IFERROR(__xludf.DUMMYFUNCTION("""COMPUTED_VALUE"""),83.0)</f>
        <v>83</v>
      </c>
    </row>
    <row r="6">
      <c r="A6" s="1" t="str">
        <f>IFERROR(__xludf.DUMMYFUNCTION("""COMPUTED_VALUE"""),"STD-1062")</f>
        <v>STD-1062</v>
      </c>
      <c r="B6" s="1" t="str">
        <f>IFERROR(__xludf.DUMMYFUNCTION("""COMPUTED_VALUE"""),"Karan Choudhary")</f>
        <v>Karan Choudhary</v>
      </c>
      <c r="C6" s="1">
        <f>IFERROR(__xludf.DUMMYFUNCTION("""COMPUTED_VALUE"""),85.8)</f>
        <v>85.8</v>
      </c>
    </row>
    <row r="7">
      <c r="A7" s="1" t="str">
        <f>IFERROR(__xludf.DUMMYFUNCTION("""COMPUTED_VALUE"""),"STD-1078")</f>
        <v>STD-1078</v>
      </c>
      <c r="B7" s="1" t="str">
        <f>IFERROR(__xludf.DUMMYFUNCTION("""COMPUTED_VALUE"""),"Kavya Reddy")</f>
        <v>Kavya Reddy</v>
      </c>
      <c r="C7" s="1">
        <f>IFERROR(__xludf.DUMMYFUNCTION("""COMPUTED_VALUE"""),82.8)</f>
        <v>82.8</v>
      </c>
    </row>
    <row r="8">
      <c r="A8" s="1" t="str">
        <f>IFERROR(__xludf.DUMMYFUNCTION("""COMPUTED_VALUE"""),"STD-1098")</f>
        <v>STD-1098</v>
      </c>
      <c r="B8" s="1" t="str">
        <f>IFERROR(__xludf.DUMMYFUNCTION("""COMPUTED_VALUE"""),"Arjun Banerjee")</f>
        <v>Arjun Banerjee</v>
      </c>
      <c r="C8" s="1">
        <f>IFERROR(__xludf.DUMMYFUNCTION("""COMPUTED_VALUE"""),80.4)</f>
        <v>80.4</v>
      </c>
    </row>
    <row r="9">
      <c r="A9" s="1" t="str">
        <f>IFERROR(__xludf.DUMMYFUNCTION("""COMPUTED_VALUE"""),"STD-1130")</f>
        <v>STD-1130</v>
      </c>
      <c r="B9" s="1" t="str">
        <f>IFERROR(__xludf.DUMMYFUNCTION("""COMPUTED_VALUE"""),"Rahul Choudhary")</f>
        <v>Rahul Choudhary</v>
      </c>
      <c r="C9" s="1">
        <f>IFERROR(__xludf.DUMMYFUNCTION("""COMPUTED_VALUE"""),84.6)</f>
        <v>84.6</v>
      </c>
    </row>
    <row r="10">
      <c r="A10" s="1" t="str">
        <f>IFERROR(__xludf.DUMMYFUNCTION("""COMPUTED_VALUE"""),"STD-1137")</f>
        <v>STD-1137</v>
      </c>
      <c r="B10" s="1" t="str">
        <f>IFERROR(__xludf.DUMMYFUNCTION("""COMPUTED_VALUE"""),"Neha Verma")</f>
        <v>Neha Verma</v>
      </c>
      <c r="C10" s="1">
        <f>IFERROR(__xludf.DUMMYFUNCTION("""COMPUTED_VALUE"""),80.4)</f>
        <v>80.4</v>
      </c>
    </row>
    <row r="11">
      <c r="A11" s="1" t="str">
        <f>IFERROR(__xludf.DUMMYFUNCTION("""COMPUTED_VALUE"""),"STD-1154")</f>
        <v>STD-1154</v>
      </c>
      <c r="B11" s="1" t="str">
        <f>IFERROR(__xludf.DUMMYFUNCTION("""COMPUTED_VALUE"""),"Ishita Choudhary")</f>
        <v>Ishita Choudhary</v>
      </c>
      <c r="C11" s="1">
        <f>IFERROR(__xludf.DUMMYFUNCTION("""COMPUTED_VALUE"""),80.2)</f>
        <v>80.2</v>
      </c>
    </row>
    <row r="12">
      <c r="A12" s="1" t="str">
        <f>IFERROR(__xludf.DUMMYFUNCTION("""COMPUTED_VALUE"""),"STD-1164")</f>
        <v>STD-1164</v>
      </c>
      <c r="B12" s="1" t="str">
        <f>IFERROR(__xludf.DUMMYFUNCTION("""COMPUTED_VALUE"""),"Neha Choudhary")</f>
        <v>Neha Choudhary</v>
      </c>
      <c r="C12" s="1">
        <f>IFERROR(__xludf.DUMMYFUNCTION("""COMPUTED_VALUE"""),84.6)</f>
        <v>84.6</v>
      </c>
    </row>
    <row r="13">
      <c r="A13" s="1" t="str">
        <f>IFERROR(__xludf.DUMMYFUNCTION("""COMPUTED_VALUE"""),"STD-1202")</f>
        <v>STD-1202</v>
      </c>
      <c r="B13" s="1" t="str">
        <f>IFERROR(__xludf.DUMMYFUNCTION("""COMPUTED_VALUE"""),"Priya Nair")</f>
        <v>Priya Nair</v>
      </c>
      <c r="C13" s="1">
        <f>IFERROR(__xludf.DUMMYFUNCTION("""COMPUTED_VALUE"""),82.0)</f>
        <v>82</v>
      </c>
    </row>
    <row r="14">
      <c r="A14" s="1" t="str">
        <f>IFERROR(__xludf.DUMMYFUNCTION("""COMPUTED_VALUE"""),"STD-1204")</f>
        <v>STD-1204</v>
      </c>
      <c r="B14" s="1" t="str">
        <f>IFERROR(__xludf.DUMMYFUNCTION("""COMPUTED_VALUE"""),"Ritika Das")</f>
        <v>Ritika Das</v>
      </c>
      <c r="C14" s="1">
        <f>IFERROR(__xludf.DUMMYFUNCTION("""COMPUTED_VALUE"""),85.0)</f>
        <v>85</v>
      </c>
    </row>
    <row r="15">
      <c r="A15" s="1" t="str">
        <f>IFERROR(__xludf.DUMMYFUNCTION("""COMPUTED_VALUE"""),"STD-1227")</f>
        <v>STD-1227</v>
      </c>
      <c r="B15" s="1" t="str">
        <f>IFERROR(__xludf.DUMMYFUNCTION("""COMPUTED_VALUE"""),"Sneha Nair")</f>
        <v>Sneha Nair</v>
      </c>
      <c r="C15" s="1">
        <f>IFERROR(__xludf.DUMMYFUNCTION("""COMPUTED_VALUE"""),80.4)</f>
        <v>80.4</v>
      </c>
    </row>
    <row r="16">
      <c r="A16" s="1" t="str">
        <f>IFERROR(__xludf.DUMMYFUNCTION("""COMPUTED_VALUE"""),"STD-1232")</f>
        <v>STD-1232</v>
      </c>
      <c r="B16" s="1" t="str">
        <f>IFERROR(__xludf.DUMMYFUNCTION("""COMPUTED_VALUE"""),"Priya Choudhary")</f>
        <v>Priya Choudhary</v>
      </c>
      <c r="C16" s="1">
        <f>IFERROR(__xludf.DUMMYFUNCTION("""COMPUTED_VALUE"""),87.4)</f>
        <v>87.4</v>
      </c>
    </row>
    <row r="17">
      <c r="A17" s="1" t="str">
        <f>IFERROR(__xludf.DUMMYFUNCTION("""COMPUTED_VALUE"""),"STD-1265")</f>
        <v>STD-1265</v>
      </c>
      <c r="B17" s="1" t="str">
        <f>IFERROR(__xludf.DUMMYFUNCTION("""COMPUTED_VALUE"""),"Ishita Sharma")</f>
        <v>Ishita Sharma</v>
      </c>
      <c r="C17" s="1">
        <f>IFERROR(__xludf.DUMMYFUNCTION("""COMPUTED_VALUE"""),80.8)</f>
        <v>80.8</v>
      </c>
    </row>
    <row r="18">
      <c r="A18" s="1" t="str">
        <f>IFERROR(__xludf.DUMMYFUNCTION("""COMPUTED_VALUE"""),"STD-1269")</f>
        <v>STD-1269</v>
      </c>
      <c r="B18" s="1" t="str">
        <f>IFERROR(__xludf.DUMMYFUNCTION("""COMPUTED_VALUE"""),"Aditya Kulkarni")</f>
        <v>Aditya Kulkarni</v>
      </c>
      <c r="C18" s="1">
        <f>IFERROR(__xludf.DUMMYFUNCTION("""COMPUTED_VALUE"""),80.2)</f>
        <v>80.2</v>
      </c>
    </row>
    <row r="19">
      <c r="A19" s="1" t="str">
        <f>IFERROR(__xludf.DUMMYFUNCTION("""COMPUTED_VALUE"""),"STD-1288")</f>
        <v>STD-1288</v>
      </c>
      <c r="B19" s="1" t="str">
        <f>IFERROR(__xludf.DUMMYFUNCTION("""COMPUTED_VALUE"""),"Rohan Jain")</f>
        <v>Rohan Jain</v>
      </c>
      <c r="C19" s="1">
        <f>IFERROR(__xludf.DUMMYFUNCTION("""COMPUTED_VALUE"""),81.0)</f>
        <v>81</v>
      </c>
    </row>
    <row r="20">
      <c r="A20" s="1" t="str">
        <f>IFERROR(__xludf.DUMMYFUNCTION("""COMPUTED_VALUE"""),"STD-1304")</f>
        <v>STD-1304</v>
      </c>
      <c r="B20" s="1" t="str">
        <f>IFERROR(__xludf.DUMMYFUNCTION("""COMPUTED_VALUE"""),"Rohan Das")</f>
        <v>Rohan Das</v>
      </c>
      <c r="C20" s="1">
        <f>IFERROR(__xludf.DUMMYFUNCTION("""COMPUTED_VALUE"""),81.6)</f>
        <v>81.6</v>
      </c>
    </row>
    <row r="21" ht="15.75" customHeight="1">
      <c r="A21" s="1" t="str">
        <f>IFERROR(__xludf.DUMMYFUNCTION("""COMPUTED_VALUE"""),"STD-1310")</f>
        <v>STD-1310</v>
      </c>
      <c r="B21" s="1" t="str">
        <f>IFERROR(__xludf.DUMMYFUNCTION("""COMPUTED_VALUE"""),"Karan Das")</f>
        <v>Karan Das</v>
      </c>
      <c r="C21" s="1">
        <f>IFERROR(__xludf.DUMMYFUNCTION("""COMPUTED_VALUE"""),80.2)</f>
        <v>80.2</v>
      </c>
    </row>
    <row r="22" ht="15.75" customHeight="1">
      <c r="A22" s="1" t="str">
        <f>IFERROR(__xludf.DUMMYFUNCTION("""COMPUTED_VALUE"""),"STD-1312")</f>
        <v>STD-1312</v>
      </c>
      <c r="B22" s="1" t="str">
        <f>IFERROR(__xludf.DUMMYFUNCTION("""COMPUTED_VALUE"""),"Neha Das")</f>
        <v>Neha Das</v>
      </c>
      <c r="C22" s="1">
        <f>IFERROR(__xludf.DUMMYFUNCTION("""COMPUTED_VALUE"""),81.0)</f>
        <v>81</v>
      </c>
    </row>
    <row r="23" ht="15.75" customHeight="1">
      <c r="A23" s="1" t="str">
        <f>IFERROR(__xludf.DUMMYFUNCTION("""COMPUTED_VALUE"""),"STD-1314")</f>
        <v>STD-1314</v>
      </c>
      <c r="B23" s="1" t="str">
        <f>IFERROR(__xludf.DUMMYFUNCTION("""COMPUTED_VALUE"""),"Sai Das")</f>
        <v>Sai Das</v>
      </c>
      <c r="C23" s="1">
        <f>IFERROR(__xludf.DUMMYFUNCTION("""COMPUTED_VALUE"""),84.0)</f>
        <v>84</v>
      </c>
    </row>
    <row r="24" ht="15.75" customHeight="1">
      <c r="A24" s="1" t="str">
        <f>IFERROR(__xludf.DUMMYFUNCTION("""COMPUTED_VALUE"""),"STD-1325")</f>
        <v>STD-1325</v>
      </c>
      <c r="B24" s="1" t="str">
        <f>IFERROR(__xludf.DUMMYFUNCTION("""COMPUTED_VALUE"""),"Pooja Sharma")</f>
        <v>Pooja Sharma</v>
      </c>
      <c r="C24" s="1">
        <f>IFERROR(__xludf.DUMMYFUNCTION("""COMPUTED_VALUE"""),81.4)</f>
        <v>81.4</v>
      </c>
    </row>
    <row r="25" ht="15.75" customHeight="1">
      <c r="A25" s="1" t="str">
        <f>IFERROR(__xludf.DUMMYFUNCTION("""COMPUTED_VALUE"""),"STD-1336")</f>
        <v>STD-1336</v>
      </c>
      <c r="B25" s="1" t="str">
        <f>IFERROR(__xludf.DUMMYFUNCTION("""COMPUTED_VALUE"""),"Ritika Sharma")</f>
        <v>Ritika Sharma</v>
      </c>
      <c r="C25" s="1">
        <f>IFERROR(__xludf.DUMMYFUNCTION("""COMPUTED_VALUE"""),86.2)</f>
        <v>86.2</v>
      </c>
    </row>
    <row r="26" ht="15.75" customHeight="1">
      <c r="A26" s="1" t="str">
        <f>IFERROR(__xludf.DUMMYFUNCTION("""COMPUTED_VALUE"""),"STD-1350")</f>
        <v>STD-1350</v>
      </c>
      <c r="B26" s="1" t="str">
        <f>IFERROR(__xludf.DUMMYFUNCTION("""COMPUTED_VALUE"""),"Aarav Patel")</f>
        <v>Aarav Patel</v>
      </c>
      <c r="C26" s="1">
        <f>IFERROR(__xludf.DUMMYFUNCTION("""COMPUTED_VALUE"""),87.4)</f>
        <v>87.4</v>
      </c>
    </row>
    <row r="27" ht="15.75" customHeight="1">
      <c r="A27" s="1" t="str">
        <f>IFERROR(__xludf.DUMMYFUNCTION("""COMPUTED_VALUE"""),"STD-1364")</f>
        <v>STD-1364</v>
      </c>
      <c r="B27" s="1" t="str">
        <f>IFERROR(__xludf.DUMMYFUNCTION("""COMPUTED_VALUE"""),"Priya Verma")</f>
        <v>Priya Verma</v>
      </c>
      <c r="C27" s="1">
        <f>IFERROR(__xludf.DUMMYFUNCTION("""COMPUTED_VALUE"""),83.4)</f>
        <v>83.4</v>
      </c>
    </row>
    <row r="28" ht="15.75" customHeight="1">
      <c r="A28" s="1" t="str">
        <f>IFERROR(__xludf.DUMMYFUNCTION("""COMPUTED_VALUE"""),"STD-1366")</f>
        <v>STD-1366</v>
      </c>
      <c r="B28" s="1" t="str">
        <f>IFERROR(__xludf.DUMMYFUNCTION("""COMPUTED_VALUE"""),"Pooja Verma")</f>
        <v>Pooja Verma</v>
      </c>
      <c r="C28" s="1">
        <f>IFERROR(__xludf.DUMMYFUNCTION("""COMPUTED_VALUE"""),80.2)</f>
        <v>80.2</v>
      </c>
    </row>
    <row r="29" ht="15.75" customHeight="1">
      <c r="A29" s="1" t="str">
        <f>IFERROR(__xludf.DUMMYFUNCTION("""COMPUTED_VALUE"""),"STD-1370")</f>
        <v>STD-1370</v>
      </c>
      <c r="B29" s="1" t="str">
        <f>IFERROR(__xludf.DUMMYFUNCTION("""COMPUTED_VALUE"""),"Arjun Banerjee")</f>
        <v>Arjun Banerjee</v>
      </c>
      <c r="C29" s="1">
        <f>IFERROR(__xludf.DUMMYFUNCTION("""COMPUTED_VALUE"""),81.4)</f>
        <v>81.4</v>
      </c>
    </row>
    <row r="30" ht="15.75" customHeight="1">
      <c r="A30" s="1" t="str">
        <f>IFERROR(__xludf.DUMMYFUNCTION("""COMPUTED_VALUE"""),"STD-1378")</f>
        <v>STD-1378</v>
      </c>
      <c r="B30" s="1" t="str">
        <f>IFERROR(__xludf.DUMMYFUNCTION("""COMPUTED_VALUE"""),"Ritika Patel")</f>
        <v>Ritika Patel</v>
      </c>
      <c r="C30" s="1">
        <f>IFERROR(__xludf.DUMMYFUNCTION("""COMPUTED_VALUE"""),81.8)</f>
        <v>81.8</v>
      </c>
    </row>
    <row r="31" ht="15.75" customHeight="1">
      <c r="A31" s="1" t="str">
        <f>IFERROR(__xludf.DUMMYFUNCTION("""COMPUTED_VALUE"""),"STD-1383")</f>
        <v>STD-1383</v>
      </c>
      <c r="B31" s="1" t="str">
        <f>IFERROR(__xludf.DUMMYFUNCTION("""COMPUTED_VALUE"""),"Shreya Das")</f>
        <v>Shreya Das</v>
      </c>
      <c r="C31" s="1">
        <f>IFERROR(__xludf.DUMMYFUNCTION("""COMPUTED_VALUE"""),83.0)</f>
        <v>83</v>
      </c>
    </row>
    <row r="32" ht="15.75" customHeight="1">
      <c r="A32" s="1" t="str">
        <f>IFERROR(__xludf.DUMMYFUNCTION("""COMPUTED_VALUE"""),"STD-1407")</f>
        <v>STD-1407</v>
      </c>
      <c r="B32" s="1" t="str">
        <f>IFERROR(__xludf.DUMMYFUNCTION("""COMPUTED_VALUE"""),"Karan Sharma")</f>
        <v>Karan Sharma</v>
      </c>
      <c r="C32" s="1">
        <f>IFERROR(__xludf.DUMMYFUNCTION("""COMPUTED_VALUE"""),85.8)</f>
        <v>85.8</v>
      </c>
    </row>
    <row r="33" ht="15.75" customHeight="1">
      <c r="A33" s="1" t="str">
        <f>IFERROR(__xludf.DUMMYFUNCTION("""COMPUTED_VALUE"""),"STD-1408")</f>
        <v>STD-1408</v>
      </c>
      <c r="B33" s="1" t="str">
        <f>IFERROR(__xludf.DUMMYFUNCTION("""COMPUTED_VALUE"""),"Ritika Banerjee")</f>
        <v>Ritika Banerjee</v>
      </c>
      <c r="C33" s="1">
        <f>IFERROR(__xludf.DUMMYFUNCTION("""COMPUTED_VALUE"""),81.4)</f>
        <v>81.4</v>
      </c>
    </row>
    <row r="34" ht="15.75" customHeight="1">
      <c r="A34" s="1" t="str">
        <f>IFERROR(__xludf.DUMMYFUNCTION("""COMPUTED_VALUE"""),"STD-1409")</f>
        <v>STD-1409</v>
      </c>
      <c r="B34" s="1" t="str">
        <f>IFERROR(__xludf.DUMMYFUNCTION("""COMPUTED_VALUE"""),"Vivaan Gupta")</f>
        <v>Vivaan Gupta</v>
      </c>
      <c r="C34" s="1">
        <f>IFERROR(__xludf.DUMMYFUNCTION("""COMPUTED_VALUE"""),82.6)</f>
        <v>82.6</v>
      </c>
    </row>
    <row r="35" ht="15.75" customHeight="1">
      <c r="A35" s="1" t="str">
        <f>IFERROR(__xludf.DUMMYFUNCTION("""COMPUTED_VALUE"""),"STD-1420")</f>
        <v>STD-1420</v>
      </c>
      <c r="B35" s="1" t="str">
        <f>IFERROR(__xludf.DUMMYFUNCTION("""COMPUTED_VALUE"""),"Rahul Choudhary")</f>
        <v>Rahul Choudhary</v>
      </c>
      <c r="C35" s="1">
        <f>IFERROR(__xludf.DUMMYFUNCTION("""COMPUTED_VALUE"""),85.4)</f>
        <v>85.4</v>
      </c>
    </row>
    <row r="36" ht="15.75" customHeight="1">
      <c r="A36" s="1" t="str">
        <f>IFERROR(__xludf.DUMMYFUNCTION("""COMPUTED_VALUE"""),"STD-1432")</f>
        <v>STD-1432</v>
      </c>
      <c r="B36" s="1" t="str">
        <f>IFERROR(__xludf.DUMMYFUNCTION("""COMPUTED_VALUE"""),"Rohan Yadav")</f>
        <v>Rohan Yadav</v>
      </c>
      <c r="C36" s="1">
        <f>IFERROR(__xludf.DUMMYFUNCTION("""COMPUTED_VALUE"""),82.0)</f>
        <v>82</v>
      </c>
    </row>
    <row r="37" ht="15.75" customHeight="1">
      <c r="A37" s="1" t="str">
        <f>IFERROR(__xludf.DUMMYFUNCTION("""COMPUTED_VALUE"""),"STD-1445")</f>
        <v>STD-1445</v>
      </c>
      <c r="B37" s="1" t="str">
        <f>IFERROR(__xludf.DUMMYFUNCTION("""COMPUTED_VALUE"""),"Priya Reddy")</f>
        <v>Priya Reddy</v>
      </c>
      <c r="C37" s="1">
        <f>IFERROR(__xludf.DUMMYFUNCTION("""COMPUTED_VALUE"""),83.8)</f>
        <v>83.8</v>
      </c>
    </row>
    <row r="38" ht="15.75" customHeight="1">
      <c r="A38" s="1" t="str">
        <f>IFERROR(__xludf.DUMMYFUNCTION("""COMPUTED_VALUE"""),"STD-1461")</f>
        <v>STD-1461</v>
      </c>
      <c r="B38" s="1" t="str">
        <f>IFERROR(__xludf.DUMMYFUNCTION("""COMPUTED_VALUE"""),"Aarav Gupta")</f>
        <v>Aarav Gupta</v>
      </c>
      <c r="C38" s="1">
        <f>IFERROR(__xludf.DUMMYFUNCTION("""COMPUTED_VALUE"""),80.6)</f>
        <v>80.6</v>
      </c>
    </row>
    <row r="39" ht="15.75" customHeight="1">
      <c r="A39" s="1" t="str">
        <f>IFERROR(__xludf.DUMMYFUNCTION("""COMPUTED_VALUE"""),"STD-1462")</f>
        <v>STD-1462</v>
      </c>
      <c r="B39" s="1" t="str">
        <f>IFERROR(__xludf.DUMMYFUNCTION("""COMPUTED_VALUE"""),"Kavya Verma")</f>
        <v>Kavya Verma</v>
      </c>
      <c r="C39" s="1">
        <f>IFERROR(__xludf.DUMMYFUNCTION("""COMPUTED_VALUE"""),80.8)</f>
        <v>80.8</v>
      </c>
    </row>
    <row r="40" ht="15.75" customHeight="1">
      <c r="A40" s="1" t="str">
        <f>IFERROR(__xludf.DUMMYFUNCTION("""COMPUTED_VALUE"""),"STD-1471")</f>
        <v>STD-1471</v>
      </c>
      <c r="B40" s="1" t="str">
        <f>IFERROR(__xludf.DUMMYFUNCTION("""COMPUTED_VALUE"""),"Sai Patel")</f>
        <v>Sai Patel</v>
      </c>
      <c r="C40" s="1">
        <f>IFERROR(__xludf.DUMMYFUNCTION("""COMPUTED_VALUE"""),83.0)</f>
        <v>83</v>
      </c>
    </row>
    <row r="41" ht="15.75" customHeight="1">
      <c r="A41" s="1" t="str">
        <f>IFERROR(__xludf.DUMMYFUNCTION("""COMPUTED_VALUE"""),"STD-1475")</f>
        <v>STD-1475</v>
      </c>
      <c r="B41" s="1" t="str">
        <f>IFERROR(__xludf.DUMMYFUNCTION("""COMPUTED_VALUE"""),"Ritika Yadav")</f>
        <v>Ritika Yadav</v>
      </c>
      <c r="C41" s="1">
        <f>IFERROR(__xludf.DUMMYFUNCTION("""COMPUTED_VALUE"""),84.6)</f>
        <v>84.6</v>
      </c>
    </row>
    <row r="42" ht="15.75" customHeight="1">
      <c r="A42" s="1" t="str">
        <f>IFERROR(__xludf.DUMMYFUNCTION("""COMPUTED_VALUE"""),"STD-1481")</f>
        <v>STD-1481</v>
      </c>
      <c r="B42" s="1" t="str">
        <f>IFERROR(__xludf.DUMMYFUNCTION("""COMPUTED_VALUE"""),"Ritika Jain")</f>
        <v>Ritika Jain</v>
      </c>
      <c r="C42" s="1">
        <f>IFERROR(__xludf.DUMMYFUNCTION("""COMPUTED_VALUE"""),80.2)</f>
        <v>80.2</v>
      </c>
    </row>
    <row r="43" ht="15.75" customHeight="1">
      <c r="A43" s="1" t="str">
        <f>IFERROR(__xludf.DUMMYFUNCTION("""COMPUTED_VALUE"""),"STD-1483")</f>
        <v>STD-1483</v>
      </c>
      <c r="B43" s="1" t="str">
        <f>IFERROR(__xludf.DUMMYFUNCTION("""COMPUTED_VALUE"""),"Pooja Yadav")</f>
        <v>Pooja Yadav</v>
      </c>
      <c r="C43" s="1">
        <f>IFERROR(__xludf.DUMMYFUNCTION("""COMPUTED_VALUE"""),80.6)</f>
        <v>80.6</v>
      </c>
    </row>
    <row r="44" ht="15.75" customHeight="1">
      <c r="A44" s="1" t="str">
        <f>IFERROR(__xludf.DUMMYFUNCTION("""COMPUTED_VALUE"""),"STD-1487")</f>
        <v>STD-1487</v>
      </c>
      <c r="B44" s="1" t="str">
        <f>IFERROR(__xludf.DUMMYFUNCTION("""COMPUTED_VALUE"""),"Simran Choudhary")</f>
        <v>Simran Choudhary</v>
      </c>
      <c r="C44" s="1">
        <f>IFERROR(__xludf.DUMMYFUNCTION("""COMPUTED_VALUE"""),80.2)</f>
        <v>80.2</v>
      </c>
    </row>
    <row r="45" ht="15.75" customHeight="1">
      <c r="A45" s="1" t="str">
        <f>IFERROR(__xludf.DUMMYFUNCTION("""COMPUTED_VALUE"""),"STD-1498")</f>
        <v>STD-1498</v>
      </c>
      <c r="B45" s="1" t="str">
        <f>IFERROR(__xludf.DUMMYFUNCTION("""COMPUTED_VALUE"""),"Meera Iyer")</f>
        <v>Meera Iyer</v>
      </c>
      <c r="C45" s="1">
        <f>IFERROR(__xludf.DUMMYFUNCTION("""COMPUTED_VALUE"""),80.4)</f>
        <v>80.4</v>
      </c>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6" width="14.43"/>
  </cols>
  <sheetData>
    <row r="1">
      <c r="A1" s="2" t="str">
        <f t="array" ref="A1">'Questions Answers'!A26</f>
        <v>25. Show only Female students from Class 9.</v>
      </c>
      <c r="B1" s="2"/>
      <c r="C1" s="2"/>
    </row>
    <row r="2" ht="15.0" customHeight="1">
      <c r="A2" s="2"/>
      <c r="B2" s="2"/>
      <c r="C2" s="2"/>
    </row>
    <row r="3">
      <c r="A3" s="1" t="s">
        <v>809</v>
      </c>
      <c r="B3" s="1" t="s">
        <v>815</v>
      </c>
    </row>
    <row r="4">
      <c r="A4" s="1" t="s">
        <v>0</v>
      </c>
      <c r="B4" s="1" t="s">
        <v>1</v>
      </c>
      <c r="C4" s="1" t="s">
        <v>2</v>
      </c>
      <c r="D4" s="1" t="s">
        <v>3</v>
      </c>
      <c r="E4" s="1" t="s">
        <v>4</v>
      </c>
      <c r="F4" s="1" t="s">
        <v>5</v>
      </c>
      <c r="G4" s="1" t="s">
        <v>6</v>
      </c>
      <c r="H4" s="1" t="s">
        <v>7</v>
      </c>
      <c r="I4" s="1" t="s">
        <v>8</v>
      </c>
      <c r="J4" s="1" t="s">
        <v>9</v>
      </c>
      <c r="K4" s="1" t="s">
        <v>10</v>
      </c>
      <c r="L4" s="1" t="s">
        <v>11</v>
      </c>
      <c r="M4" s="1" t="s">
        <v>12</v>
      </c>
      <c r="N4" s="1" t="s">
        <v>13</v>
      </c>
      <c r="O4" s="1" t="s">
        <v>14</v>
      </c>
    </row>
    <row r="5">
      <c r="A5" s="1" t="str">
        <f>IFERROR(__xludf.DUMMYFUNCTION("IFERROR(FILTER(Student_Data!A2:O1000, Student_Data!C2:C1000=""Female"", Student_Data!D2:D1000&amp;""""=""9""), ""No Data Found"")"),"STD-1014")</f>
        <v>STD-1014</v>
      </c>
      <c r="B5" s="1" t="str">
        <f>IFERROR(__xludf.DUMMYFUNCTION("""COMPUTED_VALUE"""),"Ananya Yadav")</f>
        <v>Ananya Yadav</v>
      </c>
      <c r="C5" s="1" t="str">
        <f>IFERROR(__xludf.DUMMYFUNCTION("""COMPUTED_VALUE"""),"Female")</f>
        <v>Female</v>
      </c>
      <c r="D5" s="1" t="str">
        <f>IFERROR(__xludf.DUMMYFUNCTION("""COMPUTED_VALUE"""),"9")</f>
        <v>9</v>
      </c>
      <c r="E5" s="1" t="str">
        <f>IFERROR(__xludf.DUMMYFUNCTION("""COMPUTED_VALUE"""),"C")</f>
        <v>C</v>
      </c>
      <c r="F5" s="1" t="str">
        <f>IFERROR(__xludf.DUMMYFUNCTION("""COMPUTED_VALUE"""),"Chandigarh")</f>
        <v>Chandigarh</v>
      </c>
      <c r="G5" s="1">
        <f>IFERROR(__xludf.DUMMYFUNCTION("""COMPUTED_VALUE"""),78.0)</f>
        <v>78</v>
      </c>
      <c r="H5" s="1">
        <f>IFERROR(__xludf.DUMMYFUNCTION("""COMPUTED_VALUE"""),92.0)</f>
        <v>92</v>
      </c>
      <c r="I5" s="1">
        <f>IFERROR(__xludf.DUMMYFUNCTION("""COMPUTED_VALUE"""),58.0)</f>
        <v>58</v>
      </c>
      <c r="J5" s="1">
        <f>IFERROR(__xludf.DUMMYFUNCTION("""COMPUTED_VALUE"""),42.0)</f>
        <v>42</v>
      </c>
      <c r="K5" s="1">
        <f>IFERROR(__xludf.DUMMYFUNCTION("""COMPUTED_VALUE"""),69.0)</f>
        <v>69</v>
      </c>
      <c r="L5" s="1">
        <f>IFERROR(__xludf.DUMMYFUNCTION("""COMPUTED_VALUE"""),339.0)</f>
        <v>339</v>
      </c>
      <c r="M5" s="1">
        <f>IFERROR(__xludf.DUMMYFUNCTION("""COMPUTED_VALUE"""),67.8)</f>
        <v>67.8</v>
      </c>
      <c r="N5" s="1">
        <f>IFERROR(__xludf.DUMMYFUNCTION("""COMPUTED_VALUE"""),85.0)</f>
        <v>85</v>
      </c>
      <c r="O5" s="1" t="str">
        <f>IFERROR(__xludf.DUMMYFUNCTION("""COMPUTED_VALUE"""),"Pass")</f>
        <v>Pass</v>
      </c>
    </row>
    <row r="6">
      <c r="A6" s="1" t="str">
        <f>IFERROR(__xludf.DUMMYFUNCTION("""COMPUTED_VALUE"""),"STD-1018")</f>
        <v>STD-1018</v>
      </c>
      <c r="B6" s="1" t="str">
        <f>IFERROR(__xludf.DUMMYFUNCTION("""COMPUTED_VALUE"""),"Arjun Reddy")</f>
        <v>Arjun Reddy</v>
      </c>
      <c r="C6" s="1" t="str">
        <f>IFERROR(__xludf.DUMMYFUNCTION("""COMPUTED_VALUE"""),"Female")</f>
        <v>Female</v>
      </c>
      <c r="D6" s="1" t="str">
        <f>IFERROR(__xludf.DUMMYFUNCTION("""COMPUTED_VALUE"""),"9")</f>
        <v>9</v>
      </c>
      <c r="E6" s="1" t="str">
        <f>IFERROR(__xludf.DUMMYFUNCTION("""COMPUTED_VALUE"""),"B")</f>
        <v>B</v>
      </c>
      <c r="F6" s="1" t="str">
        <f>IFERROR(__xludf.DUMMYFUNCTION("""COMPUTED_VALUE"""),"Patna")</f>
        <v>Patna</v>
      </c>
      <c r="G6" s="1">
        <f>IFERROR(__xludf.DUMMYFUNCTION("""COMPUTED_VALUE"""),58.0)</f>
        <v>58</v>
      </c>
      <c r="H6" s="1">
        <f>IFERROR(__xludf.DUMMYFUNCTION("""COMPUTED_VALUE"""),94.0)</f>
        <v>94</v>
      </c>
      <c r="I6" s="1">
        <f>IFERROR(__xludf.DUMMYFUNCTION("""COMPUTED_VALUE"""),97.0)</f>
        <v>97</v>
      </c>
      <c r="J6" s="1">
        <f>IFERROR(__xludf.DUMMYFUNCTION("""COMPUTED_VALUE"""),82.0)</f>
        <v>82</v>
      </c>
      <c r="K6" s="1">
        <f>IFERROR(__xludf.DUMMYFUNCTION("""COMPUTED_VALUE"""),48.0)</f>
        <v>48</v>
      </c>
      <c r="L6" s="1">
        <f>IFERROR(__xludf.DUMMYFUNCTION("""COMPUTED_VALUE"""),379.0)</f>
        <v>379</v>
      </c>
      <c r="M6" s="1">
        <f>IFERROR(__xludf.DUMMYFUNCTION("""COMPUTED_VALUE"""),75.8)</f>
        <v>75.8</v>
      </c>
      <c r="N6" s="1">
        <f>IFERROR(__xludf.DUMMYFUNCTION("""COMPUTED_VALUE"""),90.0)</f>
        <v>90</v>
      </c>
      <c r="O6" s="1" t="str">
        <f>IFERROR(__xludf.DUMMYFUNCTION("""COMPUTED_VALUE"""),"Pass")</f>
        <v>Pass</v>
      </c>
    </row>
    <row r="7">
      <c r="A7" s="1" t="str">
        <f>IFERROR(__xludf.DUMMYFUNCTION("""COMPUTED_VALUE"""),"STD-1020")</f>
        <v>STD-1020</v>
      </c>
      <c r="B7" s="1" t="str">
        <f>IFERROR(__xludf.DUMMYFUNCTION("""COMPUTED_VALUE"""),"Arjun Singh")</f>
        <v>Arjun Singh</v>
      </c>
      <c r="C7" s="1" t="str">
        <f>IFERROR(__xludf.DUMMYFUNCTION("""COMPUTED_VALUE"""),"Female")</f>
        <v>Female</v>
      </c>
      <c r="D7" s="1" t="str">
        <f>IFERROR(__xludf.DUMMYFUNCTION("""COMPUTED_VALUE"""),"9")</f>
        <v>9</v>
      </c>
      <c r="E7" s="1" t="str">
        <f>IFERROR(__xludf.DUMMYFUNCTION("""COMPUTED_VALUE"""),"B")</f>
        <v>B</v>
      </c>
      <c r="F7" s="1" t="str">
        <f>IFERROR(__xludf.DUMMYFUNCTION("""COMPUTED_VALUE"""),"Bhopal")</f>
        <v>Bhopal</v>
      </c>
      <c r="G7" s="1">
        <f>IFERROR(__xludf.DUMMYFUNCTION("""COMPUTED_VALUE"""),56.0)</f>
        <v>56</v>
      </c>
      <c r="H7" s="1">
        <f>IFERROR(__xludf.DUMMYFUNCTION("""COMPUTED_VALUE"""),97.0)</f>
        <v>97</v>
      </c>
      <c r="I7" s="1">
        <f>IFERROR(__xludf.DUMMYFUNCTION("""COMPUTED_VALUE"""),67.0)</f>
        <v>67</v>
      </c>
      <c r="J7" s="1">
        <f>IFERROR(__xludf.DUMMYFUNCTION("""COMPUTED_VALUE"""),44.0)</f>
        <v>44</v>
      </c>
      <c r="K7" s="1">
        <f>IFERROR(__xludf.DUMMYFUNCTION("""COMPUTED_VALUE"""),100.0)</f>
        <v>100</v>
      </c>
      <c r="L7" s="1">
        <f>IFERROR(__xludf.DUMMYFUNCTION("""COMPUTED_VALUE"""),364.0)</f>
        <v>364</v>
      </c>
      <c r="M7" s="1">
        <f>IFERROR(__xludf.DUMMYFUNCTION("""COMPUTED_VALUE"""),72.8)</f>
        <v>72.8</v>
      </c>
      <c r="N7" s="1">
        <f>IFERROR(__xludf.DUMMYFUNCTION("""COMPUTED_VALUE"""),88.0)</f>
        <v>88</v>
      </c>
      <c r="O7" s="1" t="str">
        <f>IFERROR(__xludf.DUMMYFUNCTION("""COMPUTED_VALUE"""),"Pass")</f>
        <v>Pass</v>
      </c>
    </row>
    <row r="8">
      <c r="A8" s="1" t="str">
        <f>IFERROR(__xludf.DUMMYFUNCTION("""COMPUTED_VALUE"""),"STD-1021")</f>
        <v>STD-1021</v>
      </c>
      <c r="B8" s="1" t="str">
        <f>IFERROR(__xludf.DUMMYFUNCTION("""COMPUTED_VALUE"""),"Ishita Kulkarni")</f>
        <v>Ishita Kulkarni</v>
      </c>
      <c r="C8" s="1" t="str">
        <f>IFERROR(__xludf.DUMMYFUNCTION("""COMPUTED_VALUE"""),"Female")</f>
        <v>Female</v>
      </c>
      <c r="D8" s="1" t="str">
        <f>IFERROR(__xludf.DUMMYFUNCTION("""COMPUTED_VALUE"""),"9")</f>
        <v>9</v>
      </c>
      <c r="E8" s="1" t="str">
        <f>IFERROR(__xludf.DUMMYFUNCTION("""COMPUTED_VALUE"""),"C")</f>
        <v>C</v>
      </c>
      <c r="F8" s="1" t="str">
        <f>IFERROR(__xludf.DUMMYFUNCTION("""COMPUTED_VALUE"""),"Lucknow")</f>
        <v>Lucknow</v>
      </c>
      <c r="G8" s="1">
        <f>IFERROR(__xludf.DUMMYFUNCTION("""COMPUTED_VALUE"""),88.0)</f>
        <v>88</v>
      </c>
      <c r="H8" s="1">
        <f>IFERROR(__xludf.DUMMYFUNCTION("""COMPUTED_VALUE"""),65.0)</f>
        <v>65</v>
      </c>
      <c r="I8" s="1">
        <f>IFERROR(__xludf.DUMMYFUNCTION("""COMPUTED_VALUE"""),57.0)</f>
        <v>57</v>
      </c>
      <c r="J8" s="1">
        <f>IFERROR(__xludf.DUMMYFUNCTION("""COMPUTED_VALUE"""),52.0)</f>
        <v>52</v>
      </c>
      <c r="K8" s="1">
        <f>IFERROR(__xludf.DUMMYFUNCTION("""COMPUTED_VALUE"""),53.0)</f>
        <v>53</v>
      </c>
      <c r="L8" s="1">
        <f>IFERROR(__xludf.DUMMYFUNCTION("""COMPUTED_VALUE"""),315.0)</f>
        <v>315</v>
      </c>
      <c r="M8" s="1">
        <f>IFERROR(__xludf.DUMMYFUNCTION("""COMPUTED_VALUE"""),63.0)</f>
        <v>63</v>
      </c>
      <c r="N8" s="1">
        <f>IFERROR(__xludf.DUMMYFUNCTION("""COMPUTED_VALUE"""),98.0)</f>
        <v>98</v>
      </c>
      <c r="O8" s="1" t="str">
        <f>IFERROR(__xludf.DUMMYFUNCTION("""COMPUTED_VALUE"""),"Pass")</f>
        <v>Pass</v>
      </c>
    </row>
    <row r="9">
      <c r="A9" s="1" t="str">
        <f>IFERROR(__xludf.DUMMYFUNCTION("""COMPUTED_VALUE"""),"STD-1031")</f>
        <v>STD-1031</v>
      </c>
      <c r="B9" s="1" t="str">
        <f>IFERROR(__xludf.DUMMYFUNCTION("""COMPUTED_VALUE"""),"Sneha Gupta")</f>
        <v>Sneha Gupta</v>
      </c>
      <c r="C9" s="1" t="str">
        <f>IFERROR(__xludf.DUMMYFUNCTION("""COMPUTED_VALUE"""),"Female")</f>
        <v>Female</v>
      </c>
      <c r="D9" s="1" t="str">
        <f>IFERROR(__xludf.DUMMYFUNCTION("""COMPUTED_VALUE"""),"9")</f>
        <v>9</v>
      </c>
      <c r="E9" s="1" t="str">
        <f>IFERROR(__xludf.DUMMYFUNCTION("""COMPUTED_VALUE"""),"C")</f>
        <v>C</v>
      </c>
      <c r="F9" s="1" t="str">
        <f>IFERROR(__xludf.DUMMYFUNCTION("""COMPUTED_VALUE"""),"Mumbai")</f>
        <v>Mumbai</v>
      </c>
      <c r="G9" s="1">
        <f>IFERROR(__xludf.DUMMYFUNCTION("""COMPUTED_VALUE"""),61.0)</f>
        <v>61</v>
      </c>
      <c r="H9" s="1">
        <f>IFERROR(__xludf.DUMMYFUNCTION("""COMPUTED_VALUE"""),67.0)</f>
        <v>67</v>
      </c>
      <c r="I9" s="1">
        <f>IFERROR(__xludf.DUMMYFUNCTION("""COMPUTED_VALUE"""),41.0)</f>
        <v>41</v>
      </c>
      <c r="J9" s="1">
        <f>IFERROR(__xludf.DUMMYFUNCTION("""COMPUTED_VALUE"""),61.0)</f>
        <v>61</v>
      </c>
      <c r="K9" s="1">
        <f>IFERROR(__xludf.DUMMYFUNCTION("""COMPUTED_VALUE"""),92.0)</f>
        <v>92</v>
      </c>
      <c r="L9" s="1">
        <f>IFERROR(__xludf.DUMMYFUNCTION("""COMPUTED_VALUE"""),322.0)</f>
        <v>322</v>
      </c>
      <c r="M9" s="1">
        <f>IFERROR(__xludf.DUMMYFUNCTION("""COMPUTED_VALUE"""),64.4)</f>
        <v>64.4</v>
      </c>
      <c r="N9" s="1">
        <f>IFERROR(__xludf.DUMMYFUNCTION("""COMPUTED_VALUE"""),99.0)</f>
        <v>99</v>
      </c>
      <c r="O9" s="1" t="str">
        <f>IFERROR(__xludf.DUMMYFUNCTION("""COMPUTED_VALUE"""),"Pass")</f>
        <v>Pass</v>
      </c>
    </row>
    <row r="10">
      <c r="A10" s="1" t="str">
        <f>IFERROR(__xludf.DUMMYFUNCTION("""COMPUTED_VALUE"""),"STD-1055")</f>
        <v>STD-1055</v>
      </c>
      <c r="B10" s="1" t="str">
        <f>IFERROR(__xludf.DUMMYFUNCTION("""COMPUTED_VALUE"""),"Shreya Singh")</f>
        <v>Shreya Singh</v>
      </c>
      <c r="C10" s="1" t="str">
        <f>IFERROR(__xludf.DUMMYFUNCTION("""COMPUTED_VALUE"""),"Female")</f>
        <v>Female</v>
      </c>
      <c r="D10" s="1" t="str">
        <f>IFERROR(__xludf.DUMMYFUNCTION("""COMPUTED_VALUE"""),"9")</f>
        <v>9</v>
      </c>
      <c r="E10" s="1" t="str">
        <f>IFERROR(__xludf.DUMMYFUNCTION("""COMPUTED_VALUE"""),"B")</f>
        <v>B</v>
      </c>
      <c r="F10" s="1" t="str">
        <f>IFERROR(__xludf.DUMMYFUNCTION("""COMPUTED_VALUE"""),"Jaipur")</f>
        <v>Jaipur</v>
      </c>
      <c r="G10" s="1">
        <f>IFERROR(__xludf.DUMMYFUNCTION("""COMPUTED_VALUE"""),92.0)</f>
        <v>92</v>
      </c>
      <c r="H10" s="1">
        <f>IFERROR(__xludf.DUMMYFUNCTION("""COMPUTED_VALUE"""),71.0)</f>
        <v>71</v>
      </c>
      <c r="I10" s="1">
        <f>IFERROR(__xludf.DUMMYFUNCTION("""COMPUTED_VALUE"""),71.0)</f>
        <v>71</v>
      </c>
      <c r="J10" s="1">
        <f>IFERROR(__xludf.DUMMYFUNCTION("""COMPUTED_VALUE"""),81.0)</f>
        <v>81</v>
      </c>
      <c r="K10" s="1">
        <f>IFERROR(__xludf.DUMMYFUNCTION("""COMPUTED_VALUE"""),100.0)</f>
        <v>100</v>
      </c>
      <c r="L10" s="1">
        <f>IFERROR(__xludf.DUMMYFUNCTION("""COMPUTED_VALUE"""),415.0)</f>
        <v>415</v>
      </c>
      <c r="M10" s="1">
        <f>IFERROR(__xludf.DUMMYFUNCTION("""COMPUTED_VALUE"""),83.0)</f>
        <v>83</v>
      </c>
      <c r="N10" s="1">
        <f>IFERROR(__xludf.DUMMYFUNCTION("""COMPUTED_VALUE"""),60.0)</f>
        <v>60</v>
      </c>
      <c r="O10" s="1" t="str">
        <f>IFERROR(__xludf.DUMMYFUNCTION("""COMPUTED_VALUE"""),"Pass")</f>
        <v>Pass</v>
      </c>
    </row>
    <row r="11">
      <c r="A11" s="1" t="str">
        <f>IFERROR(__xludf.DUMMYFUNCTION("""COMPUTED_VALUE"""),"STD-1059")</f>
        <v>STD-1059</v>
      </c>
      <c r="B11" s="1" t="str">
        <f>IFERROR(__xludf.DUMMYFUNCTION("""COMPUTED_VALUE"""),"Ananya Iyer")</f>
        <v>Ananya Iyer</v>
      </c>
      <c r="C11" s="1" t="str">
        <f>IFERROR(__xludf.DUMMYFUNCTION("""COMPUTED_VALUE"""),"Female")</f>
        <v>Female</v>
      </c>
      <c r="D11" s="1" t="str">
        <f>IFERROR(__xludf.DUMMYFUNCTION("""COMPUTED_VALUE"""),"9")</f>
        <v>9</v>
      </c>
      <c r="E11" s="1" t="str">
        <f>IFERROR(__xludf.DUMMYFUNCTION("""COMPUTED_VALUE"""),"A")</f>
        <v>A</v>
      </c>
      <c r="F11" s="1" t="str">
        <f>IFERROR(__xludf.DUMMYFUNCTION("""COMPUTED_VALUE"""),"Patna")</f>
        <v>Patna</v>
      </c>
      <c r="G11" s="1">
        <f>IFERROR(__xludf.DUMMYFUNCTION("""COMPUTED_VALUE"""),95.0)</f>
        <v>95</v>
      </c>
      <c r="H11" s="1">
        <f>IFERROR(__xludf.DUMMYFUNCTION("""COMPUTED_VALUE"""),86.0)</f>
        <v>86</v>
      </c>
      <c r="I11" s="1">
        <f>IFERROR(__xludf.DUMMYFUNCTION("""COMPUTED_VALUE"""),87.0)</f>
        <v>87</v>
      </c>
      <c r="J11" s="1">
        <f>IFERROR(__xludf.DUMMYFUNCTION("""COMPUTED_VALUE"""),42.0)</f>
        <v>42</v>
      </c>
      <c r="K11" s="1">
        <f>IFERROR(__xludf.DUMMYFUNCTION("""COMPUTED_VALUE"""),67.0)</f>
        <v>67</v>
      </c>
      <c r="L11" s="1">
        <f>IFERROR(__xludf.DUMMYFUNCTION("""COMPUTED_VALUE"""),377.0)</f>
        <v>377</v>
      </c>
      <c r="M11" s="1">
        <f>IFERROR(__xludf.DUMMYFUNCTION("""COMPUTED_VALUE"""),75.4)</f>
        <v>75.4</v>
      </c>
      <c r="N11" s="1">
        <f>IFERROR(__xludf.DUMMYFUNCTION("""COMPUTED_VALUE"""),77.0)</f>
        <v>77</v>
      </c>
      <c r="O11" s="1" t="str">
        <f>IFERROR(__xludf.DUMMYFUNCTION("""COMPUTED_VALUE"""),"Pass")</f>
        <v>Pass</v>
      </c>
    </row>
    <row r="12">
      <c r="A12" s="1" t="str">
        <f>IFERROR(__xludf.DUMMYFUNCTION("""COMPUTED_VALUE"""),"STD-1064")</f>
        <v>STD-1064</v>
      </c>
      <c r="B12" s="1" t="str">
        <f>IFERROR(__xludf.DUMMYFUNCTION("""COMPUTED_VALUE"""),"Karan Verma")</f>
        <v>Karan Verma</v>
      </c>
      <c r="C12" s="1" t="str">
        <f>IFERROR(__xludf.DUMMYFUNCTION("""COMPUTED_VALUE"""),"Female")</f>
        <v>Female</v>
      </c>
      <c r="D12" s="1" t="str">
        <f>IFERROR(__xludf.DUMMYFUNCTION("""COMPUTED_VALUE"""),"9")</f>
        <v>9</v>
      </c>
      <c r="E12" s="1" t="str">
        <f>IFERROR(__xludf.DUMMYFUNCTION("""COMPUTED_VALUE"""),"C")</f>
        <v>C</v>
      </c>
      <c r="F12" s="1" t="str">
        <f>IFERROR(__xludf.DUMMYFUNCTION("""COMPUTED_VALUE"""),"Chandigarh")</f>
        <v>Chandigarh</v>
      </c>
      <c r="G12" s="1">
        <f>IFERROR(__xludf.DUMMYFUNCTION("""COMPUTED_VALUE"""),56.0)</f>
        <v>56</v>
      </c>
      <c r="H12" s="1">
        <f>IFERROR(__xludf.DUMMYFUNCTION("""COMPUTED_VALUE"""),82.0)</f>
        <v>82</v>
      </c>
      <c r="I12" s="1">
        <f>IFERROR(__xludf.DUMMYFUNCTION("""COMPUTED_VALUE"""),79.0)</f>
        <v>79</v>
      </c>
      <c r="J12" s="1">
        <f>IFERROR(__xludf.DUMMYFUNCTION("""COMPUTED_VALUE"""),63.0)</f>
        <v>63</v>
      </c>
      <c r="K12" s="1">
        <f>IFERROR(__xludf.DUMMYFUNCTION("""COMPUTED_VALUE"""),79.0)</f>
        <v>79</v>
      </c>
      <c r="L12" s="1">
        <f>IFERROR(__xludf.DUMMYFUNCTION("""COMPUTED_VALUE"""),359.0)</f>
        <v>359</v>
      </c>
      <c r="M12" s="1">
        <f>IFERROR(__xludf.DUMMYFUNCTION("""COMPUTED_VALUE"""),71.8)</f>
        <v>71.8</v>
      </c>
      <c r="N12" s="1">
        <f>IFERROR(__xludf.DUMMYFUNCTION("""COMPUTED_VALUE"""),92.0)</f>
        <v>92</v>
      </c>
      <c r="O12" s="1" t="str">
        <f>IFERROR(__xludf.DUMMYFUNCTION("""COMPUTED_VALUE"""),"Pass")</f>
        <v>Pass</v>
      </c>
    </row>
    <row r="13">
      <c r="A13" s="1" t="str">
        <f>IFERROR(__xludf.DUMMYFUNCTION("""COMPUTED_VALUE"""),"STD-1071")</f>
        <v>STD-1071</v>
      </c>
      <c r="B13" s="1" t="str">
        <f>IFERROR(__xludf.DUMMYFUNCTION("""COMPUTED_VALUE"""),"Vivaan Gupta")</f>
        <v>Vivaan Gupta</v>
      </c>
      <c r="C13" s="1" t="str">
        <f>IFERROR(__xludf.DUMMYFUNCTION("""COMPUTED_VALUE"""),"Female")</f>
        <v>Female</v>
      </c>
      <c r="D13" s="1" t="str">
        <f>IFERROR(__xludf.DUMMYFUNCTION("""COMPUTED_VALUE"""),"9")</f>
        <v>9</v>
      </c>
      <c r="E13" s="1" t="str">
        <f>IFERROR(__xludf.DUMMYFUNCTION("""COMPUTED_VALUE"""),"B")</f>
        <v>B</v>
      </c>
      <c r="F13" s="1" t="str">
        <f>IFERROR(__xludf.DUMMYFUNCTION("""COMPUTED_VALUE"""),"Delhi")</f>
        <v>Delhi</v>
      </c>
      <c r="G13" s="1">
        <f>IFERROR(__xludf.DUMMYFUNCTION("""COMPUTED_VALUE"""),47.0)</f>
        <v>47</v>
      </c>
      <c r="H13" s="1">
        <f>IFERROR(__xludf.DUMMYFUNCTION("""COMPUTED_VALUE"""),83.0)</f>
        <v>83</v>
      </c>
      <c r="I13" s="1">
        <f>IFERROR(__xludf.DUMMYFUNCTION("""COMPUTED_VALUE"""),68.0)</f>
        <v>68</v>
      </c>
      <c r="J13" s="1">
        <f>IFERROR(__xludf.DUMMYFUNCTION("""COMPUTED_VALUE"""),67.0)</f>
        <v>67</v>
      </c>
      <c r="K13" s="1">
        <f>IFERROR(__xludf.DUMMYFUNCTION("""COMPUTED_VALUE"""),61.0)</f>
        <v>61</v>
      </c>
      <c r="L13" s="1">
        <f>IFERROR(__xludf.DUMMYFUNCTION("""COMPUTED_VALUE"""),326.0)</f>
        <v>326</v>
      </c>
      <c r="M13" s="1">
        <f>IFERROR(__xludf.DUMMYFUNCTION("""COMPUTED_VALUE"""),65.2)</f>
        <v>65.2</v>
      </c>
      <c r="N13" s="1">
        <f>IFERROR(__xludf.DUMMYFUNCTION("""COMPUTED_VALUE"""),93.0)</f>
        <v>93</v>
      </c>
      <c r="O13" s="1" t="str">
        <f>IFERROR(__xludf.DUMMYFUNCTION("""COMPUTED_VALUE"""),"Pass")</f>
        <v>Pass</v>
      </c>
    </row>
    <row r="14">
      <c r="A14" s="1" t="str">
        <f>IFERROR(__xludf.DUMMYFUNCTION("""COMPUTED_VALUE"""),"STD-1074")</f>
        <v>STD-1074</v>
      </c>
      <c r="B14" s="1" t="str">
        <f>IFERROR(__xludf.DUMMYFUNCTION("""COMPUTED_VALUE"""),"Pooja Verma")</f>
        <v>Pooja Verma</v>
      </c>
      <c r="C14" s="1" t="str">
        <f>IFERROR(__xludf.DUMMYFUNCTION("""COMPUTED_VALUE"""),"Female")</f>
        <v>Female</v>
      </c>
      <c r="D14" s="1" t="str">
        <f>IFERROR(__xludf.DUMMYFUNCTION("""COMPUTED_VALUE"""),"9")</f>
        <v>9</v>
      </c>
      <c r="E14" s="1" t="str">
        <f>IFERROR(__xludf.DUMMYFUNCTION("""COMPUTED_VALUE"""),"A")</f>
        <v>A</v>
      </c>
      <c r="F14" s="1" t="str">
        <f>IFERROR(__xludf.DUMMYFUNCTION("""COMPUTED_VALUE"""),"Bhopal")</f>
        <v>Bhopal</v>
      </c>
      <c r="G14" s="1">
        <f>IFERROR(__xludf.DUMMYFUNCTION("""COMPUTED_VALUE"""),88.0)</f>
        <v>88</v>
      </c>
      <c r="H14" s="1">
        <f>IFERROR(__xludf.DUMMYFUNCTION("""COMPUTED_VALUE"""),88.0)</f>
        <v>88</v>
      </c>
      <c r="I14" s="1">
        <f>IFERROR(__xludf.DUMMYFUNCTION("""COMPUTED_VALUE"""),40.0)</f>
        <v>40</v>
      </c>
      <c r="J14" s="1">
        <f>IFERROR(__xludf.DUMMYFUNCTION("""COMPUTED_VALUE"""),100.0)</f>
        <v>100</v>
      </c>
      <c r="K14" s="1">
        <f>IFERROR(__xludf.DUMMYFUNCTION("""COMPUTED_VALUE"""),78.0)</f>
        <v>78</v>
      </c>
      <c r="L14" s="1">
        <f>IFERROR(__xludf.DUMMYFUNCTION("""COMPUTED_VALUE"""),394.0)</f>
        <v>394</v>
      </c>
      <c r="M14" s="1">
        <f>IFERROR(__xludf.DUMMYFUNCTION("""COMPUTED_VALUE"""),78.8)</f>
        <v>78.8</v>
      </c>
      <c r="N14" s="1">
        <f>IFERROR(__xludf.DUMMYFUNCTION("""COMPUTED_VALUE"""),64.0)</f>
        <v>64</v>
      </c>
      <c r="O14" s="1" t="str">
        <f>IFERROR(__xludf.DUMMYFUNCTION("""COMPUTED_VALUE"""),"Pass")</f>
        <v>Pass</v>
      </c>
    </row>
    <row r="15">
      <c r="A15" s="1" t="str">
        <f>IFERROR(__xludf.DUMMYFUNCTION("""COMPUTED_VALUE"""),"STD-1108")</f>
        <v>STD-1108</v>
      </c>
      <c r="B15" s="1" t="str">
        <f>IFERROR(__xludf.DUMMYFUNCTION("""COMPUTED_VALUE"""),"Pooja Nair")</f>
        <v>Pooja Nair</v>
      </c>
      <c r="C15" s="1" t="str">
        <f>IFERROR(__xludf.DUMMYFUNCTION("""COMPUTED_VALUE"""),"Female")</f>
        <v>Female</v>
      </c>
      <c r="D15" s="1" t="str">
        <f>IFERROR(__xludf.DUMMYFUNCTION("""COMPUTED_VALUE"""),"9")</f>
        <v>9</v>
      </c>
      <c r="E15" s="1" t="str">
        <f>IFERROR(__xludf.DUMMYFUNCTION("""COMPUTED_VALUE"""),"B")</f>
        <v>B</v>
      </c>
      <c r="F15" s="1" t="str">
        <f>IFERROR(__xludf.DUMMYFUNCTION("""COMPUTED_VALUE"""),"Kolkata")</f>
        <v>Kolkata</v>
      </c>
      <c r="G15" s="1">
        <f>IFERROR(__xludf.DUMMYFUNCTION("""COMPUTED_VALUE"""),46.0)</f>
        <v>46</v>
      </c>
      <c r="H15" s="1">
        <f>IFERROR(__xludf.DUMMYFUNCTION("""COMPUTED_VALUE"""),59.0)</f>
        <v>59</v>
      </c>
      <c r="I15" s="1">
        <f>IFERROR(__xludf.DUMMYFUNCTION("""COMPUTED_VALUE"""),40.0)</f>
        <v>40</v>
      </c>
      <c r="J15" s="1">
        <f>IFERROR(__xludf.DUMMYFUNCTION("""COMPUTED_VALUE"""),100.0)</f>
        <v>100</v>
      </c>
      <c r="K15" s="1">
        <f>IFERROR(__xludf.DUMMYFUNCTION("""COMPUTED_VALUE"""),82.0)</f>
        <v>82</v>
      </c>
      <c r="L15" s="1">
        <f>IFERROR(__xludf.DUMMYFUNCTION("""COMPUTED_VALUE"""),327.0)</f>
        <v>327</v>
      </c>
      <c r="M15" s="1">
        <f>IFERROR(__xludf.DUMMYFUNCTION("""COMPUTED_VALUE"""),65.4)</f>
        <v>65.4</v>
      </c>
      <c r="N15" s="1">
        <f>IFERROR(__xludf.DUMMYFUNCTION("""COMPUTED_VALUE"""),76.0)</f>
        <v>76</v>
      </c>
      <c r="O15" s="1" t="str">
        <f>IFERROR(__xludf.DUMMYFUNCTION("""COMPUTED_VALUE"""),"Pass")</f>
        <v>Pass</v>
      </c>
    </row>
    <row r="16">
      <c r="A16" s="1" t="str">
        <f>IFERROR(__xludf.DUMMYFUNCTION("""COMPUTED_VALUE"""),"STD-1130")</f>
        <v>STD-1130</v>
      </c>
      <c r="B16" s="1" t="str">
        <f>IFERROR(__xludf.DUMMYFUNCTION("""COMPUTED_VALUE"""),"Rahul Choudhary")</f>
        <v>Rahul Choudhary</v>
      </c>
      <c r="C16" s="1" t="str">
        <f>IFERROR(__xludf.DUMMYFUNCTION("""COMPUTED_VALUE"""),"Female")</f>
        <v>Female</v>
      </c>
      <c r="D16" s="1" t="str">
        <f>IFERROR(__xludf.DUMMYFUNCTION("""COMPUTED_VALUE"""),"9")</f>
        <v>9</v>
      </c>
      <c r="E16" s="1" t="str">
        <f>IFERROR(__xludf.DUMMYFUNCTION("""COMPUTED_VALUE"""),"B")</f>
        <v>B</v>
      </c>
      <c r="F16" s="1" t="str">
        <f>IFERROR(__xludf.DUMMYFUNCTION("""COMPUTED_VALUE"""),"Bhopal")</f>
        <v>Bhopal</v>
      </c>
      <c r="G16" s="1">
        <f>IFERROR(__xludf.DUMMYFUNCTION("""COMPUTED_VALUE"""),65.0)</f>
        <v>65</v>
      </c>
      <c r="H16" s="1">
        <f>IFERROR(__xludf.DUMMYFUNCTION("""COMPUTED_VALUE"""),83.0)</f>
        <v>83</v>
      </c>
      <c r="I16" s="1">
        <f>IFERROR(__xludf.DUMMYFUNCTION("""COMPUTED_VALUE"""),97.0)</f>
        <v>97</v>
      </c>
      <c r="J16" s="1">
        <f>IFERROR(__xludf.DUMMYFUNCTION("""COMPUTED_VALUE"""),81.0)</f>
        <v>81</v>
      </c>
      <c r="K16" s="1">
        <f>IFERROR(__xludf.DUMMYFUNCTION("""COMPUTED_VALUE"""),97.0)</f>
        <v>97</v>
      </c>
      <c r="L16" s="1">
        <f>IFERROR(__xludf.DUMMYFUNCTION("""COMPUTED_VALUE"""),423.0)</f>
        <v>423</v>
      </c>
      <c r="M16" s="1">
        <f>IFERROR(__xludf.DUMMYFUNCTION("""COMPUTED_VALUE"""),84.6)</f>
        <v>84.6</v>
      </c>
      <c r="N16" s="1">
        <f>IFERROR(__xludf.DUMMYFUNCTION("""COMPUTED_VALUE"""),70.0)</f>
        <v>70</v>
      </c>
      <c r="O16" s="1" t="str">
        <f>IFERROR(__xludf.DUMMYFUNCTION("""COMPUTED_VALUE"""),"Pass")</f>
        <v>Pass</v>
      </c>
    </row>
    <row r="17">
      <c r="A17" s="1" t="str">
        <f>IFERROR(__xludf.DUMMYFUNCTION("""COMPUTED_VALUE"""),"STD-1131")</f>
        <v>STD-1131</v>
      </c>
      <c r="B17" s="1" t="str">
        <f>IFERROR(__xludf.DUMMYFUNCTION("""COMPUTED_VALUE"""),"Sai Sharma")</f>
        <v>Sai Sharma</v>
      </c>
      <c r="C17" s="1" t="str">
        <f>IFERROR(__xludf.DUMMYFUNCTION("""COMPUTED_VALUE"""),"Female")</f>
        <v>Female</v>
      </c>
      <c r="D17" s="1" t="str">
        <f>IFERROR(__xludf.DUMMYFUNCTION("""COMPUTED_VALUE"""),"9")</f>
        <v>9</v>
      </c>
      <c r="E17" s="1" t="str">
        <f>IFERROR(__xludf.DUMMYFUNCTION("""COMPUTED_VALUE"""),"C")</f>
        <v>C</v>
      </c>
      <c r="F17" s="1" t="str">
        <f>IFERROR(__xludf.DUMMYFUNCTION("""COMPUTED_VALUE"""),"Lucknow")</f>
        <v>Lucknow</v>
      </c>
      <c r="G17" s="1">
        <f>IFERROR(__xludf.DUMMYFUNCTION("""COMPUTED_VALUE"""),46.0)</f>
        <v>46</v>
      </c>
      <c r="H17" s="1">
        <f>IFERROR(__xludf.DUMMYFUNCTION("""COMPUTED_VALUE"""),78.0)</f>
        <v>78</v>
      </c>
      <c r="I17" s="1">
        <f>IFERROR(__xludf.DUMMYFUNCTION("""COMPUTED_VALUE"""),75.0)</f>
        <v>75</v>
      </c>
      <c r="J17" s="1">
        <f>IFERROR(__xludf.DUMMYFUNCTION("""COMPUTED_VALUE"""),46.0)</f>
        <v>46</v>
      </c>
      <c r="K17" s="1">
        <f>IFERROR(__xludf.DUMMYFUNCTION("""COMPUTED_VALUE"""),45.0)</f>
        <v>45</v>
      </c>
      <c r="L17" s="1">
        <f>IFERROR(__xludf.DUMMYFUNCTION("""COMPUTED_VALUE"""),290.0)</f>
        <v>290</v>
      </c>
      <c r="M17" s="1">
        <f>IFERROR(__xludf.DUMMYFUNCTION("""COMPUTED_VALUE"""),58.0)</f>
        <v>58</v>
      </c>
      <c r="N17" s="1">
        <f>IFERROR(__xludf.DUMMYFUNCTION("""COMPUTED_VALUE"""),75.0)</f>
        <v>75</v>
      </c>
      <c r="O17" s="1" t="str">
        <f>IFERROR(__xludf.DUMMYFUNCTION("""COMPUTED_VALUE"""),"Pass")</f>
        <v>Pass</v>
      </c>
    </row>
    <row r="18">
      <c r="A18" s="1" t="str">
        <f>IFERROR(__xludf.DUMMYFUNCTION("""COMPUTED_VALUE"""),"STD-1134")</f>
        <v>STD-1134</v>
      </c>
      <c r="B18" s="1" t="str">
        <f>IFERROR(__xludf.DUMMYFUNCTION("""COMPUTED_VALUE"""),"Aarav Gupta")</f>
        <v>Aarav Gupta</v>
      </c>
      <c r="C18" s="1" t="str">
        <f>IFERROR(__xludf.DUMMYFUNCTION("""COMPUTED_VALUE"""),"Female")</f>
        <v>Female</v>
      </c>
      <c r="D18" s="1" t="str">
        <f>IFERROR(__xludf.DUMMYFUNCTION("""COMPUTED_VALUE"""),"9")</f>
        <v>9</v>
      </c>
      <c r="E18" s="1" t="str">
        <f>IFERROR(__xludf.DUMMYFUNCTION("""COMPUTED_VALUE"""),"C")</f>
        <v>C</v>
      </c>
      <c r="F18" s="1" t="str">
        <f>IFERROR(__xludf.DUMMYFUNCTION("""COMPUTED_VALUE"""),"Lucknow")</f>
        <v>Lucknow</v>
      </c>
      <c r="G18" s="1">
        <f>IFERROR(__xludf.DUMMYFUNCTION("""COMPUTED_VALUE"""),85.0)</f>
        <v>85</v>
      </c>
      <c r="H18" s="1">
        <f>IFERROR(__xludf.DUMMYFUNCTION("""COMPUTED_VALUE"""),83.0)</f>
        <v>83</v>
      </c>
      <c r="I18" s="1">
        <f>IFERROR(__xludf.DUMMYFUNCTION("""COMPUTED_VALUE"""),91.0)</f>
        <v>91</v>
      </c>
      <c r="J18" s="1">
        <f>IFERROR(__xludf.DUMMYFUNCTION("""COMPUTED_VALUE"""),64.0)</f>
        <v>64</v>
      </c>
      <c r="K18" s="1">
        <f>IFERROR(__xludf.DUMMYFUNCTION("""COMPUTED_VALUE"""),47.0)</f>
        <v>47</v>
      </c>
      <c r="L18" s="1">
        <f>IFERROR(__xludf.DUMMYFUNCTION("""COMPUTED_VALUE"""),370.0)</f>
        <v>370</v>
      </c>
      <c r="M18" s="1">
        <f>IFERROR(__xludf.DUMMYFUNCTION("""COMPUTED_VALUE"""),74.0)</f>
        <v>74</v>
      </c>
      <c r="N18" s="1">
        <f>IFERROR(__xludf.DUMMYFUNCTION("""COMPUTED_VALUE"""),75.0)</f>
        <v>75</v>
      </c>
      <c r="O18" s="1" t="str">
        <f>IFERROR(__xludf.DUMMYFUNCTION("""COMPUTED_VALUE"""),"Pass")</f>
        <v>Pass</v>
      </c>
    </row>
    <row r="19">
      <c r="A19" s="1" t="str">
        <f>IFERROR(__xludf.DUMMYFUNCTION("""COMPUTED_VALUE"""),"STD-1139")</f>
        <v>STD-1139</v>
      </c>
      <c r="B19" s="1" t="str">
        <f>IFERROR(__xludf.DUMMYFUNCTION("""COMPUTED_VALUE"""),"Sai Jain")</f>
        <v>Sai Jain</v>
      </c>
      <c r="C19" s="1" t="str">
        <f>IFERROR(__xludf.DUMMYFUNCTION("""COMPUTED_VALUE"""),"Female")</f>
        <v>Female</v>
      </c>
      <c r="D19" s="1" t="str">
        <f>IFERROR(__xludf.DUMMYFUNCTION("""COMPUTED_VALUE"""),"9")</f>
        <v>9</v>
      </c>
      <c r="E19" s="1" t="str">
        <f>IFERROR(__xludf.DUMMYFUNCTION("""COMPUTED_VALUE"""),"A")</f>
        <v>A</v>
      </c>
      <c r="F19" s="1" t="str">
        <f>IFERROR(__xludf.DUMMYFUNCTION("""COMPUTED_VALUE"""),"Bhopal")</f>
        <v>Bhopal</v>
      </c>
      <c r="G19" s="1">
        <f>IFERROR(__xludf.DUMMYFUNCTION("""COMPUTED_VALUE"""),93.0)</f>
        <v>93</v>
      </c>
      <c r="H19" s="1">
        <f>IFERROR(__xludf.DUMMYFUNCTION("""COMPUTED_VALUE"""),79.0)</f>
        <v>79</v>
      </c>
      <c r="I19" s="1">
        <f>IFERROR(__xludf.DUMMYFUNCTION("""COMPUTED_VALUE"""),59.0)</f>
        <v>59</v>
      </c>
      <c r="J19" s="1">
        <f>IFERROR(__xludf.DUMMYFUNCTION("""COMPUTED_VALUE"""),56.0)</f>
        <v>56</v>
      </c>
      <c r="K19" s="1">
        <f>IFERROR(__xludf.DUMMYFUNCTION("""COMPUTED_VALUE"""),73.0)</f>
        <v>73</v>
      </c>
      <c r="L19" s="1">
        <f>IFERROR(__xludf.DUMMYFUNCTION("""COMPUTED_VALUE"""),360.0)</f>
        <v>360</v>
      </c>
      <c r="M19" s="1">
        <f>IFERROR(__xludf.DUMMYFUNCTION("""COMPUTED_VALUE"""),72.0)</f>
        <v>72</v>
      </c>
      <c r="N19" s="1">
        <f>IFERROR(__xludf.DUMMYFUNCTION("""COMPUTED_VALUE"""),63.0)</f>
        <v>63</v>
      </c>
      <c r="O19" s="1" t="str">
        <f>IFERROR(__xludf.DUMMYFUNCTION("""COMPUTED_VALUE"""),"Pass")</f>
        <v>Pass</v>
      </c>
    </row>
    <row r="20">
      <c r="A20" s="1" t="str">
        <f>IFERROR(__xludf.DUMMYFUNCTION("""COMPUTED_VALUE"""),"STD-1140")</f>
        <v>STD-1140</v>
      </c>
      <c r="B20" s="1" t="str">
        <f>IFERROR(__xludf.DUMMYFUNCTION("""COMPUTED_VALUE"""),"Neha Kulkarni")</f>
        <v>Neha Kulkarni</v>
      </c>
      <c r="C20" s="1" t="str">
        <f>IFERROR(__xludf.DUMMYFUNCTION("""COMPUTED_VALUE"""),"Female")</f>
        <v>Female</v>
      </c>
      <c r="D20" s="1" t="str">
        <f>IFERROR(__xludf.DUMMYFUNCTION("""COMPUTED_VALUE"""),"9")</f>
        <v>9</v>
      </c>
      <c r="E20" s="1" t="str">
        <f>IFERROR(__xludf.DUMMYFUNCTION("""COMPUTED_VALUE"""),"B")</f>
        <v>B</v>
      </c>
      <c r="F20" s="1" t="str">
        <f>IFERROR(__xludf.DUMMYFUNCTION("""COMPUTED_VALUE"""),"Chandigarh")</f>
        <v>Chandigarh</v>
      </c>
      <c r="G20" s="1">
        <f>IFERROR(__xludf.DUMMYFUNCTION("""COMPUTED_VALUE"""),45.0)</f>
        <v>45</v>
      </c>
      <c r="H20" s="1">
        <f>IFERROR(__xludf.DUMMYFUNCTION("""COMPUTED_VALUE"""),51.0)</f>
        <v>51</v>
      </c>
      <c r="I20" s="1">
        <f>IFERROR(__xludf.DUMMYFUNCTION("""COMPUTED_VALUE"""),40.0)</f>
        <v>40</v>
      </c>
      <c r="J20" s="1">
        <f>IFERROR(__xludf.DUMMYFUNCTION("""COMPUTED_VALUE"""),79.0)</f>
        <v>79</v>
      </c>
      <c r="K20" s="1">
        <f>IFERROR(__xludf.DUMMYFUNCTION("""COMPUTED_VALUE"""),67.0)</f>
        <v>67</v>
      </c>
      <c r="L20" s="1">
        <f>IFERROR(__xludf.DUMMYFUNCTION("""COMPUTED_VALUE"""),282.0)</f>
        <v>282</v>
      </c>
      <c r="M20" s="1">
        <f>IFERROR(__xludf.DUMMYFUNCTION("""COMPUTED_VALUE"""),56.4)</f>
        <v>56.4</v>
      </c>
      <c r="N20" s="1">
        <f>IFERROR(__xludf.DUMMYFUNCTION("""COMPUTED_VALUE"""),87.0)</f>
        <v>87</v>
      </c>
      <c r="O20" s="1" t="str">
        <f>IFERROR(__xludf.DUMMYFUNCTION("""COMPUTED_VALUE"""),"Pass")</f>
        <v>Pass</v>
      </c>
    </row>
    <row r="21" ht="15.75" customHeight="1">
      <c r="A21" s="1" t="str">
        <f>IFERROR(__xludf.DUMMYFUNCTION("""COMPUTED_VALUE"""),"STD-1150")</f>
        <v>STD-1150</v>
      </c>
      <c r="B21" s="1" t="str">
        <f>IFERROR(__xludf.DUMMYFUNCTION("""COMPUTED_VALUE"""),"Meera Kulkarni")</f>
        <v>Meera Kulkarni</v>
      </c>
      <c r="C21" s="1" t="str">
        <f>IFERROR(__xludf.DUMMYFUNCTION("""COMPUTED_VALUE"""),"Female")</f>
        <v>Female</v>
      </c>
      <c r="D21" s="1" t="str">
        <f>IFERROR(__xludf.DUMMYFUNCTION("""COMPUTED_VALUE"""),"9")</f>
        <v>9</v>
      </c>
      <c r="E21" s="1" t="str">
        <f>IFERROR(__xludf.DUMMYFUNCTION("""COMPUTED_VALUE"""),"A")</f>
        <v>A</v>
      </c>
      <c r="F21" s="1" t="str">
        <f>IFERROR(__xludf.DUMMYFUNCTION("""COMPUTED_VALUE"""),"Delhi")</f>
        <v>Delhi</v>
      </c>
      <c r="G21" s="1">
        <f>IFERROR(__xludf.DUMMYFUNCTION("""COMPUTED_VALUE"""),77.0)</f>
        <v>77</v>
      </c>
      <c r="H21" s="1">
        <f>IFERROR(__xludf.DUMMYFUNCTION("""COMPUTED_VALUE"""),83.0)</f>
        <v>83</v>
      </c>
      <c r="I21" s="1">
        <f>IFERROR(__xludf.DUMMYFUNCTION("""COMPUTED_VALUE"""),52.0)</f>
        <v>52</v>
      </c>
      <c r="J21" s="1">
        <f>IFERROR(__xludf.DUMMYFUNCTION("""COMPUTED_VALUE"""),98.0)</f>
        <v>98</v>
      </c>
      <c r="K21" s="1">
        <f>IFERROR(__xludf.DUMMYFUNCTION("""COMPUTED_VALUE"""),40.0)</f>
        <v>40</v>
      </c>
      <c r="L21" s="1">
        <f>IFERROR(__xludf.DUMMYFUNCTION("""COMPUTED_VALUE"""),350.0)</f>
        <v>350</v>
      </c>
      <c r="M21" s="1">
        <f>IFERROR(__xludf.DUMMYFUNCTION("""COMPUTED_VALUE"""),70.0)</f>
        <v>70</v>
      </c>
      <c r="N21" s="1">
        <f>IFERROR(__xludf.DUMMYFUNCTION("""COMPUTED_VALUE"""),73.0)</f>
        <v>73</v>
      </c>
      <c r="O21" s="1" t="str">
        <f>IFERROR(__xludf.DUMMYFUNCTION("""COMPUTED_VALUE"""),"Pass")</f>
        <v>Pass</v>
      </c>
    </row>
    <row r="22" ht="15.75" customHeight="1">
      <c r="A22" s="1" t="str">
        <f>IFERROR(__xludf.DUMMYFUNCTION("""COMPUTED_VALUE"""),"STD-1181")</f>
        <v>STD-1181</v>
      </c>
      <c r="B22" s="1" t="str">
        <f>IFERROR(__xludf.DUMMYFUNCTION("""COMPUTED_VALUE"""),"Rahul Verma")</f>
        <v>Rahul Verma</v>
      </c>
      <c r="C22" s="1" t="str">
        <f>IFERROR(__xludf.DUMMYFUNCTION("""COMPUTED_VALUE"""),"Female")</f>
        <v>Female</v>
      </c>
      <c r="D22" s="1" t="str">
        <f>IFERROR(__xludf.DUMMYFUNCTION("""COMPUTED_VALUE"""),"9")</f>
        <v>9</v>
      </c>
      <c r="E22" s="1" t="str">
        <f>IFERROR(__xludf.DUMMYFUNCTION("""COMPUTED_VALUE"""),"B")</f>
        <v>B</v>
      </c>
      <c r="F22" s="1" t="str">
        <f>IFERROR(__xludf.DUMMYFUNCTION("""COMPUTED_VALUE"""),"Mumbai")</f>
        <v>Mumbai</v>
      </c>
      <c r="G22" s="1">
        <f>IFERROR(__xludf.DUMMYFUNCTION("""COMPUTED_VALUE"""),93.0)</f>
        <v>93</v>
      </c>
      <c r="H22" s="1">
        <f>IFERROR(__xludf.DUMMYFUNCTION("""COMPUTED_VALUE"""),89.0)</f>
        <v>89</v>
      </c>
      <c r="I22" s="1">
        <f>IFERROR(__xludf.DUMMYFUNCTION("""COMPUTED_VALUE"""),86.0)</f>
        <v>86</v>
      </c>
      <c r="J22" s="1">
        <f>IFERROR(__xludf.DUMMYFUNCTION("""COMPUTED_VALUE"""),46.0)</f>
        <v>46</v>
      </c>
      <c r="K22" s="1">
        <f>IFERROR(__xludf.DUMMYFUNCTION("""COMPUTED_VALUE"""),65.0)</f>
        <v>65</v>
      </c>
      <c r="L22" s="1">
        <f>IFERROR(__xludf.DUMMYFUNCTION("""COMPUTED_VALUE"""),379.0)</f>
        <v>379</v>
      </c>
      <c r="M22" s="1">
        <f>IFERROR(__xludf.DUMMYFUNCTION("""COMPUTED_VALUE"""),75.8)</f>
        <v>75.8</v>
      </c>
      <c r="N22" s="1">
        <f>IFERROR(__xludf.DUMMYFUNCTION("""COMPUTED_VALUE"""),82.0)</f>
        <v>82</v>
      </c>
      <c r="O22" s="1" t="str">
        <f>IFERROR(__xludf.DUMMYFUNCTION("""COMPUTED_VALUE"""),"Pass")</f>
        <v>Pass</v>
      </c>
    </row>
    <row r="23" ht="15.75" customHeight="1">
      <c r="A23" s="1" t="str">
        <f>IFERROR(__xludf.DUMMYFUNCTION("""COMPUTED_VALUE"""),"STD-1203")</f>
        <v>STD-1203</v>
      </c>
      <c r="B23" s="1" t="str">
        <f>IFERROR(__xludf.DUMMYFUNCTION("""COMPUTED_VALUE"""),"Rahul Verma")</f>
        <v>Rahul Verma</v>
      </c>
      <c r="C23" s="1" t="str">
        <f>IFERROR(__xludf.DUMMYFUNCTION("""COMPUTED_VALUE"""),"Female")</f>
        <v>Female</v>
      </c>
      <c r="D23" s="1" t="str">
        <f>IFERROR(__xludf.DUMMYFUNCTION("""COMPUTED_VALUE"""),"9")</f>
        <v>9</v>
      </c>
      <c r="E23" s="1" t="str">
        <f>IFERROR(__xludf.DUMMYFUNCTION("""COMPUTED_VALUE"""),"B")</f>
        <v>B</v>
      </c>
      <c r="F23" s="1" t="str">
        <f>IFERROR(__xludf.DUMMYFUNCTION("""COMPUTED_VALUE"""),"Chandigarh")</f>
        <v>Chandigarh</v>
      </c>
      <c r="G23" s="1">
        <f>IFERROR(__xludf.DUMMYFUNCTION("""COMPUTED_VALUE"""),54.0)</f>
        <v>54</v>
      </c>
      <c r="H23" s="1">
        <f>IFERROR(__xludf.DUMMYFUNCTION("""COMPUTED_VALUE"""),51.0)</f>
        <v>51</v>
      </c>
      <c r="I23" s="1">
        <f>IFERROR(__xludf.DUMMYFUNCTION("""COMPUTED_VALUE"""),67.0)</f>
        <v>67</v>
      </c>
      <c r="J23" s="1">
        <f>IFERROR(__xludf.DUMMYFUNCTION("""COMPUTED_VALUE"""),62.0)</f>
        <v>62</v>
      </c>
      <c r="K23" s="1">
        <f>IFERROR(__xludf.DUMMYFUNCTION("""COMPUTED_VALUE"""),83.0)</f>
        <v>83</v>
      </c>
      <c r="L23" s="1">
        <f>IFERROR(__xludf.DUMMYFUNCTION("""COMPUTED_VALUE"""),317.0)</f>
        <v>317</v>
      </c>
      <c r="M23" s="1">
        <f>IFERROR(__xludf.DUMMYFUNCTION("""COMPUTED_VALUE"""),63.4)</f>
        <v>63.4</v>
      </c>
      <c r="N23" s="1">
        <f>IFERROR(__xludf.DUMMYFUNCTION("""COMPUTED_VALUE"""),98.0)</f>
        <v>98</v>
      </c>
      <c r="O23" s="1" t="str">
        <f>IFERROR(__xludf.DUMMYFUNCTION("""COMPUTED_VALUE"""),"Pass")</f>
        <v>Pass</v>
      </c>
    </row>
    <row r="24" ht="15.75" customHeight="1">
      <c r="A24" s="1" t="str">
        <f>IFERROR(__xludf.DUMMYFUNCTION("""COMPUTED_VALUE"""),"STD-1206")</f>
        <v>STD-1206</v>
      </c>
      <c r="B24" s="1" t="str">
        <f>IFERROR(__xludf.DUMMYFUNCTION("""COMPUTED_VALUE"""),"Rahul Jain")</f>
        <v>Rahul Jain</v>
      </c>
      <c r="C24" s="1" t="str">
        <f>IFERROR(__xludf.DUMMYFUNCTION("""COMPUTED_VALUE"""),"Female")</f>
        <v>Female</v>
      </c>
      <c r="D24" s="1" t="str">
        <f>IFERROR(__xludf.DUMMYFUNCTION("""COMPUTED_VALUE"""),"9")</f>
        <v>9</v>
      </c>
      <c r="E24" s="1" t="str">
        <f>IFERROR(__xludf.DUMMYFUNCTION("""COMPUTED_VALUE"""),"B")</f>
        <v>B</v>
      </c>
      <c r="F24" s="1" t="str">
        <f>IFERROR(__xludf.DUMMYFUNCTION("""COMPUTED_VALUE"""),"Bhopal")</f>
        <v>Bhopal</v>
      </c>
      <c r="G24" s="1">
        <f>IFERROR(__xludf.DUMMYFUNCTION("""COMPUTED_VALUE"""),82.0)</f>
        <v>82</v>
      </c>
      <c r="H24" s="1">
        <f>IFERROR(__xludf.DUMMYFUNCTION("""COMPUTED_VALUE"""),92.0)</f>
        <v>92</v>
      </c>
      <c r="I24" s="1">
        <f>IFERROR(__xludf.DUMMYFUNCTION("""COMPUTED_VALUE"""),57.0)</f>
        <v>57</v>
      </c>
      <c r="J24" s="1">
        <f>IFERROR(__xludf.DUMMYFUNCTION("""COMPUTED_VALUE"""),74.0)</f>
        <v>74</v>
      </c>
      <c r="K24" s="1">
        <f>IFERROR(__xludf.DUMMYFUNCTION("""COMPUTED_VALUE"""),73.0)</f>
        <v>73</v>
      </c>
      <c r="L24" s="1">
        <f>IFERROR(__xludf.DUMMYFUNCTION("""COMPUTED_VALUE"""),378.0)</f>
        <v>378</v>
      </c>
      <c r="M24" s="1">
        <f>IFERROR(__xludf.DUMMYFUNCTION("""COMPUTED_VALUE"""),75.6)</f>
        <v>75.6</v>
      </c>
      <c r="N24" s="1">
        <f>IFERROR(__xludf.DUMMYFUNCTION("""COMPUTED_VALUE"""),89.0)</f>
        <v>89</v>
      </c>
      <c r="O24" s="1" t="str">
        <f>IFERROR(__xludf.DUMMYFUNCTION("""COMPUTED_VALUE"""),"Pass")</f>
        <v>Pass</v>
      </c>
    </row>
    <row r="25" ht="15.75" customHeight="1">
      <c r="A25" s="1" t="str">
        <f>IFERROR(__xludf.DUMMYFUNCTION("""COMPUTED_VALUE"""),"STD-1213")</f>
        <v>STD-1213</v>
      </c>
      <c r="B25" s="1" t="str">
        <f>IFERROR(__xludf.DUMMYFUNCTION("""COMPUTED_VALUE"""),"Ananya Reddy")</f>
        <v>Ananya Reddy</v>
      </c>
      <c r="C25" s="1" t="str">
        <f>IFERROR(__xludf.DUMMYFUNCTION("""COMPUTED_VALUE"""),"Female")</f>
        <v>Female</v>
      </c>
      <c r="D25" s="1" t="str">
        <f>IFERROR(__xludf.DUMMYFUNCTION("""COMPUTED_VALUE"""),"9")</f>
        <v>9</v>
      </c>
      <c r="E25" s="1" t="str">
        <f>IFERROR(__xludf.DUMMYFUNCTION("""COMPUTED_VALUE"""),"B")</f>
        <v>B</v>
      </c>
      <c r="F25" s="1" t="str">
        <f>IFERROR(__xludf.DUMMYFUNCTION("""COMPUTED_VALUE"""),"Bhopal")</f>
        <v>Bhopal</v>
      </c>
      <c r="G25" s="1">
        <f>IFERROR(__xludf.DUMMYFUNCTION("""COMPUTED_VALUE"""),71.0)</f>
        <v>71</v>
      </c>
      <c r="H25" s="1">
        <f>IFERROR(__xludf.DUMMYFUNCTION("""COMPUTED_VALUE"""),89.0)</f>
        <v>89</v>
      </c>
      <c r="I25" s="1">
        <f>IFERROR(__xludf.DUMMYFUNCTION("""COMPUTED_VALUE"""),79.0)</f>
        <v>79</v>
      </c>
      <c r="J25" s="1">
        <f>IFERROR(__xludf.DUMMYFUNCTION("""COMPUTED_VALUE"""),45.0)</f>
        <v>45</v>
      </c>
      <c r="K25" s="1">
        <f>IFERROR(__xludf.DUMMYFUNCTION("""COMPUTED_VALUE"""),77.0)</f>
        <v>77</v>
      </c>
      <c r="L25" s="1">
        <f>IFERROR(__xludf.DUMMYFUNCTION("""COMPUTED_VALUE"""),361.0)</f>
        <v>361</v>
      </c>
      <c r="M25" s="1">
        <f>IFERROR(__xludf.DUMMYFUNCTION("""COMPUTED_VALUE"""),72.2)</f>
        <v>72.2</v>
      </c>
      <c r="N25" s="1">
        <f>IFERROR(__xludf.DUMMYFUNCTION("""COMPUTED_VALUE"""),71.0)</f>
        <v>71</v>
      </c>
      <c r="O25" s="1" t="str">
        <f>IFERROR(__xludf.DUMMYFUNCTION("""COMPUTED_VALUE"""),"Pass")</f>
        <v>Pass</v>
      </c>
    </row>
    <row r="26" ht="15.75" customHeight="1">
      <c r="A26" s="1" t="str">
        <f>IFERROR(__xludf.DUMMYFUNCTION("""COMPUTED_VALUE"""),"STD-1226")</f>
        <v>STD-1226</v>
      </c>
      <c r="B26" s="1" t="str">
        <f>IFERROR(__xludf.DUMMYFUNCTION("""COMPUTED_VALUE"""),"Kavya Das")</f>
        <v>Kavya Das</v>
      </c>
      <c r="C26" s="1" t="str">
        <f>IFERROR(__xludf.DUMMYFUNCTION("""COMPUTED_VALUE"""),"Female")</f>
        <v>Female</v>
      </c>
      <c r="D26" s="1" t="str">
        <f>IFERROR(__xludf.DUMMYFUNCTION("""COMPUTED_VALUE"""),"9")</f>
        <v>9</v>
      </c>
      <c r="E26" s="1" t="str">
        <f>IFERROR(__xludf.DUMMYFUNCTION("""COMPUTED_VALUE"""),"C")</f>
        <v>C</v>
      </c>
      <c r="F26" s="1" t="str">
        <f>IFERROR(__xludf.DUMMYFUNCTION("""COMPUTED_VALUE"""),"Bhopal")</f>
        <v>Bhopal</v>
      </c>
      <c r="G26" s="1">
        <f>IFERROR(__xludf.DUMMYFUNCTION("""COMPUTED_VALUE"""),67.0)</f>
        <v>67</v>
      </c>
      <c r="H26" s="1">
        <f>IFERROR(__xludf.DUMMYFUNCTION("""COMPUTED_VALUE"""),56.0)</f>
        <v>56</v>
      </c>
      <c r="I26" s="1">
        <f>IFERROR(__xludf.DUMMYFUNCTION("""COMPUTED_VALUE"""),78.0)</f>
        <v>78</v>
      </c>
      <c r="J26" s="1">
        <f>IFERROR(__xludf.DUMMYFUNCTION("""COMPUTED_VALUE"""),81.0)</f>
        <v>81</v>
      </c>
      <c r="K26" s="1">
        <f>IFERROR(__xludf.DUMMYFUNCTION("""COMPUTED_VALUE"""),80.0)</f>
        <v>80</v>
      </c>
      <c r="L26" s="1">
        <f>IFERROR(__xludf.DUMMYFUNCTION("""COMPUTED_VALUE"""),362.0)</f>
        <v>362</v>
      </c>
      <c r="M26" s="1">
        <f>IFERROR(__xludf.DUMMYFUNCTION("""COMPUTED_VALUE"""),72.4)</f>
        <v>72.4</v>
      </c>
      <c r="N26" s="1">
        <f>IFERROR(__xludf.DUMMYFUNCTION("""COMPUTED_VALUE"""),75.0)</f>
        <v>75</v>
      </c>
      <c r="O26" s="1" t="str">
        <f>IFERROR(__xludf.DUMMYFUNCTION("""COMPUTED_VALUE"""),"Pass")</f>
        <v>Pass</v>
      </c>
    </row>
    <row r="27" ht="15.75" customHeight="1">
      <c r="A27" s="1" t="str">
        <f>IFERROR(__xludf.DUMMYFUNCTION("""COMPUTED_VALUE"""),"STD-1244")</f>
        <v>STD-1244</v>
      </c>
      <c r="B27" s="1" t="str">
        <f>IFERROR(__xludf.DUMMYFUNCTION("""COMPUTED_VALUE"""),"Karan Verma")</f>
        <v>Karan Verma</v>
      </c>
      <c r="C27" s="1" t="str">
        <f>IFERROR(__xludf.DUMMYFUNCTION("""COMPUTED_VALUE"""),"Female")</f>
        <v>Female</v>
      </c>
      <c r="D27" s="1" t="str">
        <f>IFERROR(__xludf.DUMMYFUNCTION("""COMPUTED_VALUE"""),"9")</f>
        <v>9</v>
      </c>
      <c r="E27" s="1" t="str">
        <f>IFERROR(__xludf.DUMMYFUNCTION("""COMPUTED_VALUE"""),"A")</f>
        <v>A</v>
      </c>
      <c r="F27" s="1" t="str">
        <f>IFERROR(__xludf.DUMMYFUNCTION("""COMPUTED_VALUE"""),"Chandigarh")</f>
        <v>Chandigarh</v>
      </c>
      <c r="G27" s="1">
        <f>IFERROR(__xludf.DUMMYFUNCTION("""COMPUTED_VALUE"""),40.0)</f>
        <v>40</v>
      </c>
      <c r="H27" s="1">
        <f>IFERROR(__xludf.DUMMYFUNCTION("""COMPUTED_VALUE"""),64.0)</f>
        <v>64</v>
      </c>
      <c r="I27" s="1">
        <f>IFERROR(__xludf.DUMMYFUNCTION("""COMPUTED_VALUE"""),73.0)</f>
        <v>73</v>
      </c>
      <c r="J27" s="1">
        <f>IFERROR(__xludf.DUMMYFUNCTION("""COMPUTED_VALUE"""),45.0)</f>
        <v>45</v>
      </c>
      <c r="K27" s="1">
        <f>IFERROR(__xludf.DUMMYFUNCTION("""COMPUTED_VALUE"""),48.0)</f>
        <v>48</v>
      </c>
      <c r="L27" s="1">
        <f>IFERROR(__xludf.DUMMYFUNCTION("""COMPUTED_VALUE"""),270.0)</f>
        <v>270</v>
      </c>
      <c r="M27" s="1">
        <f>IFERROR(__xludf.DUMMYFUNCTION("""COMPUTED_VALUE"""),54.0)</f>
        <v>54</v>
      </c>
      <c r="N27" s="1">
        <f>IFERROR(__xludf.DUMMYFUNCTION("""COMPUTED_VALUE"""),76.0)</f>
        <v>76</v>
      </c>
      <c r="O27" s="1" t="str">
        <f>IFERROR(__xludf.DUMMYFUNCTION("""COMPUTED_VALUE"""),"Pass")</f>
        <v>Pass</v>
      </c>
    </row>
    <row r="28" ht="15.75" customHeight="1">
      <c r="A28" s="1" t="str">
        <f>IFERROR(__xludf.DUMMYFUNCTION("""COMPUTED_VALUE"""),"STD-1260")</f>
        <v>STD-1260</v>
      </c>
      <c r="B28" s="1" t="str">
        <f>IFERROR(__xludf.DUMMYFUNCTION("""COMPUTED_VALUE"""),"Sai Das")</f>
        <v>Sai Das</v>
      </c>
      <c r="C28" s="1" t="str">
        <f>IFERROR(__xludf.DUMMYFUNCTION("""COMPUTED_VALUE"""),"Female")</f>
        <v>Female</v>
      </c>
      <c r="D28" s="1" t="str">
        <f>IFERROR(__xludf.DUMMYFUNCTION("""COMPUTED_VALUE"""),"9")</f>
        <v>9</v>
      </c>
      <c r="E28" s="1" t="str">
        <f>IFERROR(__xludf.DUMMYFUNCTION("""COMPUTED_VALUE"""),"B")</f>
        <v>B</v>
      </c>
      <c r="F28" s="1" t="str">
        <f>IFERROR(__xludf.DUMMYFUNCTION("""COMPUTED_VALUE"""),"Delhi")</f>
        <v>Delhi</v>
      </c>
      <c r="G28" s="1">
        <f>IFERROR(__xludf.DUMMYFUNCTION("""COMPUTED_VALUE"""),59.0)</f>
        <v>59</v>
      </c>
      <c r="H28" s="1">
        <f>IFERROR(__xludf.DUMMYFUNCTION("""COMPUTED_VALUE"""),69.0)</f>
        <v>69</v>
      </c>
      <c r="I28" s="1">
        <f>IFERROR(__xludf.DUMMYFUNCTION("""COMPUTED_VALUE"""),44.0)</f>
        <v>44</v>
      </c>
      <c r="J28" s="1">
        <f>IFERROR(__xludf.DUMMYFUNCTION("""COMPUTED_VALUE"""),81.0)</f>
        <v>81</v>
      </c>
      <c r="K28" s="1">
        <f>IFERROR(__xludf.DUMMYFUNCTION("""COMPUTED_VALUE"""),89.0)</f>
        <v>89</v>
      </c>
      <c r="L28" s="1">
        <f>IFERROR(__xludf.DUMMYFUNCTION("""COMPUTED_VALUE"""),342.0)</f>
        <v>342</v>
      </c>
      <c r="M28" s="1">
        <f>IFERROR(__xludf.DUMMYFUNCTION("""COMPUTED_VALUE"""),68.4)</f>
        <v>68.4</v>
      </c>
      <c r="N28" s="1">
        <f>IFERROR(__xludf.DUMMYFUNCTION("""COMPUTED_VALUE"""),69.0)</f>
        <v>69</v>
      </c>
      <c r="O28" s="1" t="str">
        <f>IFERROR(__xludf.DUMMYFUNCTION("""COMPUTED_VALUE"""),"Pass")</f>
        <v>Pass</v>
      </c>
    </row>
    <row r="29" ht="15.75" customHeight="1">
      <c r="A29" s="1" t="str">
        <f>IFERROR(__xludf.DUMMYFUNCTION("""COMPUTED_VALUE"""),"STD-1266")</f>
        <v>STD-1266</v>
      </c>
      <c r="B29" s="1" t="str">
        <f>IFERROR(__xludf.DUMMYFUNCTION("""COMPUTED_VALUE"""),"Kavya Jain")</f>
        <v>Kavya Jain</v>
      </c>
      <c r="C29" s="1" t="str">
        <f>IFERROR(__xludf.DUMMYFUNCTION("""COMPUTED_VALUE"""),"Female")</f>
        <v>Female</v>
      </c>
      <c r="D29" s="1" t="str">
        <f>IFERROR(__xludf.DUMMYFUNCTION("""COMPUTED_VALUE"""),"9")</f>
        <v>9</v>
      </c>
      <c r="E29" s="1" t="str">
        <f>IFERROR(__xludf.DUMMYFUNCTION("""COMPUTED_VALUE"""),"A")</f>
        <v>A</v>
      </c>
      <c r="F29" s="1" t="str">
        <f>IFERROR(__xludf.DUMMYFUNCTION("""COMPUTED_VALUE"""),"Kolkata")</f>
        <v>Kolkata</v>
      </c>
      <c r="G29" s="1">
        <f>IFERROR(__xludf.DUMMYFUNCTION("""COMPUTED_VALUE"""),46.0)</f>
        <v>46</v>
      </c>
      <c r="H29" s="1">
        <f>IFERROR(__xludf.DUMMYFUNCTION("""COMPUTED_VALUE"""),71.0)</f>
        <v>71</v>
      </c>
      <c r="I29" s="1">
        <f>IFERROR(__xludf.DUMMYFUNCTION("""COMPUTED_VALUE"""),71.0)</f>
        <v>71</v>
      </c>
      <c r="J29" s="1">
        <f>IFERROR(__xludf.DUMMYFUNCTION("""COMPUTED_VALUE"""),84.0)</f>
        <v>84</v>
      </c>
      <c r="K29" s="1">
        <f>IFERROR(__xludf.DUMMYFUNCTION("""COMPUTED_VALUE"""),87.0)</f>
        <v>87</v>
      </c>
      <c r="L29" s="1">
        <f>IFERROR(__xludf.DUMMYFUNCTION("""COMPUTED_VALUE"""),359.0)</f>
        <v>359</v>
      </c>
      <c r="M29" s="1">
        <f>IFERROR(__xludf.DUMMYFUNCTION("""COMPUTED_VALUE"""),71.8)</f>
        <v>71.8</v>
      </c>
      <c r="N29" s="1">
        <f>IFERROR(__xludf.DUMMYFUNCTION("""COMPUTED_VALUE"""),84.0)</f>
        <v>84</v>
      </c>
      <c r="O29" s="1" t="str">
        <f>IFERROR(__xludf.DUMMYFUNCTION("""COMPUTED_VALUE"""),"Pass")</f>
        <v>Pass</v>
      </c>
    </row>
    <row r="30" ht="15.75" customHeight="1">
      <c r="A30" s="1" t="str">
        <f>IFERROR(__xludf.DUMMYFUNCTION("""COMPUTED_VALUE"""),"STD-1289")</f>
        <v>STD-1289</v>
      </c>
      <c r="B30" s="1" t="str">
        <f>IFERROR(__xludf.DUMMYFUNCTION("""COMPUTED_VALUE"""),"Karan Verma")</f>
        <v>Karan Verma</v>
      </c>
      <c r="C30" s="1" t="str">
        <f>IFERROR(__xludf.DUMMYFUNCTION("""COMPUTED_VALUE"""),"Female")</f>
        <v>Female</v>
      </c>
      <c r="D30" s="1" t="str">
        <f>IFERROR(__xludf.DUMMYFUNCTION("""COMPUTED_VALUE"""),"9")</f>
        <v>9</v>
      </c>
      <c r="E30" s="1" t="str">
        <f>IFERROR(__xludf.DUMMYFUNCTION("""COMPUTED_VALUE"""),"C")</f>
        <v>C</v>
      </c>
      <c r="F30" s="1" t="str">
        <f>IFERROR(__xludf.DUMMYFUNCTION("""COMPUTED_VALUE"""),"Bhopal")</f>
        <v>Bhopal</v>
      </c>
      <c r="G30" s="1">
        <f>IFERROR(__xludf.DUMMYFUNCTION("""COMPUTED_VALUE"""),73.0)</f>
        <v>73</v>
      </c>
      <c r="H30" s="1">
        <f>IFERROR(__xludf.DUMMYFUNCTION("""COMPUTED_VALUE"""),63.0)</f>
        <v>63</v>
      </c>
      <c r="I30" s="1">
        <f>IFERROR(__xludf.DUMMYFUNCTION("""COMPUTED_VALUE"""),62.0)</f>
        <v>62</v>
      </c>
      <c r="J30" s="1">
        <f>IFERROR(__xludf.DUMMYFUNCTION("""COMPUTED_VALUE"""),54.0)</f>
        <v>54</v>
      </c>
      <c r="K30" s="1">
        <f>IFERROR(__xludf.DUMMYFUNCTION("""COMPUTED_VALUE"""),93.0)</f>
        <v>93</v>
      </c>
      <c r="L30" s="1">
        <f>IFERROR(__xludf.DUMMYFUNCTION("""COMPUTED_VALUE"""),345.0)</f>
        <v>345</v>
      </c>
      <c r="M30" s="1">
        <f>IFERROR(__xludf.DUMMYFUNCTION("""COMPUTED_VALUE"""),69.0)</f>
        <v>69</v>
      </c>
      <c r="N30" s="1">
        <f>IFERROR(__xludf.DUMMYFUNCTION("""COMPUTED_VALUE"""),94.0)</f>
        <v>94</v>
      </c>
      <c r="O30" s="1" t="str">
        <f>IFERROR(__xludf.DUMMYFUNCTION("""COMPUTED_VALUE"""),"Pass")</f>
        <v>Pass</v>
      </c>
    </row>
    <row r="31" ht="15.75" customHeight="1">
      <c r="A31" s="1" t="str">
        <f>IFERROR(__xludf.DUMMYFUNCTION("""COMPUTED_VALUE"""),"STD-1305")</f>
        <v>STD-1305</v>
      </c>
      <c r="B31" s="1" t="str">
        <f>IFERROR(__xludf.DUMMYFUNCTION("""COMPUTED_VALUE"""),"Vivaan Singh")</f>
        <v>Vivaan Singh</v>
      </c>
      <c r="C31" s="1" t="str">
        <f>IFERROR(__xludf.DUMMYFUNCTION("""COMPUTED_VALUE"""),"Female")</f>
        <v>Female</v>
      </c>
      <c r="D31" s="1" t="str">
        <f>IFERROR(__xludf.DUMMYFUNCTION("""COMPUTED_VALUE"""),"9")</f>
        <v>9</v>
      </c>
      <c r="E31" s="1" t="str">
        <f>IFERROR(__xludf.DUMMYFUNCTION("""COMPUTED_VALUE"""),"C")</f>
        <v>C</v>
      </c>
      <c r="F31" s="1" t="str">
        <f>IFERROR(__xludf.DUMMYFUNCTION("""COMPUTED_VALUE"""),"Jaipur")</f>
        <v>Jaipur</v>
      </c>
      <c r="G31" s="1">
        <f>IFERROR(__xludf.DUMMYFUNCTION("""COMPUTED_VALUE"""),69.0)</f>
        <v>69</v>
      </c>
      <c r="H31" s="1">
        <f>IFERROR(__xludf.DUMMYFUNCTION("""COMPUTED_VALUE"""),78.0)</f>
        <v>78</v>
      </c>
      <c r="I31" s="1">
        <f>IFERROR(__xludf.DUMMYFUNCTION("""COMPUTED_VALUE"""),64.0)</f>
        <v>64</v>
      </c>
      <c r="J31" s="1">
        <f>IFERROR(__xludf.DUMMYFUNCTION("""COMPUTED_VALUE"""),43.0)</f>
        <v>43</v>
      </c>
      <c r="K31" s="1">
        <f>IFERROR(__xludf.DUMMYFUNCTION("""COMPUTED_VALUE"""),52.0)</f>
        <v>52</v>
      </c>
      <c r="L31" s="1">
        <f>IFERROR(__xludf.DUMMYFUNCTION("""COMPUTED_VALUE"""),306.0)</f>
        <v>306</v>
      </c>
      <c r="M31" s="1">
        <f>IFERROR(__xludf.DUMMYFUNCTION("""COMPUTED_VALUE"""),61.2)</f>
        <v>61.2</v>
      </c>
      <c r="N31" s="1">
        <f>IFERROR(__xludf.DUMMYFUNCTION("""COMPUTED_VALUE"""),60.0)</f>
        <v>60</v>
      </c>
      <c r="O31" s="1" t="str">
        <f>IFERROR(__xludf.DUMMYFUNCTION("""COMPUTED_VALUE"""),"Pass")</f>
        <v>Pass</v>
      </c>
    </row>
    <row r="32" ht="15.75" customHeight="1">
      <c r="A32" s="1" t="str">
        <f>IFERROR(__xludf.DUMMYFUNCTION("""COMPUTED_VALUE"""),"STD-1309")</f>
        <v>STD-1309</v>
      </c>
      <c r="B32" s="1" t="str">
        <f>IFERROR(__xludf.DUMMYFUNCTION("""COMPUTED_VALUE"""),"Ananya Nair")</f>
        <v>Ananya Nair</v>
      </c>
      <c r="C32" s="1" t="str">
        <f>IFERROR(__xludf.DUMMYFUNCTION("""COMPUTED_VALUE"""),"Female")</f>
        <v>Female</v>
      </c>
      <c r="D32" s="1" t="str">
        <f>IFERROR(__xludf.DUMMYFUNCTION("""COMPUTED_VALUE"""),"9")</f>
        <v>9</v>
      </c>
      <c r="E32" s="1" t="str">
        <f>IFERROR(__xludf.DUMMYFUNCTION("""COMPUTED_VALUE"""),"C")</f>
        <v>C</v>
      </c>
      <c r="F32" s="1" t="str">
        <f>IFERROR(__xludf.DUMMYFUNCTION("""COMPUTED_VALUE"""),"Mumbai")</f>
        <v>Mumbai</v>
      </c>
      <c r="G32" s="1">
        <f>IFERROR(__xludf.DUMMYFUNCTION("""COMPUTED_VALUE"""),98.0)</f>
        <v>98</v>
      </c>
      <c r="H32" s="1">
        <f>IFERROR(__xludf.DUMMYFUNCTION("""COMPUTED_VALUE"""),44.0)</f>
        <v>44</v>
      </c>
      <c r="I32" s="1">
        <f>IFERROR(__xludf.DUMMYFUNCTION("""COMPUTED_VALUE"""),94.0)</f>
        <v>94</v>
      </c>
      <c r="J32" s="1">
        <f>IFERROR(__xludf.DUMMYFUNCTION("""COMPUTED_VALUE"""),88.0)</f>
        <v>88</v>
      </c>
      <c r="K32" s="1">
        <f>IFERROR(__xludf.DUMMYFUNCTION("""COMPUTED_VALUE"""),59.0)</f>
        <v>59</v>
      </c>
      <c r="L32" s="1">
        <f>IFERROR(__xludf.DUMMYFUNCTION("""COMPUTED_VALUE"""),383.0)</f>
        <v>383</v>
      </c>
      <c r="M32" s="1">
        <f>IFERROR(__xludf.DUMMYFUNCTION("""COMPUTED_VALUE"""),76.6)</f>
        <v>76.6</v>
      </c>
      <c r="N32" s="1">
        <f>IFERROR(__xludf.DUMMYFUNCTION("""COMPUTED_VALUE"""),90.0)</f>
        <v>90</v>
      </c>
      <c r="O32" s="1" t="str">
        <f>IFERROR(__xludf.DUMMYFUNCTION("""COMPUTED_VALUE"""),"Pass")</f>
        <v>Pass</v>
      </c>
    </row>
    <row r="33" ht="15.75" customHeight="1">
      <c r="A33" s="1" t="str">
        <f>IFERROR(__xludf.DUMMYFUNCTION("""COMPUTED_VALUE"""),"STD-1311")</f>
        <v>STD-1311</v>
      </c>
      <c r="B33" s="1" t="str">
        <f>IFERROR(__xludf.DUMMYFUNCTION("""COMPUTED_VALUE"""),"Meera Das")</f>
        <v>Meera Das</v>
      </c>
      <c r="C33" s="1" t="str">
        <f>IFERROR(__xludf.DUMMYFUNCTION("""COMPUTED_VALUE"""),"Female")</f>
        <v>Female</v>
      </c>
      <c r="D33" s="1" t="str">
        <f>IFERROR(__xludf.DUMMYFUNCTION("""COMPUTED_VALUE"""),"9")</f>
        <v>9</v>
      </c>
      <c r="E33" s="1" t="str">
        <f>IFERROR(__xludf.DUMMYFUNCTION("""COMPUTED_VALUE"""),"A")</f>
        <v>A</v>
      </c>
      <c r="F33" s="1" t="str">
        <f>IFERROR(__xludf.DUMMYFUNCTION("""COMPUTED_VALUE"""),"Delhi")</f>
        <v>Delhi</v>
      </c>
      <c r="G33" s="1">
        <f>IFERROR(__xludf.DUMMYFUNCTION("""COMPUTED_VALUE"""),49.0)</f>
        <v>49</v>
      </c>
      <c r="H33" s="1">
        <f>IFERROR(__xludf.DUMMYFUNCTION("""COMPUTED_VALUE"""),43.0)</f>
        <v>43</v>
      </c>
      <c r="I33" s="1">
        <f>IFERROR(__xludf.DUMMYFUNCTION("""COMPUTED_VALUE"""),55.0)</f>
        <v>55</v>
      </c>
      <c r="J33" s="1">
        <f>IFERROR(__xludf.DUMMYFUNCTION("""COMPUTED_VALUE"""),68.0)</f>
        <v>68</v>
      </c>
      <c r="K33" s="1">
        <f>IFERROR(__xludf.DUMMYFUNCTION("""COMPUTED_VALUE"""),52.0)</f>
        <v>52</v>
      </c>
      <c r="L33" s="1">
        <f>IFERROR(__xludf.DUMMYFUNCTION("""COMPUTED_VALUE"""),267.0)</f>
        <v>267</v>
      </c>
      <c r="M33" s="1">
        <f>IFERROR(__xludf.DUMMYFUNCTION("""COMPUTED_VALUE"""),53.4)</f>
        <v>53.4</v>
      </c>
      <c r="N33" s="1">
        <f>IFERROR(__xludf.DUMMYFUNCTION("""COMPUTED_VALUE"""),84.0)</f>
        <v>84</v>
      </c>
      <c r="O33" s="1" t="str">
        <f>IFERROR(__xludf.DUMMYFUNCTION("""COMPUTED_VALUE"""),"Pass")</f>
        <v>Pass</v>
      </c>
    </row>
    <row r="34" ht="15.75" customHeight="1">
      <c r="A34" s="1" t="str">
        <f>IFERROR(__xludf.DUMMYFUNCTION("""COMPUTED_VALUE"""),"STD-1315")</f>
        <v>STD-1315</v>
      </c>
      <c r="B34" s="1" t="str">
        <f>IFERROR(__xludf.DUMMYFUNCTION("""COMPUTED_VALUE"""),"Rohan Nair")</f>
        <v>Rohan Nair</v>
      </c>
      <c r="C34" s="1" t="str">
        <f>IFERROR(__xludf.DUMMYFUNCTION("""COMPUTED_VALUE"""),"Female")</f>
        <v>Female</v>
      </c>
      <c r="D34" s="1" t="str">
        <f>IFERROR(__xludf.DUMMYFUNCTION("""COMPUTED_VALUE"""),"9")</f>
        <v>9</v>
      </c>
      <c r="E34" s="1" t="str">
        <f>IFERROR(__xludf.DUMMYFUNCTION("""COMPUTED_VALUE"""),"C")</f>
        <v>C</v>
      </c>
      <c r="F34" s="1" t="str">
        <f>IFERROR(__xludf.DUMMYFUNCTION("""COMPUTED_VALUE"""),"Lucknow")</f>
        <v>Lucknow</v>
      </c>
      <c r="G34" s="1">
        <f>IFERROR(__xludf.DUMMYFUNCTION("""COMPUTED_VALUE"""),54.0)</f>
        <v>54</v>
      </c>
      <c r="H34" s="1">
        <f>IFERROR(__xludf.DUMMYFUNCTION("""COMPUTED_VALUE"""),60.0)</f>
        <v>60</v>
      </c>
      <c r="I34" s="1">
        <f>IFERROR(__xludf.DUMMYFUNCTION("""COMPUTED_VALUE"""),74.0)</f>
        <v>74</v>
      </c>
      <c r="J34" s="1">
        <f>IFERROR(__xludf.DUMMYFUNCTION("""COMPUTED_VALUE"""),49.0)</f>
        <v>49</v>
      </c>
      <c r="K34" s="1">
        <f>IFERROR(__xludf.DUMMYFUNCTION("""COMPUTED_VALUE"""),79.0)</f>
        <v>79</v>
      </c>
      <c r="L34" s="1">
        <f>IFERROR(__xludf.DUMMYFUNCTION("""COMPUTED_VALUE"""),316.0)</f>
        <v>316</v>
      </c>
      <c r="M34" s="1">
        <f>IFERROR(__xludf.DUMMYFUNCTION("""COMPUTED_VALUE"""),63.2)</f>
        <v>63.2</v>
      </c>
      <c r="N34" s="1">
        <f>IFERROR(__xludf.DUMMYFUNCTION("""COMPUTED_VALUE"""),86.0)</f>
        <v>86</v>
      </c>
      <c r="O34" s="1" t="str">
        <f>IFERROR(__xludf.DUMMYFUNCTION("""COMPUTED_VALUE"""),"Pass")</f>
        <v>Pass</v>
      </c>
    </row>
    <row r="35" ht="15.75" customHeight="1">
      <c r="A35" s="1" t="str">
        <f>IFERROR(__xludf.DUMMYFUNCTION("""COMPUTED_VALUE"""),"STD-1316")</f>
        <v>STD-1316</v>
      </c>
      <c r="B35" s="1" t="str">
        <f>IFERROR(__xludf.DUMMYFUNCTION("""COMPUTED_VALUE"""),"Sai Choudhary")</f>
        <v>Sai Choudhary</v>
      </c>
      <c r="C35" s="1" t="str">
        <f>IFERROR(__xludf.DUMMYFUNCTION("""COMPUTED_VALUE"""),"Female")</f>
        <v>Female</v>
      </c>
      <c r="D35" s="1" t="str">
        <f>IFERROR(__xludf.DUMMYFUNCTION("""COMPUTED_VALUE"""),"9")</f>
        <v>9</v>
      </c>
      <c r="E35" s="1" t="str">
        <f>IFERROR(__xludf.DUMMYFUNCTION("""COMPUTED_VALUE"""),"B")</f>
        <v>B</v>
      </c>
      <c r="F35" s="1" t="str">
        <f>IFERROR(__xludf.DUMMYFUNCTION("""COMPUTED_VALUE"""),"Jaipur")</f>
        <v>Jaipur</v>
      </c>
      <c r="G35" s="1">
        <f>IFERROR(__xludf.DUMMYFUNCTION("""COMPUTED_VALUE"""),74.0)</f>
        <v>74</v>
      </c>
      <c r="H35" s="1">
        <f>IFERROR(__xludf.DUMMYFUNCTION("""COMPUTED_VALUE"""),76.0)</f>
        <v>76</v>
      </c>
      <c r="I35" s="1">
        <f>IFERROR(__xludf.DUMMYFUNCTION("""COMPUTED_VALUE"""),78.0)</f>
        <v>78</v>
      </c>
      <c r="J35" s="1">
        <f>IFERROR(__xludf.DUMMYFUNCTION("""COMPUTED_VALUE"""),54.0)</f>
        <v>54</v>
      </c>
      <c r="K35" s="1">
        <f>IFERROR(__xludf.DUMMYFUNCTION("""COMPUTED_VALUE"""),52.0)</f>
        <v>52</v>
      </c>
      <c r="L35" s="1">
        <f>IFERROR(__xludf.DUMMYFUNCTION("""COMPUTED_VALUE"""),334.0)</f>
        <v>334</v>
      </c>
      <c r="M35" s="1">
        <f>IFERROR(__xludf.DUMMYFUNCTION("""COMPUTED_VALUE"""),66.8)</f>
        <v>66.8</v>
      </c>
      <c r="N35" s="1">
        <f>IFERROR(__xludf.DUMMYFUNCTION("""COMPUTED_VALUE"""),62.0)</f>
        <v>62</v>
      </c>
      <c r="O35" s="1" t="str">
        <f>IFERROR(__xludf.DUMMYFUNCTION("""COMPUTED_VALUE"""),"Pass")</f>
        <v>Pass</v>
      </c>
    </row>
    <row r="36" ht="15.75" customHeight="1">
      <c r="A36" s="1" t="str">
        <f>IFERROR(__xludf.DUMMYFUNCTION("""COMPUTED_VALUE"""),"STD-1323")</f>
        <v>STD-1323</v>
      </c>
      <c r="B36" s="1" t="str">
        <f>IFERROR(__xludf.DUMMYFUNCTION("""COMPUTED_VALUE"""),"Arjun Singh")</f>
        <v>Arjun Singh</v>
      </c>
      <c r="C36" s="1" t="str">
        <f>IFERROR(__xludf.DUMMYFUNCTION("""COMPUTED_VALUE"""),"Female")</f>
        <v>Female</v>
      </c>
      <c r="D36" s="1" t="str">
        <f>IFERROR(__xludf.DUMMYFUNCTION("""COMPUTED_VALUE"""),"9")</f>
        <v>9</v>
      </c>
      <c r="E36" s="1" t="str">
        <f>IFERROR(__xludf.DUMMYFUNCTION("""COMPUTED_VALUE"""),"A")</f>
        <v>A</v>
      </c>
      <c r="F36" s="1" t="str">
        <f>IFERROR(__xludf.DUMMYFUNCTION("""COMPUTED_VALUE"""),"Mumbai")</f>
        <v>Mumbai</v>
      </c>
      <c r="G36" s="1">
        <f>IFERROR(__xludf.DUMMYFUNCTION("""COMPUTED_VALUE"""),51.0)</f>
        <v>51</v>
      </c>
      <c r="H36" s="1">
        <f>IFERROR(__xludf.DUMMYFUNCTION("""COMPUTED_VALUE"""),65.0)</f>
        <v>65</v>
      </c>
      <c r="I36" s="1">
        <f>IFERROR(__xludf.DUMMYFUNCTION("""COMPUTED_VALUE"""),50.0)</f>
        <v>50</v>
      </c>
      <c r="J36" s="1">
        <f>IFERROR(__xludf.DUMMYFUNCTION("""COMPUTED_VALUE"""),43.0)</f>
        <v>43</v>
      </c>
      <c r="K36" s="1">
        <f>IFERROR(__xludf.DUMMYFUNCTION("""COMPUTED_VALUE"""),72.0)</f>
        <v>72</v>
      </c>
      <c r="L36" s="1">
        <f>IFERROR(__xludf.DUMMYFUNCTION("""COMPUTED_VALUE"""),281.0)</f>
        <v>281</v>
      </c>
      <c r="M36" s="1">
        <f>IFERROR(__xludf.DUMMYFUNCTION("""COMPUTED_VALUE"""),56.2)</f>
        <v>56.2</v>
      </c>
      <c r="N36" s="1">
        <f>IFERROR(__xludf.DUMMYFUNCTION("""COMPUTED_VALUE"""),77.0)</f>
        <v>77</v>
      </c>
      <c r="O36" s="1" t="str">
        <f>IFERROR(__xludf.DUMMYFUNCTION("""COMPUTED_VALUE"""),"Pass")</f>
        <v>Pass</v>
      </c>
    </row>
    <row r="37" ht="15.75" customHeight="1">
      <c r="A37" s="1" t="str">
        <f>IFERROR(__xludf.DUMMYFUNCTION("""COMPUTED_VALUE"""),"STD-1325")</f>
        <v>STD-1325</v>
      </c>
      <c r="B37" s="1" t="str">
        <f>IFERROR(__xludf.DUMMYFUNCTION("""COMPUTED_VALUE"""),"Pooja Sharma")</f>
        <v>Pooja Sharma</v>
      </c>
      <c r="C37" s="1" t="str">
        <f>IFERROR(__xludf.DUMMYFUNCTION("""COMPUTED_VALUE"""),"Female")</f>
        <v>Female</v>
      </c>
      <c r="D37" s="1" t="str">
        <f>IFERROR(__xludf.DUMMYFUNCTION("""COMPUTED_VALUE"""),"9")</f>
        <v>9</v>
      </c>
      <c r="E37" s="1" t="str">
        <f>IFERROR(__xludf.DUMMYFUNCTION("""COMPUTED_VALUE"""),"B")</f>
        <v>B</v>
      </c>
      <c r="F37" s="1" t="str">
        <f>IFERROR(__xludf.DUMMYFUNCTION("""COMPUTED_VALUE"""),"Bhopal")</f>
        <v>Bhopal</v>
      </c>
      <c r="G37" s="1">
        <f>IFERROR(__xludf.DUMMYFUNCTION("""COMPUTED_VALUE"""),80.0)</f>
        <v>80</v>
      </c>
      <c r="H37" s="1">
        <f>IFERROR(__xludf.DUMMYFUNCTION("""COMPUTED_VALUE"""),96.0)</f>
        <v>96</v>
      </c>
      <c r="I37" s="1">
        <f>IFERROR(__xludf.DUMMYFUNCTION("""COMPUTED_VALUE"""),51.0)</f>
        <v>51</v>
      </c>
      <c r="J37" s="1">
        <f>IFERROR(__xludf.DUMMYFUNCTION("""COMPUTED_VALUE"""),91.0)</f>
        <v>91</v>
      </c>
      <c r="K37" s="1">
        <f>IFERROR(__xludf.DUMMYFUNCTION("""COMPUTED_VALUE"""),89.0)</f>
        <v>89</v>
      </c>
      <c r="L37" s="1">
        <f>IFERROR(__xludf.DUMMYFUNCTION("""COMPUTED_VALUE"""),407.0)</f>
        <v>407</v>
      </c>
      <c r="M37" s="1">
        <f>IFERROR(__xludf.DUMMYFUNCTION("""COMPUTED_VALUE"""),81.4)</f>
        <v>81.4</v>
      </c>
      <c r="N37" s="1">
        <f>IFERROR(__xludf.DUMMYFUNCTION("""COMPUTED_VALUE"""),68.0)</f>
        <v>68</v>
      </c>
      <c r="O37" s="1" t="str">
        <f>IFERROR(__xludf.DUMMYFUNCTION("""COMPUTED_VALUE"""),"Pass")</f>
        <v>Pass</v>
      </c>
    </row>
    <row r="38" ht="15.75" customHeight="1">
      <c r="A38" s="1" t="str">
        <f>IFERROR(__xludf.DUMMYFUNCTION("""COMPUTED_VALUE"""),"STD-1329")</f>
        <v>STD-1329</v>
      </c>
      <c r="B38" s="1" t="str">
        <f>IFERROR(__xludf.DUMMYFUNCTION("""COMPUTED_VALUE"""),"Aarav Singh")</f>
        <v>Aarav Singh</v>
      </c>
      <c r="C38" s="1" t="str">
        <f>IFERROR(__xludf.DUMMYFUNCTION("""COMPUTED_VALUE"""),"Female")</f>
        <v>Female</v>
      </c>
      <c r="D38" s="1" t="str">
        <f>IFERROR(__xludf.DUMMYFUNCTION("""COMPUTED_VALUE"""),"9")</f>
        <v>9</v>
      </c>
      <c r="E38" s="1" t="str">
        <f>IFERROR(__xludf.DUMMYFUNCTION("""COMPUTED_VALUE"""),"A")</f>
        <v>A</v>
      </c>
      <c r="F38" s="1" t="str">
        <f>IFERROR(__xludf.DUMMYFUNCTION("""COMPUTED_VALUE"""),"Chandigarh")</f>
        <v>Chandigarh</v>
      </c>
      <c r="G38" s="1">
        <f>IFERROR(__xludf.DUMMYFUNCTION("""COMPUTED_VALUE"""),67.0)</f>
        <v>67</v>
      </c>
      <c r="H38" s="1">
        <f>IFERROR(__xludf.DUMMYFUNCTION("""COMPUTED_VALUE"""),41.0)</f>
        <v>41</v>
      </c>
      <c r="I38" s="1">
        <f>IFERROR(__xludf.DUMMYFUNCTION("""COMPUTED_VALUE"""),98.0)</f>
        <v>98</v>
      </c>
      <c r="J38" s="1">
        <f>IFERROR(__xludf.DUMMYFUNCTION("""COMPUTED_VALUE"""),67.0)</f>
        <v>67</v>
      </c>
      <c r="K38" s="1">
        <f>IFERROR(__xludf.DUMMYFUNCTION("""COMPUTED_VALUE"""),86.0)</f>
        <v>86</v>
      </c>
      <c r="L38" s="1">
        <f>IFERROR(__xludf.DUMMYFUNCTION("""COMPUTED_VALUE"""),359.0)</f>
        <v>359</v>
      </c>
      <c r="M38" s="1">
        <f>IFERROR(__xludf.DUMMYFUNCTION("""COMPUTED_VALUE"""),71.8)</f>
        <v>71.8</v>
      </c>
      <c r="N38" s="1">
        <f>IFERROR(__xludf.DUMMYFUNCTION("""COMPUTED_VALUE"""),68.0)</f>
        <v>68</v>
      </c>
      <c r="O38" s="1" t="str">
        <f>IFERROR(__xludf.DUMMYFUNCTION("""COMPUTED_VALUE"""),"Pass")</f>
        <v>Pass</v>
      </c>
    </row>
    <row r="39" ht="15.75" customHeight="1">
      <c r="A39" s="1" t="str">
        <f>IFERROR(__xludf.DUMMYFUNCTION("""COMPUTED_VALUE"""),"STD-1348")</f>
        <v>STD-1348</v>
      </c>
      <c r="B39" s="1" t="str">
        <f>IFERROR(__xludf.DUMMYFUNCTION("""COMPUTED_VALUE"""),"Priya Nair")</f>
        <v>Priya Nair</v>
      </c>
      <c r="C39" s="1" t="str">
        <f>IFERROR(__xludf.DUMMYFUNCTION("""COMPUTED_VALUE"""),"Female")</f>
        <v>Female</v>
      </c>
      <c r="D39" s="1" t="str">
        <f>IFERROR(__xludf.DUMMYFUNCTION("""COMPUTED_VALUE"""),"9")</f>
        <v>9</v>
      </c>
      <c r="E39" s="1" t="str">
        <f>IFERROR(__xludf.DUMMYFUNCTION("""COMPUTED_VALUE"""),"C")</f>
        <v>C</v>
      </c>
      <c r="F39" s="1" t="str">
        <f>IFERROR(__xludf.DUMMYFUNCTION("""COMPUTED_VALUE"""),"Patna")</f>
        <v>Patna</v>
      </c>
      <c r="G39" s="1">
        <f>IFERROR(__xludf.DUMMYFUNCTION("""COMPUTED_VALUE"""),80.0)</f>
        <v>80</v>
      </c>
      <c r="H39" s="1">
        <f>IFERROR(__xludf.DUMMYFUNCTION("""COMPUTED_VALUE"""),62.0)</f>
        <v>62</v>
      </c>
      <c r="I39" s="1">
        <f>IFERROR(__xludf.DUMMYFUNCTION("""COMPUTED_VALUE"""),54.0)</f>
        <v>54</v>
      </c>
      <c r="J39" s="1">
        <f>IFERROR(__xludf.DUMMYFUNCTION("""COMPUTED_VALUE"""),43.0)</f>
        <v>43</v>
      </c>
      <c r="K39" s="1">
        <f>IFERROR(__xludf.DUMMYFUNCTION("""COMPUTED_VALUE"""),43.0)</f>
        <v>43</v>
      </c>
      <c r="L39" s="1">
        <f>IFERROR(__xludf.DUMMYFUNCTION("""COMPUTED_VALUE"""),282.0)</f>
        <v>282</v>
      </c>
      <c r="M39" s="1">
        <f>IFERROR(__xludf.DUMMYFUNCTION("""COMPUTED_VALUE"""),56.4)</f>
        <v>56.4</v>
      </c>
      <c r="N39" s="1">
        <f>IFERROR(__xludf.DUMMYFUNCTION("""COMPUTED_VALUE"""),87.0)</f>
        <v>87</v>
      </c>
      <c r="O39" s="1" t="str">
        <f>IFERROR(__xludf.DUMMYFUNCTION("""COMPUTED_VALUE"""),"Pass")</f>
        <v>Pass</v>
      </c>
    </row>
    <row r="40" ht="15.75" customHeight="1">
      <c r="A40" s="1" t="str">
        <f>IFERROR(__xludf.DUMMYFUNCTION("""COMPUTED_VALUE"""),"STD-1352")</f>
        <v>STD-1352</v>
      </c>
      <c r="B40" s="1" t="str">
        <f>IFERROR(__xludf.DUMMYFUNCTION("""COMPUTED_VALUE"""),"Pooja Iyer")</f>
        <v>Pooja Iyer</v>
      </c>
      <c r="C40" s="1" t="str">
        <f>IFERROR(__xludf.DUMMYFUNCTION("""COMPUTED_VALUE"""),"Female")</f>
        <v>Female</v>
      </c>
      <c r="D40" s="1" t="str">
        <f>IFERROR(__xludf.DUMMYFUNCTION("""COMPUTED_VALUE"""),"9")</f>
        <v>9</v>
      </c>
      <c r="E40" s="1" t="str">
        <f>IFERROR(__xludf.DUMMYFUNCTION("""COMPUTED_VALUE"""),"A")</f>
        <v>A</v>
      </c>
      <c r="F40" s="1" t="str">
        <f>IFERROR(__xludf.DUMMYFUNCTION("""COMPUTED_VALUE"""),"Lucknow")</f>
        <v>Lucknow</v>
      </c>
      <c r="G40" s="1">
        <f>IFERROR(__xludf.DUMMYFUNCTION("""COMPUTED_VALUE"""),65.0)</f>
        <v>65</v>
      </c>
      <c r="H40" s="1">
        <f>IFERROR(__xludf.DUMMYFUNCTION("""COMPUTED_VALUE"""),88.0)</f>
        <v>88</v>
      </c>
      <c r="I40" s="1">
        <f>IFERROR(__xludf.DUMMYFUNCTION("""COMPUTED_VALUE"""),58.0)</f>
        <v>58</v>
      </c>
      <c r="J40" s="1">
        <f>IFERROR(__xludf.DUMMYFUNCTION("""COMPUTED_VALUE"""),65.0)</f>
        <v>65</v>
      </c>
      <c r="K40" s="1">
        <f>IFERROR(__xludf.DUMMYFUNCTION("""COMPUTED_VALUE"""),59.0)</f>
        <v>59</v>
      </c>
      <c r="L40" s="1">
        <f>IFERROR(__xludf.DUMMYFUNCTION("""COMPUTED_VALUE"""),335.0)</f>
        <v>335</v>
      </c>
      <c r="M40" s="1">
        <f>IFERROR(__xludf.DUMMYFUNCTION("""COMPUTED_VALUE"""),67.0)</f>
        <v>67</v>
      </c>
      <c r="N40" s="1">
        <f>IFERROR(__xludf.DUMMYFUNCTION("""COMPUTED_VALUE"""),91.0)</f>
        <v>91</v>
      </c>
      <c r="O40" s="1" t="str">
        <f>IFERROR(__xludf.DUMMYFUNCTION("""COMPUTED_VALUE"""),"Pass")</f>
        <v>Pass</v>
      </c>
    </row>
    <row r="41" ht="15.75" customHeight="1">
      <c r="A41" s="1" t="str">
        <f>IFERROR(__xludf.DUMMYFUNCTION("""COMPUTED_VALUE"""),"STD-1366")</f>
        <v>STD-1366</v>
      </c>
      <c r="B41" s="1" t="str">
        <f>IFERROR(__xludf.DUMMYFUNCTION("""COMPUTED_VALUE"""),"Pooja Verma")</f>
        <v>Pooja Verma</v>
      </c>
      <c r="C41" s="1" t="str">
        <f>IFERROR(__xludf.DUMMYFUNCTION("""COMPUTED_VALUE"""),"Female")</f>
        <v>Female</v>
      </c>
      <c r="D41" s="1" t="str">
        <f>IFERROR(__xludf.DUMMYFUNCTION("""COMPUTED_VALUE"""),"9")</f>
        <v>9</v>
      </c>
      <c r="E41" s="1" t="str">
        <f>IFERROR(__xludf.DUMMYFUNCTION("""COMPUTED_VALUE"""),"A")</f>
        <v>A</v>
      </c>
      <c r="F41" s="1" t="str">
        <f>IFERROR(__xludf.DUMMYFUNCTION("""COMPUTED_VALUE"""),"Jaipur")</f>
        <v>Jaipur</v>
      </c>
      <c r="G41" s="1">
        <f>IFERROR(__xludf.DUMMYFUNCTION("""COMPUTED_VALUE"""),77.0)</f>
        <v>77</v>
      </c>
      <c r="H41" s="1">
        <f>IFERROR(__xludf.DUMMYFUNCTION("""COMPUTED_VALUE"""),83.0)</f>
        <v>83</v>
      </c>
      <c r="I41" s="1">
        <f>IFERROR(__xludf.DUMMYFUNCTION("""COMPUTED_VALUE"""),82.0)</f>
        <v>82</v>
      </c>
      <c r="J41" s="1">
        <f>IFERROR(__xludf.DUMMYFUNCTION("""COMPUTED_VALUE"""),71.0)</f>
        <v>71</v>
      </c>
      <c r="K41" s="1">
        <f>IFERROR(__xludf.DUMMYFUNCTION("""COMPUTED_VALUE"""),88.0)</f>
        <v>88</v>
      </c>
      <c r="L41" s="1">
        <f>IFERROR(__xludf.DUMMYFUNCTION("""COMPUTED_VALUE"""),401.0)</f>
        <v>401</v>
      </c>
      <c r="M41" s="1">
        <f>IFERROR(__xludf.DUMMYFUNCTION("""COMPUTED_VALUE"""),80.2)</f>
        <v>80.2</v>
      </c>
      <c r="N41" s="1">
        <f>IFERROR(__xludf.DUMMYFUNCTION("""COMPUTED_VALUE"""),64.0)</f>
        <v>64</v>
      </c>
      <c r="O41" s="1" t="str">
        <f>IFERROR(__xludf.DUMMYFUNCTION("""COMPUTED_VALUE"""),"Pass")</f>
        <v>Pass</v>
      </c>
    </row>
    <row r="42" ht="15.75" customHeight="1">
      <c r="A42" s="1" t="str">
        <f>IFERROR(__xludf.DUMMYFUNCTION("""COMPUTED_VALUE"""),"STD-1368")</f>
        <v>STD-1368</v>
      </c>
      <c r="B42" s="1" t="str">
        <f>IFERROR(__xludf.DUMMYFUNCTION("""COMPUTED_VALUE"""),"Simran Banerjee")</f>
        <v>Simran Banerjee</v>
      </c>
      <c r="C42" s="1" t="str">
        <f>IFERROR(__xludf.DUMMYFUNCTION("""COMPUTED_VALUE"""),"Female")</f>
        <v>Female</v>
      </c>
      <c r="D42" s="1" t="str">
        <f>IFERROR(__xludf.DUMMYFUNCTION("""COMPUTED_VALUE"""),"9")</f>
        <v>9</v>
      </c>
      <c r="E42" s="1" t="str">
        <f>IFERROR(__xludf.DUMMYFUNCTION("""COMPUTED_VALUE"""),"B")</f>
        <v>B</v>
      </c>
      <c r="F42" s="1" t="str">
        <f>IFERROR(__xludf.DUMMYFUNCTION("""COMPUTED_VALUE"""),"Delhi")</f>
        <v>Delhi</v>
      </c>
      <c r="G42" s="1">
        <f>IFERROR(__xludf.DUMMYFUNCTION("""COMPUTED_VALUE"""),89.0)</f>
        <v>89</v>
      </c>
      <c r="H42" s="1">
        <f>IFERROR(__xludf.DUMMYFUNCTION("""COMPUTED_VALUE"""),44.0)</f>
        <v>44</v>
      </c>
      <c r="I42" s="1">
        <f>IFERROR(__xludf.DUMMYFUNCTION("""COMPUTED_VALUE"""),73.0)</f>
        <v>73</v>
      </c>
      <c r="J42" s="1">
        <f>IFERROR(__xludf.DUMMYFUNCTION("""COMPUTED_VALUE"""),86.0)</f>
        <v>86</v>
      </c>
      <c r="K42" s="1">
        <f>IFERROR(__xludf.DUMMYFUNCTION("""COMPUTED_VALUE"""),52.0)</f>
        <v>52</v>
      </c>
      <c r="L42" s="1">
        <f>IFERROR(__xludf.DUMMYFUNCTION("""COMPUTED_VALUE"""),344.0)</f>
        <v>344</v>
      </c>
      <c r="M42" s="1">
        <f>IFERROR(__xludf.DUMMYFUNCTION("""COMPUTED_VALUE"""),68.8)</f>
        <v>68.8</v>
      </c>
      <c r="N42" s="1">
        <f>IFERROR(__xludf.DUMMYFUNCTION("""COMPUTED_VALUE"""),88.0)</f>
        <v>88</v>
      </c>
      <c r="O42" s="1" t="str">
        <f>IFERROR(__xludf.DUMMYFUNCTION("""COMPUTED_VALUE"""),"Pass")</f>
        <v>Pass</v>
      </c>
    </row>
    <row r="43" ht="15.75" customHeight="1">
      <c r="A43" s="1" t="str">
        <f>IFERROR(__xludf.DUMMYFUNCTION("""COMPUTED_VALUE"""),"STD-1394")</f>
        <v>STD-1394</v>
      </c>
      <c r="B43" s="1" t="str">
        <f>IFERROR(__xludf.DUMMYFUNCTION("""COMPUTED_VALUE"""),"Vivaan Nair")</f>
        <v>Vivaan Nair</v>
      </c>
      <c r="C43" s="1" t="str">
        <f>IFERROR(__xludf.DUMMYFUNCTION("""COMPUTED_VALUE"""),"Female")</f>
        <v>Female</v>
      </c>
      <c r="D43" s="1" t="str">
        <f>IFERROR(__xludf.DUMMYFUNCTION("""COMPUTED_VALUE"""),"9")</f>
        <v>9</v>
      </c>
      <c r="E43" s="1" t="str">
        <f>IFERROR(__xludf.DUMMYFUNCTION("""COMPUTED_VALUE"""),"A")</f>
        <v>A</v>
      </c>
      <c r="F43" s="1" t="str">
        <f>IFERROR(__xludf.DUMMYFUNCTION("""COMPUTED_VALUE"""),"Kolkata")</f>
        <v>Kolkata</v>
      </c>
      <c r="G43" s="1">
        <f>IFERROR(__xludf.DUMMYFUNCTION("""COMPUTED_VALUE"""),61.0)</f>
        <v>61</v>
      </c>
      <c r="H43" s="1">
        <f>IFERROR(__xludf.DUMMYFUNCTION("""COMPUTED_VALUE"""),100.0)</f>
        <v>100</v>
      </c>
      <c r="I43" s="1">
        <f>IFERROR(__xludf.DUMMYFUNCTION("""COMPUTED_VALUE"""),73.0)</f>
        <v>73</v>
      </c>
      <c r="J43" s="1">
        <f>IFERROR(__xludf.DUMMYFUNCTION("""COMPUTED_VALUE"""),48.0)</f>
        <v>48</v>
      </c>
      <c r="K43" s="1">
        <f>IFERROR(__xludf.DUMMYFUNCTION("""COMPUTED_VALUE"""),60.0)</f>
        <v>60</v>
      </c>
      <c r="L43" s="1">
        <f>IFERROR(__xludf.DUMMYFUNCTION("""COMPUTED_VALUE"""),342.0)</f>
        <v>342</v>
      </c>
      <c r="M43" s="1">
        <f>IFERROR(__xludf.DUMMYFUNCTION("""COMPUTED_VALUE"""),68.4)</f>
        <v>68.4</v>
      </c>
      <c r="N43" s="1">
        <f>IFERROR(__xludf.DUMMYFUNCTION("""COMPUTED_VALUE"""),92.0)</f>
        <v>92</v>
      </c>
      <c r="O43" s="1" t="str">
        <f>IFERROR(__xludf.DUMMYFUNCTION("""COMPUTED_VALUE"""),"Pass")</f>
        <v>Pass</v>
      </c>
    </row>
    <row r="44" ht="15.75" customHeight="1">
      <c r="A44" s="1" t="str">
        <f>IFERROR(__xludf.DUMMYFUNCTION("""COMPUTED_VALUE"""),"STD-1398")</f>
        <v>STD-1398</v>
      </c>
      <c r="B44" s="1" t="str">
        <f>IFERROR(__xludf.DUMMYFUNCTION("""COMPUTED_VALUE"""),"Vivaan Singh")</f>
        <v>Vivaan Singh</v>
      </c>
      <c r="C44" s="1" t="str">
        <f>IFERROR(__xludf.DUMMYFUNCTION("""COMPUTED_VALUE"""),"Female")</f>
        <v>Female</v>
      </c>
      <c r="D44" s="1" t="str">
        <f>IFERROR(__xludf.DUMMYFUNCTION("""COMPUTED_VALUE"""),"9")</f>
        <v>9</v>
      </c>
      <c r="E44" s="1" t="str">
        <f>IFERROR(__xludf.DUMMYFUNCTION("""COMPUTED_VALUE"""),"B")</f>
        <v>B</v>
      </c>
      <c r="F44" s="1" t="str">
        <f>IFERROR(__xludf.DUMMYFUNCTION("""COMPUTED_VALUE"""),"Kolkata")</f>
        <v>Kolkata</v>
      </c>
      <c r="G44" s="1">
        <f>IFERROR(__xludf.DUMMYFUNCTION("""COMPUTED_VALUE"""),60.0)</f>
        <v>60</v>
      </c>
      <c r="H44" s="1">
        <f>IFERROR(__xludf.DUMMYFUNCTION("""COMPUTED_VALUE"""),51.0)</f>
        <v>51</v>
      </c>
      <c r="I44" s="1">
        <f>IFERROR(__xludf.DUMMYFUNCTION("""COMPUTED_VALUE"""),91.0)</f>
        <v>91</v>
      </c>
      <c r="J44" s="1">
        <f>IFERROR(__xludf.DUMMYFUNCTION("""COMPUTED_VALUE"""),49.0)</f>
        <v>49</v>
      </c>
      <c r="K44" s="1">
        <f>IFERROR(__xludf.DUMMYFUNCTION("""COMPUTED_VALUE"""),81.0)</f>
        <v>81</v>
      </c>
      <c r="L44" s="1">
        <f>IFERROR(__xludf.DUMMYFUNCTION("""COMPUTED_VALUE"""),332.0)</f>
        <v>332</v>
      </c>
      <c r="M44" s="1">
        <f>IFERROR(__xludf.DUMMYFUNCTION("""COMPUTED_VALUE"""),66.4)</f>
        <v>66.4</v>
      </c>
      <c r="N44" s="1">
        <f>IFERROR(__xludf.DUMMYFUNCTION("""COMPUTED_VALUE"""),75.0)</f>
        <v>75</v>
      </c>
      <c r="O44" s="1" t="str">
        <f>IFERROR(__xludf.DUMMYFUNCTION("""COMPUTED_VALUE"""),"Pass")</f>
        <v>Pass</v>
      </c>
    </row>
    <row r="45" ht="15.75" customHeight="1">
      <c r="A45" s="1" t="str">
        <f>IFERROR(__xludf.DUMMYFUNCTION("""COMPUTED_VALUE"""),"STD-1404")</f>
        <v>STD-1404</v>
      </c>
      <c r="B45" s="1" t="str">
        <f>IFERROR(__xludf.DUMMYFUNCTION("""COMPUTED_VALUE"""),"Vivaan Banerjee")</f>
        <v>Vivaan Banerjee</v>
      </c>
      <c r="C45" s="1" t="str">
        <f>IFERROR(__xludf.DUMMYFUNCTION("""COMPUTED_VALUE"""),"Female")</f>
        <v>Female</v>
      </c>
      <c r="D45" s="1" t="str">
        <f>IFERROR(__xludf.DUMMYFUNCTION("""COMPUTED_VALUE"""),"9")</f>
        <v>9</v>
      </c>
      <c r="E45" s="1" t="str">
        <f>IFERROR(__xludf.DUMMYFUNCTION("""COMPUTED_VALUE"""),"A")</f>
        <v>A</v>
      </c>
      <c r="F45" s="1" t="str">
        <f>IFERROR(__xludf.DUMMYFUNCTION("""COMPUTED_VALUE"""),"Bhopal")</f>
        <v>Bhopal</v>
      </c>
      <c r="G45" s="1">
        <f>IFERROR(__xludf.DUMMYFUNCTION("""COMPUTED_VALUE"""),66.0)</f>
        <v>66</v>
      </c>
      <c r="H45" s="1">
        <f>IFERROR(__xludf.DUMMYFUNCTION("""COMPUTED_VALUE"""),50.0)</f>
        <v>50</v>
      </c>
      <c r="I45" s="1">
        <f>IFERROR(__xludf.DUMMYFUNCTION("""COMPUTED_VALUE"""),72.0)</f>
        <v>72</v>
      </c>
      <c r="J45" s="1">
        <f>IFERROR(__xludf.DUMMYFUNCTION("""COMPUTED_VALUE"""),82.0)</f>
        <v>82</v>
      </c>
      <c r="K45" s="1">
        <f>IFERROR(__xludf.DUMMYFUNCTION("""COMPUTED_VALUE"""),83.0)</f>
        <v>83</v>
      </c>
      <c r="L45" s="1">
        <f>IFERROR(__xludf.DUMMYFUNCTION("""COMPUTED_VALUE"""),353.0)</f>
        <v>353</v>
      </c>
      <c r="M45" s="1">
        <f>IFERROR(__xludf.DUMMYFUNCTION("""COMPUTED_VALUE"""),70.6)</f>
        <v>70.6</v>
      </c>
      <c r="N45" s="1">
        <f>IFERROR(__xludf.DUMMYFUNCTION("""COMPUTED_VALUE"""),74.0)</f>
        <v>74</v>
      </c>
      <c r="O45" s="1" t="str">
        <f>IFERROR(__xludf.DUMMYFUNCTION("""COMPUTED_VALUE"""),"Pass")</f>
        <v>Pass</v>
      </c>
    </row>
    <row r="46" ht="15.75" customHeight="1">
      <c r="A46" s="1" t="str">
        <f>IFERROR(__xludf.DUMMYFUNCTION("""COMPUTED_VALUE"""),"STD-1430")</f>
        <v>STD-1430</v>
      </c>
      <c r="B46" s="1" t="str">
        <f>IFERROR(__xludf.DUMMYFUNCTION("""COMPUTED_VALUE"""),"Kavya Jain")</f>
        <v>Kavya Jain</v>
      </c>
      <c r="C46" s="1" t="str">
        <f>IFERROR(__xludf.DUMMYFUNCTION("""COMPUTED_VALUE"""),"Female")</f>
        <v>Female</v>
      </c>
      <c r="D46" s="1" t="str">
        <f>IFERROR(__xludf.DUMMYFUNCTION("""COMPUTED_VALUE"""),"9")</f>
        <v>9</v>
      </c>
      <c r="E46" s="1" t="str">
        <f>IFERROR(__xludf.DUMMYFUNCTION("""COMPUTED_VALUE"""),"A")</f>
        <v>A</v>
      </c>
      <c r="F46" s="1" t="str">
        <f>IFERROR(__xludf.DUMMYFUNCTION("""COMPUTED_VALUE"""),"Lucknow")</f>
        <v>Lucknow</v>
      </c>
      <c r="G46" s="1">
        <f>IFERROR(__xludf.DUMMYFUNCTION("""COMPUTED_VALUE"""),55.0)</f>
        <v>55</v>
      </c>
      <c r="H46" s="1">
        <f>IFERROR(__xludf.DUMMYFUNCTION("""COMPUTED_VALUE"""),83.0)</f>
        <v>83</v>
      </c>
      <c r="I46" s="1">
        <f>IFERROR(__xludf.DUMMYFUNCTION("""COMPUTED_VALUE"""),99.0)</f>
        <v>99</v>
      </c>
      <c r="J46" s="1">
        <f>IFERROR(__xludf.DUMMYFUNCTION("""COMPUTED_VALUE"""),53.0)</f>
        <v>53</v>
      </c>
      <c r="K46" s="1">
        <f>IFERROR(__xludf.DUMMYFUNCTION("""COMPUTED_VALUE"""),49.0)</f>
        <v>49</v>
      </c>
      <c r="L46" s="1">
        <f>IFERROR(__xludf.DUMMYFUNCTION("""COMPUTED_VALUE"""),339.0)</f>
        <v>339</v>
      </c>
      <c r="M46" s="1">
        <f>IFERROR(__xludf.DUMMYFUNCTION("""COMPUTED_VALUE"""),67.8)</f>
        <v>67.8</v>
      </c>
      <c r="N46" s="1">
        <f>IFERROR(__xludf.DUMMYFUNCTION("""COMPUTED_VALUE"""),84.0)</f>
        <v>84</v>
      </c>
      <c r="O46" s="1" t="str">
        <f>IFERROR(__xludf.DUMMYFUNCTION("""COMPUTED_VALUE"""),"Pass")</f>
        <v>Pass</v>
      </c>
    </row>
    <row r="47" ht="15.75" customHeight="1">
      <c r="A47" s="1" t="str">
        <f>IFERROR(__xludf.DUMMYFUNCTION("""COMPUTED_VALUE"""),"STD-1437")</f>
        <v>STD-1437</v>
      </c>
      <c r="B47" s="1" t="str">
        <f>IFERROR(__xludf.DUMMYFUNCTION("""COMPUTED_VALUE"""),"Neha Gupta")</f>
        <v>Neha Gupta</v>
      </c>
      <c r="C47" s="1" t="str">
        <f>IFERROR(__xludf.DUMMYFUNCTION("""COMPUTED_VALUE"""),"Female")</f>
        <v>Female</v>
      </c>
      <c r="D47" s="1" t="str">
        <f>IFERROR(__xludf.DUMMYFUNCTION("""COMPUTED_VALUE"""),"9")</f>
        <v>9</v>
      </c>
      <c r="E47" s="1" t="str">
        <f>IFERROR(__xludf.DUMMYFUNCTION("""COMPUTED_VALUE"""),"A")</f>
        <v>A</v>
      </c>
      <c r="F47" s="1" t="str">
        <f>IFERROR(__xludf.DUMMYFUNCTION("""COMPUTED_VALUE"""),"Patna")</f>
        <v>Patna</v>
      </c>
      <c r="G47" s="1">
        <f>IFERROR(__xludf.DUMMYFUNCTION("""COMPUTED_VALUE"""),89.0)</f>
        <v>89</v>
      </c>
      <c r="H47" s="1">
        <f>IFERROR(__xludf.DUMMYFUNCTION("""COMPUTED_VALUE"""),77.0)</f>
        <v>77</v>
      </c>
      <c r="I47" s="1">
        <f>IFERROR(__xludf.DUMMYFUNCTION("""COMPUTED_VALUE"""),91.0)</f>
        <v>91</v>
      </c>
      <c r="J47" s="1">
        <f>IFERROR(__xludf.DUMMYFUNCTION("""COMPUTED_VALUE"""),44.0)</f>
        <v>44</v>
      </c>
      <c r="K47" s="1">
        <f>IFERROR(__xludf.DUMMYFUNCTION("""COMPUTED_VALUE"""),79.0)</f>
        <v>79</v>
      </c>
      <c r="L47" s="1">
        <f>IFERROR(__xludf.DUMMYFUNCTION("""COMPUTED_VALUE"""),380.0)</f>
        <v>380</v>
      </c>
      <c r="M47" s="1">
        <f>IFERROR(__xludf.DUMMYFUNCTION("""COMPUTED_VALUE"""),76.0)</f>
        <v>76</v>
      </c>
      <c r="N47" s="1">
        <f>IFERROR(__xludf.DUMMYFUNCTION("""COMPUTED_VALUE"""),78.0)</f>
        <v>78</v>
      </c>
      <c r="O47" s="1" t="str">
        <f>IFERROR(__xludf.DUMMYFUNCTION("""COMPUTED_VALUE"""),"Pass")</f>
        <v>Pass</v>
      </c>
    </row>
    <row r="48" ht="15.75" customHeight="1">
      <c r="A48" s="1" t="str">
        <f>IFERROR(__xludf.DUMMYFUNCTION("""COMPUTED_VALUE"""),"STD-1445")</f>
        <v>STD-1445</v>
      </c>
      <c r="B48" s="1" t="str">
        <f>IFERROR(__xludf.DUMMYFUNCTION("""COMPUTED_VALUE"""),"Priya Reddy")</f>
        <v>Priya Reddy</v>
      </c>
      <c r="C48" s="1" t="str">
        <f>IFERROR(__xludf.DUMMYFUNCTION("""COMPUTED_VALUE"""),"Female")</f>
        <v>Female</v>
      </c>
      <c r="D48" s="1" t="str">
        <f>IFERROR(__xludf.DUMMYFUNCTION("""COMPUTED_VALUE"""),"9")</f>
        <v>9</v>
      </c>
      <c r="E48" s="1" t="str">
        <f>IFERROR(__xludf.DUMMYFUNCTION("""COMPUTED_VALUE"""),"C")</f>
        <v>C</v>
      </c>
      <c r="F48" s="1" t="str">
        <f>IFERROR(__xludf.DUMMYFUNCTION("""COMPUTED_VALUE"""),"Patna")</f>
        <v>Patna</v>
      </c>
      <c r="G48" s="1">
        <f>IFERROR(__xludf.DUMMYFUNCTION("""COMPUTED_VALUE"""),77.0)</f>
        <v>77</v>
      </c>
      <c r="H48" s="1">
        <f>IFERROR(__xludf.DUMMYFUNCTION("""COMPUTED_VALUE"""),93.0)</f>
        <v>93</v>
      </c>
      <c r="I48" s="1">
        <f>IFERROR(__xludf.DUMMYFUNCTION("""COMPUTED_VALUE"""),98.0)</f>
        <v>98</v>
      </c>
      <c r="J48" s="1">
        <f>IFERROR(__xludf.DUMMYFUNCTION("""COMPUTED_VALUE"""),93.0)</f>
        <v>93</v>
      </c>
      <c r="K48" s="1">
        <f>IFERROR(__xludf.DUMMYFUNCTION("""COMPUTED_VALUE"""),58.0)</f>
        <v>58</v>
      </c>
      <c r="L48" s="1">
        <f>IFERROR(__xludf.DUMMYFUNCTION("""COMPUTED_VALUE"""),419.0)</f>
        <v>419</v>
      </c>
      <c r="M48" s="1">
        <f>IFERROR(__xludf.DUMMYFUNCTION("""COMPUTED_VALUE"""),83.8)</f>
        <v>83.8</v>
      </c>
      <c r="N48" s="1">
        <f>IFERROR(__xludf.DUMMYFUNCTION("""COMPUTED_VALUE"""),71.0)</f>
        <v>71</v>
      </c>
      <c r="O48" s="1" t="str">
        <f>IFERROR(__xludf.DUMMYFUNCTION("""COMPUTED_VALUE"""),"Pass")</f>
        <v>Pass</v>
      </c>
    </row>
    <row r="49" ht="15.75" customHeight="1">
      <c r="A49" s="1" t="str">
        <f>IFERROR(__xludf.DUMMYFUNCTION("""COMPUTED_VALUE"""),"STD-1453")</f>
        <v>STD-1453</v>
      </c>
      <c r="B49" s="1" t="str">
        <f>IFERROR(__xludf.DUMMYFUNCTION("""COMPUTED_VALUE"""),"Rahul Das")</f>
        <v>Rahul Das</v>
      </c>
      <c r="C49" s="1" t="str">
        <f>IFERROR(__xludf.DUMMYFUNCTION("""COMPUTED_VALUE"""),"Female")</f>
        <v>Female</v>
      </c>
      <c r="D49" s="1" t="str">
        <f>IFERROR(__xludf.DUMMYFUNCTION("""COMPUTED_VALUE"""),"9")</f>
        <v>9</v>
      </c>
      <c r="E49" s="1" t="str">
        <f>IFERROR(__xludf.DUMMYFUNCTION("""COMPUTED_VALUE"""),"B")</f>
        <v>B</v>
      </c>
      <c r="F49" s="1" t="str">
        <f>IFERROR(__xludf.DUMMYFUNCTION("""COMPUTED_VALUE"""),"Kolkata")</f>
        <v>Kolkata</v>
      </c>
      <c r="G49" s="1">
        <f>IFERROR(__xludf.DUMMYFUNCTION("""COMPUTED_VALUE"""),69.0)</f>
        <v>69</v>
      </c>
      <c r="H49" s="1">
        <f>IFERROR(__xludf.DUMMYFUNCTION("""COMPUTED_VALUE"""),46.0)</f>
        <v>46</v>
      </c>
      <c r="I49" s="1">
        <f>IFERROR(__xludf.DUMMYFUNCTION("""COMPUTED_VALUE"""),46.0)</f>
        <v>46</v>
      </c>
      <c r="J49" s="1">
        <f>IFERROR(__xludf.DUMMYFUNCTION("""COMPUTED_VALUE"""),67.0)</f>
        <v>67</v>
      </c>
      <c r="K49" s="1">
        <f>IFERROR(__xludf.DUMMYFUNCTION("""COMPUTED_VALUE"""),81.0)</f>
        <v>81</v>
      </c>
      <c r="L49" s="1">
        <f>IFERROR(__xludf.DUMMYFUNCTION("""COMPUTED_VALUE"""),309.0)</f>
        <v>309</v>
      </c>
      <c r="M49" s="1">
        <f>IFERROR(__xludf.DUMMYFUNCTION("""COMPUTED_VALUE"""),61.8)</f>
        <v>61.8</v>
      </c>
      <c r="N49" s="1">
        <f>IFERROR(__xludf.DUMMYFUNCTION("""COMPUTED_VALUE"""),98.0)</f>
        <v>98</v>
      </c>
      <c r="O49" s="1" t="str">
        <f>IFERROR(__xludf.DUMMYFUNCTION("""COMPUTED_VALUE"""),"Pass")</f>
        <v>Pass</v>
      </c>
    </row>
    <row r="50" ht="15.75" customHeight="1">
      <c r="A50" s="1" t="str">
        <f>IFERROR(__xludf.DUMMYFUNCTION("""COMPUTED_VALUE"""),"STD-1461")</f>
        <v>STD-1461</v>
      </c>
      <c r="B50" s="1" t="str">
        <f>IFERROR(__xludf.DUMMYFUNCTION("""COMPUTED_VALUE"""),"Aarav Gupta")</f>
        <v>Aarav Gupta</v>
      </c>
      <c r="C50" s="1" t="str">
        <f>IFERROR(__xludf.DUMMYFUNCTION("""COMPUTED_VALUE"""),"Female")</f>
        <v>Female</v>
      </c>
      <c r="D50" s="1" t="str">
        <f>IFERROR(__xludf.DUMMYFUNCTION("""COMPUTED_VALUE"""),"9")</f>
        <v>9</v>
      </c>
      <c r="E50" s="1" t="str">
        <f>IFERROR(__xludf.DUMMYFUNCTION("""COMPUTED_VALUE"""),"C")</f>
        <v>C</v>
      </c>
      <c r="F50" s="1" t="str">
        <f>IFERROR(__xludf.DUMMYFUNCTION("""COMPUTED_VALUE"""),"Mumbai")</f>
        <v>Mumbai</v>
      </c>
      <c r="G50" s="1">
        <f>IFERROR(__xludf.DUMMYFUNCTION("""COMPUTED_VALUE"""),67.0)</f>
        <v>67</v>
      </c>
      <c r="H50" s="1">
        <f>IFERROR(__xludf.DUMMYFUNCTION("""COMPUTED_VALUE"""),91.0)</f>
        <v>91</v>
      </c>
      <c r="I50" s="1">
        <f>IFERROR(__xludf.DUMMYFUNCTION("""COMPUTED_VALUE"""),86.0)</f>
        <v>86</v>
      </c>
      <c r="J50" s="1">
        <f>IFERROR(__xludf.DUMMYFUNCTION("""COMPUTED_VALUE"""),92.0)</f>
        <v>92</v>
      </c>
      <c r="K50" s="1">
        <f>IFERROR(__xludf.DUMMYFUNCTION("""COMPUTED_VALUE"""),67.0)</f>
        <v>67</v>
      </c>
      <c r="L50" s="1">
        <f>IFERROR(__xludf.DUMMYFUNCTION("""COMPUTED_VALUE"""),403.0)</f>
        <v>403</v>
      </c>
      <c r="M50" s="1">
        <f>IFERROR(__xludf.DUMMYFUNCTION("""COMPUTED_VALUE"""),80.6)</f>
        <v>80.6</v>
      </c>
      <c r="N50" s="1">
        <f>IFERROR(__xludf.DUMMYFUNCTION("""COMPUTED_VALUE"""),86.0)</f>
        <v>86</v>
      </c>
      <c r="O50" s="1" t="str">
        <f>IFERROR(__xludf.DUMMYFUNCTION("""COMPUTED_VALUE"""),"Pass")</f>
        <v>Pass</v>
      </c>
    </row>
    <row r="51" ht="15.75" customHeight="1">
      <c r="A51" s="1" t="str">
        <f>IFERROR(__xludf.DUMMYFUNCTION("""COMPUTED_VALUE"""),"STD-1466")</f>
        <v>STD-1466</v>
      </c>
      <c r="B51" s="1" t="str">
        <f>IFERROR(__xludf.DUMMYFUNCTION("""COMPUTED_VALUE"""),"Ananya Jain")</f>
        <v>Ananya Jain</v>
      </c>
      <c r="C51" s="1" t="str">
        <f>IFERROR(__xludf.DUMMYFUNCTION("""COMPUTED_VALUE"""),"Female")</f>
        <v>Female</v>
      </c>
      <c r="D51" s="1" t="str">
        <f>IFERROR(__xludf.DUMMYFUNCTION("""COMPUTED_VALUE"""),"9")</f>
        <v>9</v>
      </c>
      <c r="E51" s="1" t="str">
        <f>IFERROR(__xludf.DUMMYFUNCTION("""COMPUTED_VALUE"""),"A")</f>
        <v>A</v>
      </c>
      <c r="F51" s="1" t="str">
        <f>IFERROR(__xludf.DUMMYFUNCTION("""COMPUTED_VALUE"""),"Mumbai")</f>
        <v>Mumbai</v>
      </c>
      <c r="G51" s="1">
        <f>IFERROR(__xludf.DUMMYFUNCTION("""COMPUTED_VALUE"""),74.0)</f>
        <v>74</v>
      </c>
      <c r="H51" s="1">
        <f>IFERROR(__xludf.DUMMYFUNCTION("""COMPUTED_VALUE"""),92.0)</f>
        <v>92</v>
      </c>
      <c r="I51" s="1">
        <f>IFERROR(__xludf.DUMMYFUNCTION("""COMPUTED_VALUE"""),74.0)</f>
        <v>74</v>
      </c>
      <c r="J51" s="1">
        <f>IFERROR(__xludf.DUMMYFUNCTION("""COMPUTED_VALUE"""),66.0)</f>
        <v>66</v>
      </c>
      <c r="K51" s="1">
        <f>IFERROR(__xludf.DUMMYFUNCTION("""COMPUTED_VALUE"""),59.0)</f>
        <v>59</v>
      </c>
      <c r="L51" s="1">
        <f>IFERROR(__xludf.DUMMYFUNCTION("""COMPUTED_VALUE"""),365.0)</f>
        <v>365</v>
      </c>
      <c r="M51" s="1">
        <f>IFERROR(__xludf.DUMMYFUNCTION("""COMPUTED_VALUE"""),73.0)</f>
        <v>73</v>
      </c>
      <c r="N51" s="1">
        <f>IFERROR(__xludf.DUMMYFUNCTION("""COMPUTED_VALUE"""),78.0)</f>
        <v>78</v>
      </c>
      <c r="O51" s="1" t="str">
        <f>IFERROR(__xludf.DUMMYFUNCTION("""COMPUTED_VALUE"""),"Pass")</f>
        <v>Pass</v>
      </c>
    </row>
    <row r="52" ht="15.75" customHeight="1">
      <c r="A52" s="1" t="str">
        <f>IFERROR(__xludf.DUMMYFUNCTION("""COMPUTED_VALUE"""),"STD-1476")</f>
        <v>STD-1476</v>
      </c>
      <c r="B52" s="1" t="str">
        <f>IFERROR(__xludf.DUMMYFUNCTION("""COMPUTED_VALUE"""),"Kavya Singh")</f>
        <v>Kavya Singh</v>
      </c>
      <c r="C52" s="1" t="str">
        <f>IFERROR(__xludf.DUMMYFUNCTION("""COMPUTED_VALUE"""),"Female")</f>
        <v>Female</v>
      </c>
      <c r="D52" s="1" t="str">
        <f>IFERROR(__xludf.DUMMYFUNCTION("""COMPUTED_VALUE"""),"9")</f>
        <v>9</v>
      </c>
      <c r="E52" s="1" t="str">
        <f>IFERROR(__xludf.DUMMYFUNCTION("""COMPUTED_VALUE"""),"B")</f>
        <v>B</v>
      </c>
      <c r="F52" s="1" t="str">
        <f>IFERROR(__xludf.DUMMYFUNCTION("""COMPUTED_VALUE"""),"Delhi")</f>
        <v>Delhi</v>
      </c>
      <c r="G52" s="1">
        <f>IFERROR(__xludf.DUMMYFUNCTION("""COMPUTED_VALUE"""),100.0)</f>
        <v>100</v>
      </c>
      <c r="H52" s="1">
        <f>IFERROR(__xludf.DUMMYFUNCTION("""COMPUTED_VALUE"""),51.0)</f>
        <v>51</v>
      </c>
      <c r="I52" s="1">
        <f>IFERROR(__xludf.DUMMYFUNCTION("""COMPUTED_VALUE"""),41.0)</f>
        <v>41</v>
      </c>
      <c r="J52" s="1">
        <f>IFERROR(__xludf.DUMMYFUNCTION("""COMPUTED_VALUE"""),78.0)</f>
        <v>78</v>
      </c>
      <c r="K52" s="1">
        <f>IFERROR(__xludf.DUMMYFUNCTION("""COMPUTED_VALUE"""),81.0)</f>
        <v>81</v>
      </c>
      <c r="L52" s="1">
        <f>IFERROR(__xludf.DUMMYFUNCTION("""COMPUTED_VALUE"""),351.0)</f>
        <v>351</v>
      </c>
      <c r="M52" s="1">
        <f>IFERROR(__xludf.DUMMYFUNCTION("""COMPUTED_VALUE"""),70.2)</f>
        <v>70.2</v>
      </c>
      <c r="N52" s="1">
        <f>IFERROR(__xludf.DUMMYFUNCTION("""COMPUTED_VALUE"""),72.0)</f>
        <v>72</v>
      </c>
      <c r="O52" s="1" t="str">
        <f>IFERROR(__xludf.DUMMYFUNCTION("""COMPUTED_VALUE"""),"Pass")</f>
        <v>Pass</v>
      </c>
    </row>
    <row r="53" ht="15.75" customHeight="1">
      <c r="A53" s="1" t="str">
        <f>IFERROR(__xludf.DUMMYFUNCTION("""COMPUTED_VALUE"""),"STD-1480")</f>
        <v>STD-1480</v>
      </c>
      <c r="B53" s="1" t="str">
        <f>IFERROR(__xludf.DUMMYFUNCTION("""COMPUTED_VALUE"""),"Vivaan Banerjee")</f>
        <v>Vivaan Banerjee</v>
      </c>
      <c r="C53" s="1" t="str">
        <f>IFERROR(__xludf.DUMMYFUNCTION("""COMPUTED_VALUE"""),"Female")</f>
        <v>Female</v>
      </c>
      <c r="D53" s="1" t="str">
        <f>IFERROR(__xludf.DUMMYFUNCTION("""COMPUTED_VALUE"""),"9")</f>
        <v>9</v>
      </c>
      <c r="E53" s="1" t="str">
        <f>IFERROR(__xludf.DUMMYFUNCTION("""COMPUTED_VALUE"""),"A")</f>
        <v>A</v>
      </c>
      <c r="F53" s="1" t="str">
        <f>IFERROR(__xludf.DUMMYFUNCTION("""COMPUTED_VALUE"""),"Chandigarh")</f>
        <v>Chandigarh</v>
      </c>
      <c r="G53" s="1">
        <f>IFERROR(__xludf.DUMMYFUNCTION("""COMPUTED_VALUE"""),71.0)</f>
        <v>71</v>
      </c>
      <c r="H53" s="1">
        <f>IFERROR(__xludf.DUMMYFUNCTION("""COMPUTED_VALUE"""),80.0)</f>
        <v>80</v>
      </c>
      <c r="I53" s="1">
        <f>IFERROR(__xludf.DUMMYFUNCTION("""COMPUTED_VALUE"""),65.0)</f>
        <v>65</v>
      </c>
      <c r="J53" s="1">
        <f>IFERROR(__xludf.DUMMYFUNCTION("""COMPUTED_VALUE"""),46.0)</f>
        <v>46</v>
      </c>
      <c r="K53" s="1">
        <f>IFERROR(__xludf.DUMMYFUNCTION("""COMPUTED_VALUE"""),79.0)</f>
        <v>79</v>
      </c>
      <c r="L53" s="1">
        <f>IFERROR(__xludf.DUMMYFUNCTION("""COMPUTED_VALUE"""),341.0)</f>
        <v>341</v>
      </c>
      <c r="M53" s="1">
        <f>IFERROR(__xludf.DUMMYFUNCTION("""COMPUTED_VALUE"""),68.2)</f>
        <v>68.2</v>
      </c>
      <c r="N53" s="1">
        <f>IFERROR(__xludf.DUMMYFUNCTION("""COMPUTED_VALUE"""),62.0)</f>
        <v>62</v>
      </c>
      <c r="O53" s="1" t="str">
        <f>IFERROR(__xludf.DUMMYFUNCTION("""COMPUTED_VALUE"""),"Pass")</f>
        <v>Pass</v>
      </c>
    </row>
    <row r="54" ht="15.75" customHeight="1">
      <c r="A54" s="1" t="str">
        <f>IFERROR(__xludf.DUMMYFUNCTION("""COMPUTED_VALUE"""),"STD-1482")</f>
        <v>STD-1482</v>
      </c>
      <c r="B54" s="1" t="str">
        <f>IFERROR(__xludf.DUMMYFUNCTION("""COMPUTED_VALUE"""),"Shreya Singh")</f>
        <v>Shreya Singh</v>
      </c>
      <c r="C54" s="1" t="str">
        <f>IFERROR(__xludf.DUMMYFUNCTION("""COMPUTED_VALUE"""),"Female")</f>
        <v>Female</v>
      </c>
      <c r="D54" s="1" t="str">
        <f>IFERROR(__xludf.DUMMYFUNCTION("""COMPUTED_VALUE"""),"9")</f>
        <v>9</v>
      </c>
      <c r="E54" s="1" t="str">
        <f>IFERROR(__xludf.DUMMYFUNCTION("""COMPUTED_VALUE"""),"C")</f>
        <v>C</v>
      </c>
      <c r="F54" s="1" t="str">
        <f>IFERROR(__xludf.DUMMYFUNCTION("""COMPUTED_VALUE"""),"Delhi")</f>
        <v>Delhi</v>
      </c>
      <c r="G54" s="1">
        <f>IFERROR(__xludf.DUMMYFUNCTION("""COMPUTED_VALUE"""),48.0)</f>
        <v>48</v>
      </c>
      <c r="H54" s="1">
        <f>IFERROR(__xludf.DUMMYFUNCTION("""COMPUTED_VALUE"""),88.0)</f>
        <v>88</v>
      </c>
      <c r="I54" s="1">
        <f>IFERROR(__xludf.DUMMYFUNCTION("""COMPUTED_VALUE"""),95.0)</f>
        <v>95</v>
      </c>
      <c r="J54" s="1">
        <f>IFERROR(__xludf.DUMMYFUNCTION("""COMPUTED_VALUE"""),81.0)</f>
        <v>81</v>
      </c>
      <c r="K54" s="1">
        <f>IFERROR(__xludf.DUMMYFUNCTION("""COMPUTED_VALUE"""),78.0)</f>
        <v>78</v>
      </c>
      <c r="L54" s="1">
        <f>IFERROR(__xludf.DUMMYFUNCTION("""COMPUTED_VALUE"""),390.0)</f>
        <v>390</v>
      </c>
      <c r="M54" s="1">
        <f>IFERROR(__xludf.DUMMYFUNCTION("""COMPUTED_VALUE"""),78.0)</f>
        <v>78</v>
      </c>
      <c r="N54" s="1">
        <f>IFERROR(__xludf.DUMMYFUNCTION("""COMPUTED_VALUE"""),80.0)</f>
        <v>80</v>
      </c>
      <c r="O54" s="1" t="str">
        <f>IFERROR(__xludf.DUMMYFUNCTION("""COMPUTED_VALUE"""),"Pass")</f>
        <v>Pass</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6" width="14.43"/>
  </cols>
  <sheetData>
    <row r="1">
      <c r="A1" s="2" t="str">
        <f t="array" ref="A1">'Questions Answers'!A27</f>
        <v>26. Generate a summary showing average percentage for each Class.</v>
      </c>
      <c r="B1" s="2"/>
      <c r="C1" s="2"/>
      <c r="D1" s="2"/>
      <c r="E1" s="2"/>
    </row>
    <row r="2" ht="15.0" customHeight="1">
      <c r="A2" s="2"/>
      <c r="B2" s="2"/>
      <c r="C2" s="2"/>
      <c r="D2" s="2"/>
      <c r="E2" s="2"/>
    </row>
    <row r="3">
      <c r="A3" s="1" t="str">
        <f>IFERROR(__xludf.DUMMYFUNCTION("QUERY(Student_Data!A1:O1000, ""SELECT D, AVG(M) WHERE A IS NOT NULL GROUP BY D LABEL D 'Class', AVG(M) 'Average Percentage'"")"),"Class")</f>
        <v>Class</v>
      </c>
      <c r="B3" s="1" t="str">
        <f>IFERROR(__xludf.DUMMYFUNCTION("""COMPUTED_VALUE"""),"Average Percentage")</f>
        <v>Average Percentage</v>
      </c>
    </row>
    <row r="4">
      <c r="A4" s="1" t="str">
        <f>IFERROR(__xludf.DUMMYFUNCTION("""COMPUTED_VALUE"""),"10")</f>
        <v>10</v>
      </c>
      <c r="B4" s="1">
        <f>IFERROR(__xludf.DUMMYFUNCTION("""COMPUTED_VALUE"""),70.2373831775701)</f>
        <v>70.23738318</v>
      </c>
    </row>
    <row r="5">
      <c r="A5" s="1" t="str">
        <f>IFERROR(__xludf.DUMMYFUNCTION("""COMPUTED_VALUE"""),"6")</f>
        <v>6</v>
      </c>
      <c r="B5" s="1">
        <f>IFERROR(__xludf.DUMMYFUNCTION("""COMPUTED_VALUE"""),70.47346938775507)</f>
        <v>70.47346939</v>
      </c>
    </row>
    <row r="6">
      <c r="A6" s="1" t="str">
        <f>IFERROR(__xludf.DUMMYFUNCTION("""COMPUTED_VALUE"""),"7")</f>
        <v>7</v>
      </c>
      <c r="B6" s="1">
        <f>IFERROR(__xludf.DUMMYFUNCTION("""COMPUTED_VALUE"""),69.58878504672896)</f>
        <v>69.58878505</v>
      </c>
    </row>
    <row r="7">
      <c r="A7" s="1" t="str">
        <f>IFERROR(__xludf.DUMMYFUNCTION("""COMPUTED_VALUE"""),"8")</f>
        <v>8</v>
      </c>
      <c r="B7" s="1">
        <f>IFERROR(__xludf.DUMMYFUNCTION("""COMPUTED_VALUE"""),67.91363636363639)</f>
        <v>67.91363636</v>
      </c>
    </row>
    <row r="8">
      <c r="A8" s="1" t="str">
        <f>IFERROR(__xludf.DUMMYFUNCTION("""COMPUTED_VALUE"""),"9")</f>
        <v>9</v>
      </c>
      <c r="B8" s="1">
        <f>IFERROR(__xludf.DUMMYFUNCTION("""COMPUTED_VALUE"""),69.89599999999997)</f>
        <v>69.896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6" width="14.43"/>
  </cols>
  <sheetData>
    <row r="1">
      <c r="A1" s="2" t="str">
        <f t="array" ref="A1">'Questions Answers'!A28</f>
        <v>27. Generate a report showing total students in each City.</v>
      </c>
      <c r="B1" s="2"/>
      <c r="C1" s="2"/>
      <c r="D1" s="2"/>
    </row>
    <row r="2" ht="15.0" customHeight="1">
      <c r="A2" s="2"/>
      <c r="B2" s="2"/>
      <c r="C2" s="2"/>
      <c r="D2" s="2"/>
    </row>
    <row r="3">
      <c r="A3" s="1" t="str">
        <f>IFERROR(__xludf.DUMMYFUNCTION("QUERY(Student_Data!A1:O1000, ""SELECT F, COUNT(A) WHERE A IS NOT NULL GROUP BY F LABEL F 'City', COUNT(A) 'Total Students'"")"),"City")</f>
        <v>City</v>
      </c>
      <c r="B3" s="1" t="str">
        <f>IFERROR(__xludf.DUMMYFUNCTION("""COMPUTED_VALUE"""),"Total Students")</f>
        <v>Total Students</v>
      </c>
    </row>
    <row r="4">
      <c r="A4" s="1" t="str">
        <f>IFERROR(__xludf.DUMMYFUNCTION("""COMPUTED_VALUE"""),"Bhopal")</f>
        <v>Bhopal</v>
      </c>
      <c r="B4" s="1">
        <f>IFERROR(__xludf.DUMMYFUNCTION("""COMPUTED_VALUE"""),64.0)</f>
        <v>64</v>
      </c>
    </row>
    <row r="5">
      <c r="A5" s="1" t="str">
        <f>IFERROR(__xludf.DUMMYFUNCTION("""COMPUTED_VALUE"""),"Chandigarh")</f>
        <v>Chandigarh</v>
      </c>
      <c r="B5" s="1">
        <f>IFERROR(__xludf.DUMMYFUNCTION("""COMPUTED_VALUE"""),69.0)</f>
        <v>69</v>
      </c>
    </row>
    <row r="6">
      <c r="A6" s="1" t="str">
        <f>IFERROR(__xludf.DUMMYFUNCTION("""COMPUTED_VALUE"""),"Delhi")</f>
        <v>Delhi</v>
      </c>
      <c r="B6" s="1">
        <f>IFERROR(__xludf.DUMMYFUNCTION("""COMPUTED_VALUE"""),55.0)</f>
        <v>55</v>
      </c>
    </row>
    <row r="7">
      <c r="A7" s="1" t="str">
        <f>IFERROR(__xludf.DUMMYFUNCTION("""COMPUTED_VALUE"""),"Jaipur")</f>
        <v>Jaipur</v>
      </c>
      <c r="B7" s="1">
        <f>IFERROR(__xludf.DUMMYFUNCTION("""COMPUTED_VALUE"""),66.0)</f>
        <v>66</v>
      </c>
    </row>
    <row r="8">
      <c r="A8" s="1" t="str">
        <f>IFERROR(__xludf.DUMMYFUNCTION("""COMPUTED_VALUE"""),"Kolkata")</f>
        <v>Kolkata</v>
      </c>
      <c r="B8" s="1">
        <f>IFERROR(__xludf.DUMMYFUNCTION("""COMPUTED_VALUE"""),64.0)</f>
        <v>64</v>
      </c>
    </row>
    <row r="9">
      <c r="A9" s="1" t="str">
        <f>IFERROR(__xludf.DUMMYFUNCTION("""COMPUTED_VALUE"""),"Lucknow")</f>
        <v>Lucknow</v>
      </c>
      <c r="B9" s="1">
        <f>IFERROR(__xludf.DUMMYFUNCTION("""COMPUTED_VALUE"""),65.0)</f>
        <v>65</v>
      </c>
    </row>
    <row r="10">
      <c r="A10" s="1" t="str">
        <f>IFERROR(__xludf.DUMMYFUNCTION("""COMPUTED_VALUE"""),"Mumbai")</f>
        <v>Mumbai</v>
      </c>
      <c r="B10" s="1">
        <f>IFERROR(__xludf.DUMMYFUNCTION("""COMPUTED_VALUE"""),64.0)</f>
        <v>64</v>
      </c>
    </row>
    <row r="11">
      <c r="A11" s="1" t="str">
        <f>IFERROR(__xludf.DUMMYFUNCTION("""COMPUTED_VALUE"""),"Patna")</f>
        <v>Patna</v>
      </c>
      <c r="B11" s="1">
        <f>IFERROR(__xludf.DUMMYFUNCTION("""COMPUTED_VALUE"""),53.0)</f>
        <v>53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6" width="14.43"/>
  </cols>
  <sheetData>
    <row r="1">
      <c r="A1" s="2" t="str">
        <f t="array" ref="A1">'Questions Answers'!A29</f>
        <v>28. Count how many unique cities are present in the dataset.</v>
      </c>
      <c r="B1" s="2"/>
      <c r="C1" s="2"/>
      <c r="D1" s="2"/>
    </row>
    <row r="2" ht="15.0" customHeight="1">
      <c r="A2" s="2"/>
      <c r="B2" s="2"/>
      <c r="C2" s="2"/>
      <c r="D2" s="2"/>
    </row>
    <row r="3">
      <c r="A3" s="1" t="str">
        <f>IFERROR(__xludf.DUMMYFUNCTION("{""Unique Cities Count""; COUNTUNIQUE(Student_Data!F2:F1000)}"),"Unique Cities Count")</f>
        <v>Unique Cities Count</v>
      </c>
    </row>
    <row r="4">
      <c r="A4" s="1">
        <f>IFERROR(__xludf.DUMMYFUNCTION("""COMPUTED_VALUE"""),8.0)</f>
        <v>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6" width="14.43"/>
  </cols>
  <sheetData>
    <row r="1">
      <c r="A1" s="2" t="str">
        <f t="array" ref="A1">'Questions Answers'!A30</f>
        <v>29. Identify if any student record has missing values.</v>
      </c>
      <c r="B1" s="2"/>
      <c r="C1" s="2"/>
      <c r="D1" s="2"/>
    </row>
    <row r="2" ht="15.0" customHeight="1">
      <c r="A2" s="2"/>
      <c r="B2" s="2"/>
      <c r="C2" s="2"/>
      <c r="D2" s="2"/>
    </row>
    <row r="3">
      <c r="A3" s="1" t="s">
        <v>809</v>
      </c>
      <c r="B3" s="1" t="s">
        <v>816</v>
      </c>
    </row>
    <row r="4">
      <c r="A4" s="1" t="s">
        <v>0</v>
      </c>
      <c r="B4" s="1" t="s">
        <v>1</v>
      </c>
      <c r="C4" s="1" t="s">
        <v>2</v>
      </c>
      <c r="D4" s="1" t="s">
        <v>3</v>
      </c>
      <c r="E4" s="1" t="s">
        <v>4</v>
      </c>
      <c r="F4" s="1" t="s">
        <v>5</v>
      </c>
      <c r="G4" s="1" t="s">
        <v>6</v>
      </c>
      <c r="H4" s="1" t="s">
        <v>7</v>
      </c>
      <c r="I4" s="1" t="s">
        <v>8</v>
      </c>
      <c r="J4" s="1" t="s">
        <v>9</v>
      </c>
      <c r="K4" s="1" t="s">
        <v>10</v>
      </c>
      <c r="L4" s="1" t="s">
        <v>11</v>
      </c>
      <c r="M4" s="1" t="s">
        <v>12</v>
      </c>
      <c r="N4" s="1" t="s">
        <v>13</v>
      </c>
      <c r="O4" s="1" t="s">
        <v>14</v>
      </c>
    </row>
    <row r="5">
      <c r="A5" s="1" t="str">
        <f>IFERROR(__xludf.DUMMYFUNCTION("IFERROR(FILTER(Student_Data!A2:O1000, BYROW(Student_Data!A2:O1000, LAMBDA(row, AND(COUNTA(row)&gt;0, COUNTA(row)&lt;15)))), ""No Data Found"")"),"No Data Found")</f>
        <v>No Data Found</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6" width="14.43"/>
  </cols>
  <sheetData>
    <row r="1">
      <c r="A1" s="2" t="str">
        <f t="array" ref="A1">'Questions Answers'!A31</f>
        <v>30. Create a report showing total number of Pass and Fail students.</v>
      </c>
      <c r="B1" s="2"/>
      <c r="C1" s="2"/>
      <c r="D1" s="2"/>
      <c r="E1" s="2"/>
    </row>
    <row r="2" ht="15.0" customHeight="1">
      <c r="A2" s="2"/>
      <c r="B2" s="2"/>
      <c r="C2" s="2"/>
      <c r="D2" s="2"/>
      <c r="E2" s="2"/>
    </row>
    <row r="3">
      <c r="A3" s="1" t="str">
        <f>IFERROR(__xludf.DUMMYFUNCTION("QUERY(Student_Data!A1:O1000, ""SELECT O, COUNT(A) WHERE A IS NOT NULL GROUP BY O LABEL O 'Status', COUNT(A) 'Total Students'"")"),"Status")</f>
        <v>Status</v>
      </c>
      <c r="B3" s="1" t="str">
        <f>IFERROR(__xludf.DUMMYFUNCTION("""COMPUTED_VALUE"""),"Total Students")</f>
        <v>Total Students</v>
      </c>
    </row>
    <row r="4">
      <c r="A4" s="1" t="str">
        <f>IFERROR(__xludf.DUMMYFUNCTION("""COMPUTED_VALUE"""),"Fail")</f>
        <v>Fail</v>
      </c>
      <c r="B4" s="1">
        <f>IFERROR(__xludf.DUMMYFUNCTION("""COMPUTED_VALUE"""),1.0)</f>
        <v>1</v>
      </c>
    </row>
    <row r="5">
      <c r="A5" s="1" t="str">
        <f>IFERROR(__xludf.DUMMYFUNCTION("""COMPUTED_VALUE"""),"Pass")</f>
        <v>Pass</v>
      </c>
      <c r="B5" s="1">
        <f>IFERROR(__xludf.DUMMYFUNCTION("""COMPUTED_VALUE"""),499.0)</f>
        <v>499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